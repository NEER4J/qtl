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tandard Job\2026 Standard\"/>
    </mc:Choice>
  </mc:AlternateContent>
  <xr:revisionPtr revIDLastSave="0" documentId="13_ncr:1_{1B0131D4-B3A7-4DFD-8FEB-917AE2C2F6DE}" xr6:coauthVersionLast="47" xr6:coauthVersionMax="47" xr10:uidLastSave="{00000000-0000-0000-0000-000000000000}"/>
  <bookViews>
    <workbookView xWindow="-120" yWindow="-120" windowWidth="29040" windowHeight="15840" tabRatio="890" firstSheet="17" activeTab="22" xr2:uid="{00000000-000D-0000-FFFF-FFFF00000000}"/>
  </bookViews>
  <sheets>
    <sheet name="Price List" sheetId="3" r:id="rId1"/>
    <sheet name="Cost Source" sheetId="2" r:id="rId2"/>
    <sheet name="All Filter Sell Price" sheetId="1" r:id="rId3"/>
    <sheet name="Filter Cost" sheetId="4" r:id="rId4"/>
    <sheet name="15W40" sheetId="5" r:id="rId5"/>
    <sheet name="15W40 Gallon" sheetId="6" r:id="rId6"/>
    <sheet name="10W30" sheetId="7" r:id="rId7"/>
    <sheet name="10W30 Gallon" sheetId="8" r:id="rId8"/>
    <sheet name="T5" sheetId="9" r:id="rId9"/>
    <sheet name="T5 Gallon" sheetId="10" r:id="rId10"/>
    <sheet name="Petro 10W30" sheetId="29" r:id="rId11"/>
    <sheet name="Petro 10W30Gallon" sheetId="31" r:id="rId12"/>
    <sheet name="T6" sheetId="28" r:id="rId13"/>
    <sheet name="T6 Gallon" sheetId="14" r:id="rId14"/>
    <sheet name="Delo 5W30" sheetId="17" r:id="rId15"/>
    <sheet name="Delo 5W30 Gallon" sheetId="18" r:id="rId16"/>
    <sheet name="Petro 5W30" sheetId="32" r:id="rId17"/>
    <sheet name="Petro 5W30 Gallon" sheetId="33" r:id="rId18"/>
    <sheet name="Oil Service Cost" sheetId="19" r:id="rId19"/>
    <sheet name="Profit" sheetId="20" r:id="rId20"/>
    <sheet name="Sell Price" sheetId="21" r:id="rId21"/>
    <sheet name="Print List" sheetId="22" r:id="rId22"/>
    <sheet name="Trans &amp; Diff" sheetId="23" r:id="rId23"/>
    <sheet name="Oil Price" sheetId="24" r:id="rId24"/>
    <sheet name="Fass System" sheetId="25" r:id="rId25"/>
    <sheet name="Sheet1" sheetId="27" r:id="rId26"/>
    <sheet name="Grease" sheetId="26" r:id="rId27"/>
  </sheets>
  <definedNames>
    <definedName name="_xlnm.Print_Titles" localSheetId="2">'All Filter Sell Price'!$1:$2</definedName>
    <definedName name="_xlnm.Print_Titles" localSheetId="21">'Print List'!$1:$4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24" l="1"/>
  <c r="J53" i="24"/>
  <c r="C53" i="24"/>
  <c r="C214" i="1"/>
  <c r="D214" i="1" s="1"/>
  <c r="E214" i="1"/>
  <c r="F214" i="1" s="1"/>
  <c r="G214" i="1"/>
  <c r="H214" i="1" s="1"/>
  <c r="F214" i="2"/>
  <c r="G1" i="32"/>
  <c r="G4" i="32" s="1"/>
  <c r="X74" i="22"/>
  <c r="X73" i="22"/>
  <c r="X72" i="22"/>
  <c r="X71" i="22"/>
  <c r="X70" i="22"/>
  <c r="X66" i="22"/>
  <c r="X65" i="22"/>
  <c r="X60" i="22"/>
  <c r="X56" i="22"/>
  <c r="X55" i="22"/>
  <c r="X48" i="22"/>
  <c r="X46" i="22"/>
  <c r="X44" i="22"/>
  <c r="X43" i="22"/>
  <c r="X39" i="22"/>
  <c r="X38" i="22"/>
  <c r="X36" i="22"/>
  <c r="X33" i="22"/>
  <c r="X32" i="22"/>
  <c r="X30" i="22"/>
  <c r="X28" i="22"/>
  <c r="X26" i="22"/>
  <c r="X25" i="22"/>
  <c r="X20" i="22"/>
  <c r="X16" i="22"/>
  <c r="X15" i="22"/>
  <c r="X13" i="22"/>
  <c r="X12" i="22"/>
  <c r="Z64" i="22"/>
  <c r="V42" i="22"/>
  <c r="X42" i="22" s="1"/>
  <c r="V43" i="22"/>
  <c r="V44" i="22"/>
  <c r="V45" i="22"/>
  <c r="X45" i="22" s="1"/>
  <c r="V46" i="22"/>
  <c r="V47" i="22"/>
  <c r="X47" i="22" s="1"/>
  <c r="V48" i="22"/>
  <c r="V49" i="22"/>
  <c r="V50" i="22"/>
  <c r="V51" i="22"/>
  <c r="V52" i="22"/>
  <c r="X52" i="22" s="1"/>
  <c r="V53" i="22"/>
  <c r="V54" i="22"/>
  <c r="V55" i="22"/>
  <c r="V56" i="22"/>
  <c r="V57" i="22"/>
  <c r="X57" i="22" s="1"/>
  <c r="V58" i="22"/>
  <c r="V59" i="22"/>
  <c r="X59" i="22" s="1"/>
  <c r="V60" i="22"/>
  <c r="V61" i="22"/>
  <c r="V62" i="22"/>
  <c r="V63" i="22"/>
  <c r="V64" i="22"/>
  <c r="V65" i="22"/>
  <c r="V66" i="22"/>
  <c r="V67" i="22"/>
  <c r="V68" i="22"/>
  <c r="V69" i="22"/>
  <c r="X69" i="22" s="1"/>
  <c r="V70" i="22"/>
  <c r="V71" i="22"/>
  <c r="V72" i="22"/>
  <c r="V73" i="22"/>
  <c r="V74" i="22"/>
  <c r="V41" i="22"/>
  <c r="X41" i="22" s="1"/>
  <c r="V39" i="22"/>
  <c r="V38" i="22"/>
  <c r="X7" i="22"/>
  <c r="X9" i="22"/>
  <c r="X10" i="22"/>
  <c r="X17" i="22"/>
  <c r="X18" i="22"/>
  <c r="X19" i="22"/>
  <c r="X21" i="22"/>
  <c r="X23" i="22"/>
  <c r="X24" i="22"/>
  <c r="X27" i="22"/>
  <c r="X35" i="22"/>
  <c r="X50" i="22"/>
  <c r="X51" i="22"/>
  <c r="X53" i="22"/>
  <c r="X58" i="22"/>
  <c r="X63" i="22"/>
  <c r="X67" i="22"/>
  <c r="X6" i="22"/>
  <c r="G707" i="1"/>
  <c r="H707" i="1" s="1"/>
  <c r="G15" i="1"/>
  <c r="L694" i="2"/>
  <c r="L683" i="2"/>
  <c r="G1" i="7"/>
  <c r="E284" i="3"/>
  <c r="C284" i="3" s="1"/>
  <c r="E287" i="3"/>
  <c r="C287" i="3" s="1"/>
  <c r="E288" i="3"/>
  <c r="C288" i="3" s="1"/>
  <c r="E289" i="3"/>
  <c r="C289" i="3" s="1"/>
  <c r="E290" i="3"/>
  <c r="C290" i="3" s="1"/>
  <c r="E282" i="3"/>
  <c r="C282" i="3" s="1"/>
  <c r="E20" i="3"/>
  <c r="C20" i="3" s="1"/>
  <c r="E16" i="3"/>
  <c r="C16" i="3" s="1"/>
  <c r="G753" i="1"/>
  <c r="H753" i="1" s="1"/>
  <c r="E753" i="1"/>
  <c r="F753" i="1" s="1"/>
  <c r="L753" i="2"/>
  <c r="C753" i="1" s="1"/>
  <c r="D753" i="1" s="1"/>
  <c r="E766" i="1"/>
  <c r="F766" i="1" s="1"/>
  <c r="G766" i="1"/>
  <c r="H766" i="1" s="1"/>
  <c r="L766" i="2"/>
  <c r="C766" i="1" s="1"/>
  <c r="D766" i="1" s="1"/>
  <c r="I299" i="2"/>
  <c r="E577" i="1"/>
  <c r="F577" i="1" s="1"/>
  <c r="G577" i="1"/>
  <c r="H577" i="1" s="1"/>
  <c r="F577" i="2"/>
  <c r="C577" i="1" s="1"/>
  <c r="D577" i="1" s="1"/>
  <c r="E544" i="1"/>
  <c r="F544" i="1" s="1"/>
  <c r="G544" i="1"/>
  <c r="H544" i="1" s="1"/>
  <c r="F544" i="2"/>
  <c r="C544" i="1" s="1"/>
  <c r="D544" i="1" s="1"/>
  <c r="E142" i="1"/>
  <c r="F142" i="1" s="1"/>
  <c r="G142" i="1"/>
  <c r="H142" i="1" s="1"/>
  <c r="N142" i="2"/>
  <c r="J142" i="2"/>
  <c r="C142" i="1" s="1"/>
  <c r="D142" i="1" s="1"/>
  <c r="E7" i="1"/>
  <c r="F7" i="1" s="1"/>
  <c r="G7" i="1"/>
  <c r="H7" i="1" s="1"/>
  <c r="I7" i="2"/>
  <c r="C7" i="1" s="1"/>
  <c r="D7" i="1" s="1"/>
  <c r="B36" i="21"/>
  <c r="B37" i="21"/>
  <c r="H19" i="21"/>
  <c r="H21" i="21"/>
  <c r="H35" i="21"/>
  <c r="H37" i="21"/>
  <c r="H46" i="21"/>
  <c r="H53" i="21"/>
  <c r="H56" i="21"/>
  <c r="H63" i="21"/>
  <c r="H71" i="21"/>
  <c r="H73" i="21"/>
  <c r="F37" i="33"/>
  <c r="F37" i="32"/>
  <c r="F37" i="18"/>
  <c r="B37" i="17"/>
  <c r="L37" i="21" s="1"/>
  <c r="F37" i="17"/>
  <c r="F37" i="14"/>
  <c r="J37" i="28"/>
  <c r="H37" i="28"/>
  <c r="B37" i="28" s="1"/>
  <c r="J37" i="21" s="1"/>
  <c r="F37" i="31"/>
  <c r="B37" i="29"/>
  <c r="F37" i="29"/>
  <c r="F37" i="10"/>
  <c r="B37" i="9"/>
  <c r="F37" i="21" s="1"/>
  <c r="F37" i="9"/>
  <c r="F37" i="8"/>
  <c r="B37" i="7"/>
  <c r="D37" i="21" s="1"/>
  <c r="F37" i="7"/>
  <c r="V7" i="22"/>
  <c r="V9" i="22"/>
  <c r="V10" i="22"/>
  <c r="V12" i="22"/>
  <c r="V13" i="22"/>
  <c r="V15" i="22"/>
  <c r="V16" i="22"/>
  <c r="V17" i="22"/>
  <c r="V18" i="22"/>
  <c r="V19" i="22"/>
  <c r="V20" i="22"/>
  <c r="V21" i="22"/>
  <c r="V23" i="22"/>
  <c r="V24" i="22"/>
  <c r="V25" i="22"/>
  <c r="V26" i="22"/>
  <c r="V27" i="22"/>
  <c r="V28" i="22"/>
  <c r="V30" i="22"/>
  <c r="V32" i="22"/>
  <c r="V33" i="22"/>
  <c r="V35" i="22"/>
  <c r="V36" i="22"/>
  <c r="V6" i="22"/>
  <c r="G37" i="6"/>
  <c r="C37" i="19" s="1"/>
  <c r="F37" i="6"/>
  <c r="G1" i="33"/>
  <c r="G4" i="33" s="1"/>
  <c r="G37" i="33" s="1"/>
  <c r="F74" i="33"/>
  <c r="F73" i="33"/>
  <c r="F72" i="33"/>
  <c r="F71" i="33"/>
  <c r="F70" i="33"/>
  <c r="F69" i="33"/>
  <c r="F67" i="33"/>
  <c r="F66" i="33"/>
  <c r="F65" i="33"/>
  <c r="F63" i="33"/>
  <c r="F60" i="33"/>
  <c r="F59" i="33"/>
  <c r="F58" i="33"/>
  <c r="F57" i="33"/>
  <c r="F56" i="33"/>
  <c r="F55" i="33"/>
  <c r="F53" i="33"/>
  <c r="F52" i="33"/>
  <c r="F51" i="33"/>
  <c r="F50" i="33"/>
  <c r="F48" i="33"/>
  <c r="F47" i="33"/>
  <c r="F46" i="33"/>
  <c r="F45" i="33"/>
  <c r="F44" i="33"/>
  <c r="F43" i="33"/>
  <c r="F42" i="33"/>
  <c r="F41" i="33"/>
  <c r="F39" i="33"/>
  <c r="F38" i="33"/>
  <c r="F36" i="33"/>
  <c r="F35" i="33"/>
  <c r="F33" i="33"/>
  <c r="F32" i="33"/>
  <c r="F30" i="33"/>
  <c r="F28" i="33"/>
  <c r="F27" i="33"/>
  <c r="F26" i="33"/>
  <c r="F25" i="33"/>
  <c r="F24" i="33"/>
  <c r="F23" i="33"/>
  <c r="F21" i="33"/>
  <c r="F20" i="33"/>
  <c r="F19" i="33"/>
  <c r="F18" i="33"/>
  <c r="F17" i="33"/>
  <c r="F16" i="33"/>
  <c r="F15" i="33"/>
  <c r="F13" i="33"/>
  <c r="F12" i="33"/>
  <c r="F10" i="33"/>
  <c r="F9" i="33"/>
  <c r="F7" i="33"/>
  <c r="F6" i="33"/>
  <c r="F74" i="32"/>
  <c r="F73" i="32"/>
  <c r="F72" i="32"/>
  <c r="F71" i="32"/>
  <c r="F70" i="32"/>
  <c r="F69" i="32"/>
  <c r="F67" i="32"/>
  <c r="F66" i="32"/>
  <c r="F65" i="32"/>
  <c r="F63" i="32"/>
  <c r="F60" i="32"/>
  <c r="F59" i="32"/>
  <c r="F58" i="32"/>
  <c r="F57" i="32"/>
  <c r="F56" i="32"/>
  <c r="F55" i="32"/>
  <c r="F53" i="32"/>
  <c r="F52" i="32"/>
  <c r="F51" i="32"/>
  <c r="F50" i="32"/>
  <c r="F48" i="32"/>
  <c r="F47" i="32"/>
  <c r="F46" i="32"/>
  <c r="F45" i="32"/>
  <c r="F44" i="32"/>
  <c r="F43" i="32"/>
  <c r="F42" i="32"/>
  <c r="F41" i="32"/>
  <c r="F39" i="32"/>
  <c r="F38" i="32"/>
  <c r="F36" i="32"/>
  <c r="F35" i="32"/>
  <c r="F33" i="32"/>
  <c r="F32" i="32"/>
  <c r="F30" i="32"/>
  <c r="F28" i="32"/>
  <c r="F27" i="32"/>
  <c r="F26" i="32"/>
  <c r="F25" i="32"/>
  <c r="F24" i="32"/>
  <c r="F23" i="32"/>
  <c r="F21" i="32"/>
  <c r="F20" i="32"/>
  <c r="F19" i="32"/>
  <c r="F18" i="32"/>
  <c r="F17" i="32"/>
  <c r="F16" i="32"/>
  <c r="F15" i="32"/>
  <c r="F13" i="32"/>
  <c r="F12" i="32"/>
  <c r="F10" i="32"/>
  <c r="F9" i="32"/>
  <c r="F7" i="32"/>
  <c r="F6" i="32"/>
  <c r="F74" i="31"/>
  <c r="F73" i="31"/>
  <c r="F72" i="31"/>
  <c r="F71" i="31"/>
  <c r="F70" i="31"/>
  <c r="F69" i="31"/>
  <c r="F67" i="31"/>
  <c r="F66" i="31"/>
  <c r="F65" i="31"/>
  <c r="F63" i="31"/>
  <c r="F60" i="31"/>
  <c r="F59" i="31"/>
  <c r="F58" i="31"/>
  <c r="F57" i="31"/>
  <c r="F56" i="31"/>
  <c r="F55" i="31"/>
  <c r="F53" i="31"/>
  <c r="F52" i="31"/>
  <c r="F51" i="31"/>
  <c r="F50" i="31"/>
  <c r="F48" i="31"/>
  <c r="F47" i="31"/>
  <c r="F46" i="31"/>
  <c r="F45" i="31"/>
  <c r="F44" i="31"/>
  <c r="F43" i="31"/>
  <c r="F42" i="31"/>
  <c r="F41" i="31"/>
  <c r="F39" i="31"/>
  <c r="F38" i="31"/>
  <c r="F36" i="31"/>
  <c r="F35" i="31"/>
  <c r="F33" i="31"/>
  <c r="F32" i="31"/>
  <c r="F30" i="31"/>
  <c r="F28" i="31"/>
  <c r="F27" i="31"/>
  <c r="F26" i="31"/>
  <c r="F25" i="31"/>
  <c r="F24" i="31"/>
  <c r="F23" i="31"/>
  <c r="F21" i="31"/>
  <c r="F20" i="31"/>
  <c r="F19" i="31"/>
  <c r="F18" i="31"/>
  <c r="F17" i="31"/>
  <c r="F16" i="31"/>
  <c r="F15" i="31"/>
  <c r="F13" i="31"/>
  <c r="F12" i="31"/>
  <c r="F10" i="31"/>
  <c r="F9" i="31"/>
  <c r="F7" i="31"/>
  <c r="F6" i="31"/>
  <c r="G4" i="31"/>
  <c r="G37" i="31" s="1"/>
  <c r="I37" i="19" s="1"/>
  <c r="G4" i="29"/>
  <c r="F74" i="29"/>
  <c r="B74" i="29"/>
  <c r="H74" i="21" s="1"/>
  <c r="F73" i="29"/>
  <c r="B73" i="29"/>
  <c r="F72" i="29"/>
  <c r="B72" i="29"/>
  <c r="F71" i="29"/>
  <c r="B71" i="29"/>
  <c r="F70" i="29"/>
  <c r="B70" i="29"/>
  <c r="F69" i="29"/>
  <c r="B69" i="29"/>
  <c r="F67" i="29"/>
  <c r="B67" i="29"/>
  <c r="F66" i="29"/>
  <c r="B66" i="29"/>
  <c r="F65" i="29"/>
  <c r="B65" i="29"/>
  <c r="F63" i="29"/>
  <c r="B63" i="29"/>
  <c r="F60" i="29"/>
  <c r="B60" i="29"/>
  <c r="H60" i="21" s="1"/>
  <c r="F59" i="29"/>
  <c r="B59" i="29"/>
  <c r="H59" i="21" s="1"/>
  <c r="F58" i="29"/>
  <c r="B58" i="29"/>
  <c r="H58" i="21" s="1"/>
  <c r="F57" i="29"/>
  <c r="B57" i="29"/>
  <c r="H57" i="21" s="1"/>
  <c r="F56" i="29"/>
  <c r="B56" i="29"/>
  <c r="F55" i="29"/>
  <c r="B55" i="29"/>
  <c r="F53" i="29"/>
  <c r="B53" i="29"/>
  <c r="F52" i="29"/>
  <c r="B52" i="29"/>
  <c r="F51" i="29"/>
  <c r="B51" i="29"/>
  <c r="F50" i="29"/>
  <c r="B50" i="29"/>
  <c r="F48" i="29"/>
  <c r="B48" i="29"/>
  <c r="F47" i="29"/>
  <c r="B47" i="29"/>
  <c r="F46" i="29"/>
  <c r="B46" i="29"/>
  <c r="F45" i="29"/>
  <c r="B45" i="29"/>
  <c r="H45" i="21" s="1"/>
  <c r="F44" i="29"/>
  <c r="B44" i="29"/>
  <c r="F43" i="29"/>
  <c r="B43" i="29"/>
  <c r="F42" i="29"/>
  <c r="B42" i="29"/>
  <c r="H42" i="21" s="1"/>
  <c r="F41" i="29"/>
  <c r="B41" i="29"/>
  <c r="H41" i="21" s="1"/>
  <c r="F39" i="29"/>
  <c r="B39" i="29"/>
  <c r="H39" i="21" s="1"/>
  <c r="F38" i="29"/>
  <c r="B38" i="29"/>
  <c r="H38" i="21" s="1"/>
  <c r="F36" i="29"/>
  <c r="B36" i="29"/>
  <c r="H36" i="21" s="1"/>
  <c r="F35" i="29"/>
  <c r="B35" i="29"/>
  <c r="F33" i="29"/>
  <c r="B33" i="29"/>
  <c r="H33" i="21" s="1"/>
  <c r="F32" i="29"/>
  <c r="B32" i="29"/>
  <c r="H32" i="21" s="1"/>
  <c r="F30" i="29"/>
  <c r="B30" i="29"/>
  <c r="H30" i="21" s="1"/>
  <c r="F28" i="29"/>
  <c r="B28" i="29"/>
  <c r="H28" i="21" s="1"/>
  <c r="F27" i="29"/>
  <c r="B27" i="29"/>
  <c r="H27" i="21" s="1"/>
  <c r="F26" i="29"/>
  <c r="B26" i="29"/>
  <c r="H26" i="21" s="1"/>
  <c r="F25" i="29"/>
  <c r="B25" i="29"/>
  <c r="H25" i="21" s="1"/>
  <c r="F24" i="29"/>
  <c r="B24" i="29"/>
  <c r="H24" i="21" s="1"/>
  <c r="F23" i="29"/>
  <c r="B23" i="29"/>
  <c r="H23" i="21" s="1"/>
  <c r="F21" i="29"/>
  <c r="B21" i="29"/>
  <c r="F20" i="29"/>
  <c r="B20" i="29"/>
  <c r="H20" i="21" s="1"/>
  <c r="F19" i="29"/>
  <c r="B19" i="29"/>
  <c r="F18" i="29"/>
  <c r="B18" i="29"/>
  <c r="H18" i="21" s="1"/>
  <c r="F17" i="29"/>
  <c r="B17" i="29"/>
  <c r="H17" i="21" s="1"/>
  <c r="F16" i="29"/>
  <c r="B16" i="29"/>
  <c r="H16" i="21" s="1"/>
  <c r="F15" i="29"/>
  <c r="B15" i="29"/>
  <c r="H15" i="21" s="1"/>
  <c r="F13" i="29"/>
  <c r="B13" i="29"/>
  <c r="H13" i="21" s="1"/>
  <c r="F12" i="29"/>
  <c r="B12" i="29"/>
  <c r="H12" i="21" s="1"/>
  <c r="F10" i="29"/>
  <c r="B10" i="29"/>
  <c r="H10" i="21" s="1"/>
  <c r="F9" i="29"/>
  <c r="B9" i="29"/>
  <c r="H9" i="21" s="1"/>
  <c r="F7" i="29"/>
  <c r="B7" i="29"/>
  <c r="H7" i="21" s="1"/>
  <c r="F6" i="29"/>
  <c r="B6" i="29"/>
  <c r="H6" i="21" s="1"/>
  <c r="C62" i="1"/>
  <c r="D62" i="1" s="1"/>
  <c r="E62" i="1"/>
  <c r="F62" i="1" s="1"/>
  <c r="G62" i="1"/>
  <c r="H62" i="1" s="1"/>
  <c r="B37" i="31" l="1"/>
  <c r="I37" i="21" s="1"/>
  <c r="B56" i="31"/>
  <c r="I56" i="21" s="1"/>
  <c r="B69" i="31"/>
  <c r="I69" i="21" s="1"/>
  <c r="B72" i="31"/>
  <c r="I72" i="21" s="1"/>
  <c r="B48" i="31"/>
  <c r="I48" i="21" s="1"/>
  <c r="B65" i="31"/>
  <c r="I65" i="21" s="1"/>
  <c r="B53" i="31"/>
  <c r="I53" i="21" s="1"/>
  <c r="B66" i="31"/>
  <c r="I66" i="21" s="1"/>
  <c r="B44" i="31"/>
  <c r="I44" i="21" s="1"/>
  <c r="B52" i="31"/>
  <c r="I52" i="21" s="1"/>
  <c r="B70" i="31"/>
  <c r="I70" i="21" s="1"/>
  <c r="B43" i="31"/>
  <c r="I43" i="21" s="1"/>
  <c r="B50" i="31"/>
  <c r="I50" i="21" s="1"/>
  <c r="B67" i="31"/>
  <c r="I67" i="21" s="1"/>
  <c r="G37" i="29"/>
  <c r="H37" i="19" s="1"/>
  <c r="B51" i="31"/>
  <c r="I51" i="21" s="1"/>
  <c r="B63" i="31"/>
  <c r="I63" i="21" s="1"/>
  <c r="B46" i="31"/>
  <c r="I46" i="21" s="1"/>
  <c r="B71" i="31"/>
  <c r="I71" i="21" s="1"/>
  <c r="B73" i="31"/>
  <c r="I73" i="21" s="1"/>
  <c r="B47" i="31"/>
  <c r="I47" i="21" s="1"/>
  <c r="B55" i="31"/>
  <c r="I55" i="21" s="1"/>
  <c r="H70" i="21"/>
  <c r="H52" i="21"/>
  <c r="B57" i="31"/>
  <c r="I57" i="21" s="1"/>
  <c r="B74" i="31"/>
  <c r="I74" i="21" s="1"/>
  <c r="H69" i="21"/>
  <c r="H51" i="21"/>
  <c r="B39" i="31"/>
  <c r="I39" i="21" s="1"/>
  <c r="B58" i="31"/>
  <c r="I58" i="21" s="1"/>
  <c r="H67" i="21"/>
  <c r="H48" i="21"/>
  <c r="B38" i="31"/>
  <c r="I38" i="21" s="1"/>
  <c r="B41" i="31"/>
  <c r="I41" i="21" s="1"/>
  <c r="B59" i="31"/>
  <c r="I59" i="21" s="1"/>
  <c r="H66" i="21"/>
  <c r="H47" i="21"/>
  <c r="B45" i="31"/>
  <c r="I45" i="21" s="1"/>
  <c r="B60" i="31"/>
  <c r="I60" i="21" s="1"/>
  <c r="H72" i="21"/>
  <c r="H55" i="21"/>
  <c r="H65" i="21"/>
  <c r="H50" i="21"/>
  <c r="H44" i="21"/>
  <c r="H43" i="21"/>
  <c r="B42" i="31"/>
  <c r="I42" i="21" s="1"/>
  <c r="O37" i="19"/>
  <c r="G37" i="32"/>
  <c r="G48" i="31"/>
  <c r="I48" i="19" s="1"/>
  <c r="G47" i="31"/>
  <c r="I47" i="19" s="1"/>
  <c r="G46" i="31"/>
  <c r="I46" i="19" s="1"/>
  <c r="G45" i="31"/>
  <c r="I45" i="19" s="1"/>
  <c r="G44" i="31"/>
  <c r="I44" i="19" s="1"/>
  <c r="G43" i="31"/>
  <c r="I43" i="19" s="1"/>
  <c r="G42" i="31"/>
  <c r="I42" i="19" s="1"/>
  <c r="B36" i="31"/>
  <c r="I36" i="21" s="1"/>
  <c r="B35" i="31"/>
  <c r="I35" i="21" s="1"/>
  <c r="B33" i="31"/>
  <c r="I33" i="21" s="1"/>
  <c r="B32" i="31"/>
  <c r="I32" i="21" s="1"/>
  <c r="B30" i="31"/>
  <c r="I30" i="21" s="1"/>
  <c r="B28" i="31"/>
  <c r="I28" i="21" s="1"/>
  <c r="B27" i="31"/>
  <c r="I27" i="21" s="1"/>
  <c r="B26" i="31"/>
  <c r="I26" i="21" s="1"/>
  <c r="B25" i="31"/>
  <c r="I25" i="21" s="1"/>
  <c r="B24" i="31"/>
  <c r="I24" i="21" s="1"/>
  <c r="B23" i="31"/>
  <c r="I23" i="21" s="1"/>
  <c r="B21" i="31"/>
  <c r="I21" i="21" s="1"/>
  <c r="B20" i="31"/>
  <c r="I20" i="21" s="1"/>
  <c r="B19" i="31"/>
  <c r="I19" i="21" s="1"/>
  <c r="B18" i="31"/>
  <c r="I18" i="21" s="1"/>
  <c r="B17" i="31"/>
  <c r="I17" i="21" s="1"/>
  <c r="B16" i="31"/>
  <c r="I16" i="21" s="1"/>
  <c r="B15" i="31"/>
  <c r="I15" i="21" s="1"/>
  <c r="B13" i="31"/>
  <c r="I13" i="21" s="1"/>
  <c r="B12" i="31"/>
  <c r="I12" i="21" s="1"/>
  <c r="B10" i="31"/>
  <c r="I10" i="21" s="1"/>
  <c r="B9" i="31"/>
  <c r="I9" i="21" s="1"/>
  <c r="B7" i="31"/>
  <c r="I7" i="21" s="1"/>
  <c r="B6" i="31"/>
  <c r="I6" i="21" s="1"/>
  <c r="G18" i="29"/>
  <c r="H18" i="19" s="1"/>
  <c r="G73" i="32"/>
  <c r="N73" i="19" s="1"/>
  <c r="G72" i="32"/>
  <c r="N72" i="19" s="1"/>
  <c r="G71" i="32"/>
  <c r="N71" i="19" s="1"/>
  <c r="G70" i="32"/>
  <c r="N70" i="19" s="1"/>
  <c r="G69" i="32"/>
  <c r="N69" i="19" s="1"/>
  <c r="G67" i="32"/>
  <c r="N67" i="19" s="1"/>
  <c r="G66" i="32"/>
  <c r="N66" i="19" s="1"/>
  <c r="G65" i="32"/>
  <c r="N65" i="19" s="1"/>
  <c r="G63" i="32"/>
  <c r="N63" i="19" s="1"/>
  <c r="G60" i="32"/>
  <c r="N60" i="19" s="1"/>
  <c r="G59" i="32"/>
  <c r="N59" i="19" s="1"/>
  <c r="G58" i="32"/>
  <c r="N58" i="19" s="1"/>
  <c r="G57" i="32"/>
  <c r="N57" i="19" s="1"/>
  <c r="G56" i="32"/>
  <c r="N56" i="19" s="1"/>
  <c r="G55" i="32"/>
  <c r="N55" i="19" s="1"/>
  <c r="G53" i="32"/>
  <c r="N53" i="19" s="1"/>
  <c r="G52" i="32"/>
  <c r="N52" i="19" s="1"/>
  <c r="G51" i="32"/>
  <c r="N51" i="19" s="1"/>
  <c r="G50" i="32"/>
  <c r="N50" i="19" s="1"/>
  <c r="G48" i="32"/>
  <c r="N48" i="19" s="1"/>
  <c r="G47" i="32"/>
  <c r="N47" i="19" s="1"/>
  <c r="G46" i="32"/>
  <c r="N46" i="19" s="1"/>
  <c r="G45" i="32"/>
  <c r="N45" i="19" s="1"/>
  <c r="G43" i="32"/>
  <c r="N43" i="19" s="1"/>
  <c r="G42" i="32"/>
  <c r="N42" i="19" s="1"/>
  <c r="G41" i="32"/>
  <c r="N41" i="19" s="1"/>
  <c r="G39" i="32"/>
  <c r="N39" i="19" s="1"/>
  <c r="G74" i="33"/>
  <c r="O74" i="19" s="1"/>
  <c r="G73" i="33"/>
  <c r="O73" i="19" s="1"/>
  <c r="G72" i="33"/>
  <c r="O72" i="19" s="1"/>
  <c r="G71" i="33"/>
  <c r="O71" i="19" s="1"/>
  <c r="G70" i="33"/>
  <c r="O70" i="19" s="1"/>
  <c r="G69" i="33"/>
  <c r="O69" i="19" s="1"/>
  <c r="G67" i="33"/>
  <c r="O67" i="19" s="1"/>
  <c r="G66" i="33"/>
  <c r="O66" i="19" s="1"/>
  <c r="G65" i="33"/>
  <c r="O65" i="19" s="1"/>
  <c r="G63" i="33"/>
  <c r="O63" i="19" s="1"/>
  <c r="G60" i="33"/>
  <c r="O60" i="19" s="1"/>
  <c r="G59" i="33"/>
  <c r="O59" i="19" s="1"/>
  <c r="G58" i="33"/>
  <c r="O58" i="19" s="1"/>
  <c r="G57" i="33"/>
  <c r="O57" i="19" s="1"/>
  <c r="G56" i="33"/>
  <c r="O56" i="19" s="1"/>
  <c r="G55" i="33"/>
  <c r="O55" i="19" s="1"/>
  <c r="G53" i="33"/>
  <c r="O53" i="19" s="1"/>
  <c r="G52" i="33"/>
  <c r="O52" i="19" s="1"/>
  <c r="G51" i="33"/>
  <c r="O51" i="19" s="1"/>
  <c r="G50" i="33"/>
  <c r="O50" i="19" s="1"/>
  <c r="G48" i="33"/>
  <c r="O48" i="19" s="1"/>
  <c r="G47" i="33"/>
  <c r="O47" i="19" s="1"/>
  <c r="G46" i="33"/>
  <c r="O46" i="19" s="1"/>
  <c r="G45" i="33"/>
  <c r="O45" i="19" s="1"/>
  <c r="G44" i="33"/>
  <c r="O44" i="19" s="1"/>
  <c r="G43" i="33"/>
  <c r="O43" i="19" s="1"/>
  <c r="G42" i="33"/>
  <c r="O42" i="19" s="1"/>
  <c r="G41" i="33"/>
  <c r="O41" i="19" s="1"/>
  <c r="G39" i="33"/>
  <c r="O39" i="19" s="1"/>
  <c r="G38" i="33"/>
  <c r="O38" i="19" s="1"/>
  <c r="G36" i="33"/>
  <c r="O36" i="19" s="1"/>
  <c r="G35" i="33"/>
  <c r="O35" i="19" s="1"/>
  <c r="G33" i="33"/>
  <c r="O33" i="19" s="1"/>
  <c r="G32" i="33"/>
  <c r="O32" i="19" s="1"/>
  <c r="G30" i="33"/>
  <c r="O30" i="19" s="1"/>
  <c r="G28" i="33"/>
  <c r="O28" i="19" s="1"/>
  <c r="G27" i="33"/>
  <c r="O27" i="19" s="1"/>
  <c r="G26" i="33"/>
  <c r="O26" i="19" s="1"/>
  <c r="G25" i="33"/>
  <c r="O25" i="19" s="1"/>
  <c r="G24" i="33"/>
  <c r="O24" i="19" s="1"/>
  <c r="G23" i="33"/>
  <c r="O23" i="19" s="1"/>
  <c r="G21" i="33"/>
  <c r="O21" i="19" s="1"/>
  <c r="G20" i="33"/>
  <c r="O20" i="19" s="1"/>
  <c r="G19" i="33"/>
  <c r="O19" i="19" s="1"/>
  <c r="G18" i="33"/>
  <c r="O18" i="19" s="1"/>
  <c r="G17" i="33"/>
  <c r="O17" i="19" s="1"/>
  <c r="G16" i="33"/>
  <c r="O16" i="19" s="1"/>
  <c r="G15" i="33"/>
  <c r="O15" i="19" s="1"/>
  <c r="G13" i="33"/>
  <c r="O13" i="19" s="1"/>
  <c r="G12" i="33"/>
  <c r="O12" i="19" s="1"/>
  <c r="G10" i="33"/>
  <c r="O10" i="19" s="1"/>
  <c r="G9" i="33"/>
  <c r="O9" i="19" s="1"/>
  <c r="G7" i="33"/>
  <c r="O7" i="19" s="1"/>
  <c r="G6" i="33"/>
  <c r="O6" i="19" s="1"/>
  <c r="G44" i="32"/>
  <c r="N44" i="19" s="1"/>
  <c r="G74" i="32"/>
  <c r="N74" i="19" s="1"/>
  <c r="G38" i="32"/>
  <c r="N38" i="19" s="1"/>
  <c r="G36" i="32"/>
  <c r="N36" i="19" s="1"/>
  <c r="G35" i="32"/>
  <c r="N35" i="19" s="1"/>
  <c r="G33" i="32"/>
  <c r="N33" i="19" s="1"/>
  <c r="G32" i="32"/>
  <c r="N32" i="19" s="1"/>
  <c r="G30" i="32"/>
  <c r="N30" i="19" s="1"/>
  <c r="G28" i="32"/>
  <c r="N28" i="19" s="1"/>
  <c r="G27" i="32"/>
  <c r="N27" i="19" s="1"/>
  <c r="G26" i="32"/>
  <c r="N26" i="19" s="1"/>
  <c r="G25" i="32"/>
  <c r="N25" i="19" s="1"/>
  <c r="G24" i="32"/>
  <c r="N24" i="19" s="1"/>
  <c r="G23" i="32"/>
  <c r="N23" i="19" s="1"/>
  <c r="G21" i="32"/>
  <c r="N21" i="19" s="1"/>
  <c r="G20" i="32"/>
  <c r="N20" i="19" s="1"/>
  <c r="G19" i="32"/>
  <c r="N19" i="19" s="1"/>
  <c r="G18" i="32"/>
  <c r="N18" i="19" s="1"/>
  <c r="G17" i="32"/>
  <c r="N17" i="19" s="1"/>
  <c r="G16" i="32"/>
  <c r="N16" i="19" s="1"/>
  <c r="G15" i="32"/>
  <c r="N15" i="19" s="1"/>
  <c r="G13" i="32"/>
  <c r="N13" i="19" s="1"/>
  <c r="G12" i="32"/>
  <c r="N12" i="19" s="1"/>
  <c r="G10" i="32"/>
  <c r="N10" i="19" s="1"/>
  <c r="G9" i="32"/>
  <c r="N9" i="19" s="1"/>
  <c r="G7" i="32"/>
  <c r="N7" i="19" s="1"/>
  <c r="G6" i="32"/>
  <c r="N6" i="19" s="1"/>
  <c r="G70" i="31"/>
  <c r="I70" i="19" s="1"/>
  <c r="G69" i="31"/>
  <c r="I69" i="19" s="1"/>
  <c r="G67" i="31"/>
  <c r="I67" i="19" s="1"/>
  <c r="G66" i="31"/>
  <c r="I66" i="19" s="1"/>
  <c r="G65" i="31"/>
  <c r="I65" i="19" s="1"/>
  <c r="G63" i="31"/>
  <c r="I63" i="19" s="1"/>
  <c r="G60" i="31"/>
  <c r="I60" i="19" s="1"/>
  <c r="G59" i="31"/>
  <c r="I59" i="19" s="1"/>
  <c r="G58" i="31"/>
  <c r="I58" i="19" s="1"/>
  <c r="G57" i="31"/>
  <c r="I57" i="19" s="1"/>
  <c r="G56" i="31"/>
  <c r="I56" i="19" s="1"/>
  <c r="G55" i="31"/>
  <c r="I55" i="19" s="1"/>
  <c r="G53" i="31"/>
  <c r="I53" i="19" s="1"/>
  <c r="G52" i="31"/>
  <c r="I52" i="19" s="1"/>
  <c r="G51" i="31"/>
  <c r="I51" i="19" s="1"/>
  <c r="G50" i="31"/>
  <c r="I50" i="19" s="1"/>
  <c r="G41" i="31"/>
  <c r="I41" i="19" s="1"/>
  <c r="G39" i="31"/>
  <c r="I39" i="19" s="1"/>
  <c r="G38" i="31"/>
  <c r="I38" i="19" s="1"/>
  <c r="G36" i="31"/>
  <c r="I36" i="19" s="1"/>
  <c r="G35" i="31"/>
  <c r="I35" i="19" s="1"/>
  <c r="G33" i="31"/>
  <c r="I33" i="19" s="1"/>
  <c r="G32" i="31"/>
  <c r="I32" i="19" s="1"/>
  <c r="G30" i="31"/>
  <c r="I30" i="19" s="1"/>
  <c r="G28" i="31"/>
  <c r="I28" i="19" s="1"/>
  <c r="G27" i="31"/>
  <c r="I27" i="19" s="1"/>
  <c r="G26" i="31"/>
  <c r="I26" i="19" s="1"/>
  <c r="G74" i="31"/>
  <c r="I74" i="19" s="1"/>
  <c r="G73" i="31"/>
  <c r="I73" i="19" s="1"/>
  <c r="G72" i="31"/>
  <c r="I72" i="19" s="1"/>
  <c r="G71" i="31"/>
  <c r="I71" i="19" s="1"/>
  <c r="G25" i="31"/>
  <c r="I25" i="19" s="1"/>
  <c r="G24" i="31"/>
  <c r="I24" i="19" s="1"/>
  <c r="G23" i="31"/>
  <c r="I23" i="19" s="1"/>
  <c r="G21" i="31"/>
  <c r="I21" i="19" s="1"/>
  <c r="G20" i="31"/>
  <c r="I20" i="19" s="1"/>
  <c r="G19" i="31"/>
  <c r="I19" i="19" s="1"/>
  <c r="G18" i="31"/>
  <c r="I18" i="19" s="1"/>
  <c r="G17" i="31"/>
  <c r="I17" i="19" s="1"/>
  <c r="G16" i="31"/>
  <c r="I16" i="19" s="1"/>
  <c r="G15" i="31"/>
  <c r="I15" i="19" s="1"/>
  <c r="G13" i="31"/>
  <c r="I13" i="19" s="1"/>
  <c r="G12" i="31"/>
  <c r="I12" i="19" s="1"/>
  <c r="G10" i="31"/>
  <c r="I10" i="19" s="1"/>
  <c r="G9" i="31"/>
  <c r="I9" i="19" s="1"/>
  <c r="G7" i="31"/>
  <c r="I7" i="19" s="1"/>
  <c r="G6" i="31"/>
  <c r="I6" i="19" s="1"/>
  <c r="G65" i="29"/>
  <c r="H65" i="19" s="1"/>
  <c r="G63" i="29"/>
  <c r="H63" i="19" s="1"/>
  <c r="G60" i="29"/>
  <c r="H60" i="19" s="1"/>
  <c r="G59" i="29"/>
  <c r="H59" i="19" s="1"/>
  <c r="G58" i="29"/>
  <c r="H58" i="19" s="1"/>
  <c r="G57" i="29"/>
  <c r="H57" i="19" s="1"/>
  <c r="G56" i="29"/>
  <c r="H56" i="19" s="1"/>
  <c r="G55" i="29"/>
  <c r="H55" i="19" s="1"/>
  <c r="G53" i="29"/>
  <c r="H53" i="19" s="1"/>
  <c r="G52" i="29"/>
  <c r="H52" i="19" s="1"/>
  <c r="G51" i="29"/>
  <c r="H51" i="19" s="1"/>
  <c r="G50" i="29"/>
  <c r="H50" i="19" s="1"/>
  <c r="G48" i="29"/>
  <c r="H48" i="19" s="1"/>
  <c r="G47" i="29"/>
  <c r="H47" i="19" s="1"/>
  <c r="G46" i="29"/>
  <c r="H46" i="19" s="1"/>
  <c r="G33" i="29"/>
  <c r="H33" i="19" s="1"/>
  <c r="G32" i="29"/>
  <c r="H32" i="19" s="1"/>
  <c r="G30" i="29"/>
  <c r="H30" i="19" s="1"/>
  <c r="G28" i="29"/>
  <c r="H28" i="19" s="1"/>
  <c r="G27" i="29"/>
  <c r="H27" i="19" s="1"/>
  <c r="G26" i="29"/>
  <c r="H26" i="19" s="1"/>
  <c r="G25" i="29"/>
  <c r="H25" i="19" s="1"/>
  <c r="G24" i="29"/>
  <c r="H24" i="19" s="1"/>
  <c r="G23" i="29"/>
  <c r="H23" i="19" s="1"/>
  <c r="G21" i="29"/>
  <c r="H21" i="19" s="1"/>
  <c r="G20" i="29"/>
  <c r="H20" i="19" s="1"/>
  <c r="G19" i="29"/>
  <c r="H19" i="19" s="1"/>
  <c r="G45" i="29"/>
  <c r="H45" i="19" s="1"/>
  <c r="G44" i="29"/>
  <c r="H44" i="19" s="1"/>
  <c r="G43" i="29"/>
  <c r="H43" i="19" s="1"/>
  <c r="G42" i="29"/>
  <c r="H42" i="19" s="1"/>
  <c r="G41" i="29"/>
  <c r="H41" i="19" s="1"/>
  <c r="G39" i="29"/>
  <c r="H39" i="19" s="1"/>
  <c r="G38" i="29"/>
  <c r="H38" i="19" s="1"/>
  <c r="G36" i="29"/>
  <c r="H36" i="19" s="1"/>
  <c r="G35" i="29"/>
  <c r="H35" i="19" s="1"/>
  <c r="G17" i="29"/>
  <c r="H17" i="19" s="1"/>
  <c r="G16" i="29"/>
  <c r="H16" i="19" s="1"/>
  <c r="G15" i="29"/>
  <c r="H15" i="19" s="1"/>
  <c r="G13" i="29"/>
  <c r="H13" i="19" s="1"/>
  <c r="G12" i="29"/>
  <c r="H12" i="19" s="1"/>
  <c r="G10" i="29"/>
  <c r="H10" i="19" s="1"/>
  <c r="G9" i="29"/>
  <c r="H9" i="19" s="1"/>
  <c r="G7" i="29"/>
  <c r="H7" i="19" s="1"/>
  <c r="G6" i="29"/>
  <c r="H6" i="19" s="1"/>
  <c r="G74" i="29"/>
  <c r="H74" i="19" s="1"/>
  <c r="G73" i="29"/>
  <c r="H73" i="19" s="1"/>
  <c r="G72" i="29"/>
  <c r="H72" i="19" s="1"/>
  <c r="G71" i="29"/>
  <c r="H71" i="19" s="1"/>
  <c r="G70" i="29"/>
  <c r="H70" i="19" s="1"/>
  <c r="G69" i="29"/>
  <c r="H69" i="19" s="1"/>
  <c r="G67" i="29"/>
  <c r="H67" i="19" s="1"/>
  <c r="G66" i="29"/>
  <c r="H66" i="19" s="1"/>
  <c r="C539" i="1"/>
  <c r="D539" i="1" s="1"/>
  <c r="G539" i="1"/>
  <c r="H539" i="1" s="1"/>
  <c r="C548" i="1"/>
  <c r="D548" i="1" s="1"/>
  <c r="G548" i="1"/>
  <c r="H548" i="1" s="1"/>
  <c r="E355" i="3"/>
  <c r="C355" i="3" l="1"/>
  <c r="G355" i="1" s="1"/>
  <c r="H355" i="1" s="1"/>
  <c r="K355" i="3"/>
  <c r="N37" i="19"/>
  <c r="F36" i="18"/>
  <c r="F36" i="17"/>
  <c r="F36" i="14"/>
  <c r="H36" i="28"/>
  <c r="J36" i="28" s="1"/>
  <c r="F36" i="10"/>
  <c r="B36" i="9"/>
  <c r="F36" i="21" s="1"/>
  <c r="F36" i="9"/>
  <c r="F36" i="8"/>
  <c r="B36" i="7"/>
  <c r="D36" i="21" s="1"/>
  <c r="F36" i="7"/>
  <c r="F36" i="6"/>
  <c r="D53" i="4"/>
  <c r="B53" i="4"/>
  <c r="E362" i="2"/>
  <c r="E362" i="3"/>
  <c r="C362" i="3" l="1"/>
  <c r="C362" i="1" s="1"/>
  <c r="D362" i="1" s="1"/>
  <c r="K362" i="3"/>
  <c r="D89" i="4"/>
  <c r="C355" i="1"/>
  <c r="D355" i="1" s="1"/>
  <c r="F53" i="4"/>
  <c r="E36" i="5" s="1"/>
  <c r="E36" i="14" s="1"/>
  <c r="L13" i="24"/>
  <c r="I1" i="28"/>
  <c r="I4" i="28" s="1"/>
  <c r="H74" i="28"/>
  <c r="J74" i="28" s="1"/>
  <c r="H73" i="28"/>
  <c r="J73" i="28" s="1"/>
  <c r="H72" i="28"/>
  <c r="J72" i="28" s="1"/>
  <c r="H71" i="28"/>
  <c r="J71" i="28" s="1"/>
  <c r="H70" i="28"/>
  <c r="J70" i="28" s="1"/>
  <c r="H69" i="28"/>
  <c r="J69" i="28" s="1"/>
  <c r="H67" i="28"/>
  <c r="J67" i="28" s="1"/>
  <c r="H66" i="28"/>
  <c r="J66" i="28" s="1"/>
  <c r="H65" i="28"/>
  <c r="J65" i="28" s="1"/>
  <c r="H63" i="28"/>
  <c r="J63" i="28" s="1"/>
  <c r="H60" i="28"/>
  <c r="J60" i="28" s="1"/>
  <c r="H59" i="28"/>
  <c r="J59" i="28" s="1"/>
  <c r="H58" i="28"/>
  <c r="J58" i="28" s="1"/>
  <c r="H57" i="28"/>
  <c r="J57" i="28" s="1"/>
  <c r="H56" i="28"/>
  <c r="J56" i="28" s="1"/>
  <c r="H55" i="28"/>
  <c r="J55" i="28" s="1"/>
  <c r="H53" i="28"/>
  <c r="J53" i="28" s="1"/>
  <c r="H52" i="28"/>
  <c r="J52" i="28" s="1"/>
  <c r="H51" i="28"/>
  <c r="J51" i="28" s="1"/>
  <c r="H50" i="28"/>
  <c r="J50" i="28" s="1"/>
  <c r="H48" i="28"/>
  <c r="J48" i="28" s="1"/>
  <c r="H47" i="28"/>
  <c r="J47" i="28" s="1"/>
  <c r="H46" i="28"/>
  <c r="J46" i="28" s="1"/>
  <c r="H45" i="28"/>
  <c r="J45" i="28" s="1"/>
  <c r="H44" i="28"/>
  <c r="J44" i="28" s="1"/>
  <c r="H43" i="28"/>
  <c r="J43" i="28" s="1"/>
  <c r="H42" i="28"/>
  <c r="J42" i="28" s="1"/>
  <c r="H41" i="28"/>
  <c r="J41" i="28" s="1"/>
  <c r="H39" i="28"/>
  <c r="J39" i="28" s="1"/>
  <c r="H38" i="28"/>
  <c r="J38" i="28" s="1"/>
  <c r="H35" i="28"/>
  <c r="J35" i="28" s="1"/>
  <c r="H33" i="28"/>
  <c r="J33" i="28" s="1"/>
  <c r="H32" i="28"/>
  <c r="J32" i="28" s="1"/>
  <c r="H30" i="28"/>
  <c r="J30" i="28" s="1"/>
  <c r="H28" i="28"/>
  <c r="J28" i="28" s="1"/>
  <c r="H27" i="28"/>
  <c r="J27" i="28" s="1"/>
  <c r="H26" i="28"/>
  <c r="J26" i="28" s="1"/>
  <c r="H25" i="28"/>
  <c r="J25" i="28" s="1"/>
  <c r="H24" i="28"/>
  <c r="J24" i="28" s="1"/>
  <c r="H23" i="28"/>
  <c r="J23" i="28" s="1"/>
  <c r="H21" i="28"/>
  <c r="J21" i="28" s="1"/>
  <c r="H20" i="28"/>
  <c r="J20" i="28" s="1"/>
  <c r="H19" i="28"/>
  <c r="J19" i="28" s="1"/>
  <c r="H18" i="28"/>
  <c r="J18" i="28" s="1"/>
  <c r="H17" i="28"/>
  <c r="J17" i="28" s="1"/>
  <c r="H16" i="28"/>
  <c r="J16" i="28" s="1"/>
  <c r="H15" i="28"/>
  <c r="J15" i="28" s="1"/>
  <c r="H13" i="28"/>
  <c r="J13" i="28" s="1"/>
  <c r="H12" i="28"/>
  <c r="J12" i="28" s="1"/>
  <c r="H10" i="28"/>
  <c r="J10" i="28" s="1"/>
  <c r="H9" i="28"/>
  <c r="J9" i="28" s="1"/>
  <c r="H7" i="28"/>
  <c r="J7" i="28" s="1"/>
  <c r="H6" i="28"/>
  <c r="J6" i="28" s="1"/>
  <c r="E807" i="1"/>
  <c r="F807" i="1" s="1"/>
  <c r="G807" i="1"/>
  <c r="H807" i="1" s="1"/>
  <c r="L807" i="2"/>
  <c r="C807" i="1" s="1"/>
  <c r="D807" i="1" s="1"/>
  <c r="E143" i="1"/>
  <c r="G143" i="1" s="1"/>
  <c r="H143" i="1" s="1"/>
  <c r="N143" i="2"/>
  <c r="J143" i="2"/>
  <c r="C143" i="1" s="1"/>
  <c r="D143" i="1" s="1"/>
  <c r="F431" i="2"/>
  <c r="E431" i="3"/>
  <c r="G694" i="1"/>
  <c r="H694" i="1" s="1"/>
  <c r="D55" i="4" l="1"/>
  <c r="E362" i="1"/>
  <c r="F362" i="1" s="1"/>
  <c r="G362" i="1"/>
  <c r="H362" i="1" s="1"/>
  <c r="C431" i="3"/>
  <c r="C431" i="1" s="1"/>
  <c r="D431" i="1" s="1"/>
  <c r="K431" i="3"/>
  <c r="I37" i="28"/>
  <c r="E36" i="29"/>
  <c r="C36" i="29" s="1"/>
  <c r="E36" i="33"/>
  <c r="C36" i="33" s="1"/>
  <c r="E36" i="32"/>
  <c r="C36" i="32" s="1"/>
  <c r="E36" i="31"/>
  <c r="C36" i="31" s="1"/>
  <c r="E36" i="9"/>
  <c r="E36" i="8"/>
  <c r="E36" i="6"/>
  <c r="I36" i="28"/>
  <c r="E36" i="10"/>
  <c r="E36" i="7"/>
  <c r="G36" i="28"/>
  <c r="F36" i="28" s="1"/>
  <c r="E36" i="17"/>
  <c r="E36" i="18"/>
  <c r="I6" i="28"/>
  <c r="I18" i="28"/>
  <c r="I74" i="28"/>
  <c r="I71" i="28"/>
  <c r="I67" i="28"/>
  <c r="I63" i="28"/>
  <c r="I58" i="28"/>
  <c r="I55" i="28"/>
  <c r="I51" i="28"/>
  <c r="I47" i="28"/>
  <c r="I44" i="28"/>
  <c r="I41" i="28"/>
  <c r="I35" i="28"/>
  <c r="I30" i="28"/>
  <c r="I26" i="28"/>
  <c r="I23" i="28"/>
  <c r="I19" i="28"/>
  <c r="I16" i="28"/>
  <c r="I12" i="28"/>
  <c r="I7" i="28"/>
  <c r="I53" i="28"/>
  <c r="I21" i="28"/>
  <c r="I70" i="28"/>
  <c r="I50" i="28"/>
  <c r="I33" i="28"/>
  <c r="I72" i="28"/>
  <c r="I69" i="28"/>
  <c r="I65" i="28"/>
  <c r="I59" i="28"/>
  <c r="I56" i="28"/>
  <c r="I52" i="28"/>
  <c r="I48" i="28"/>
  <c r="I45" i="28"/>
  <c r="I42" i="28"/>
  <c r="I38" i="28"/>
  <c r="I32" i="28"/>
  <c r="I27" i="28"/>
  <c r="I24" i="28"/>
  <c r="I20" i="28"/>
  <c r="I17" i="28"/>
  <c r="I13" i="28"/>
  <c r="I9" i="28"/>
  <c r="I60" i="28"/>
  <c r="I43" i="28"/>
  <c r="I28" i="28"/>
  <c r="I15" i="28"/>
  <c r="I73" i="28"/>
  <c r="I66" i="28"/>
  <c r="I57" i="28"/>
  <c r="I46" i="28"/>
  <c r="I39" i="28"/>
  <c r="I25" i="28"/>
  <c r="I10" i="28"/>
  <c r="F143" i="1"/>
  <c r="C84" i="1"/>
  <c r="D84" i="1" s="1"/>
  <c r="E84" i="1"/>
  <c r="F84" i="1" s="1"/>
  <c r="G84" i="1"/>
  <c r="H84" i="1" s="1"/>
  <c r="E431" i="1" l="1"/>
  <c r="F431" i="1" s="1"/>
  <c r="G431" i="1"/>
  <c r="H431" i="1" s="1"/>
  <c r="E36" i="28"/>
  <c r="J36" i="19" s="1"/>
  <c r="I36" i="29"/>
  <c r="H36" i="20" s="1"/>
  <c r="J36" i="29"/>
  <c r="K36" i="29" s="1"/>
  <c r="E692" i="1"/>
  <c r="E273" i="1"/>
  <c r="F273" i="1" s="1"/>
  <c r="G273" i="1"/>
  <c r="H273" i="1" s="1"/>
  <c r="E273" i="2"/>
  <c r="C273" i="1" s="1"/>
  <c r="D273" i="1" s="1"/>
  <c r="E775" i="1"/>
  <c r="F775" i="1" s="1"/>
  <c r="G775" i="1"/>
  <c r="H775" i="1" s="1"/>
  <c r="L775" i="2"/>
  <c r="C775" i="1" s="1"/>
  <c r="D775" i="1" s="1"/>
  <c r="E772" i="1"/>
  <c r="F772" i="1" s="1"/>
  <c r="G772" i="1"/>
  <c r="H772" i="1" s="1"/>
  <c r="E771" i="1"/>
  <c r="F771" i="1" s="1"/>
  <c r="G771" i="1"/>
  <c r="H771" i="1" s="1"/>
  <c r="L772" i="2"/>
  <c r="C772" i="1" s="1"/>
  <c r="D772" i="1" s="1"/>
  <c r="L771" i="2"/>
  <c r="C771" i="1" s="1"/>
  <c r="D771" i="1" s="1"/>
  <c r="G744" i="1"/>
  <c r="H744" i="1" s="1"/>
  <c r="E744" i="1"/>
  <c r="F744" i="1" s="1"/>
  <c r="L744" i="2"/>
  <c r="C744" i="1" s="1"/>
  <c r="D744" i="1" s="1"/>
  <c r="E736" i="1"/>
  <c r="F736" i="1" s="1"/>
  <c r="G736" i="1"/>
  <c r="H736" i="1" s="1"/>
  <c r="L736" i="2"/>
  <c r="C736" i="1" s="1"/>
  <c r="D736" i="1" s="1"/>
  <c r="E730" i="1"/>
  <c r="F730" i="1" s="1"/>
  <c r="G730" i="1"/>
  <c r="H730" i="1" s="1"/>
  <c r="L730" i="2"/>
  <c r="C730" i="1" s="1"/>
  <c r="D730" i="1" s="1"/>
  <c r="C724" i="3"/>
  <c r="G724" i="1" s="1"/>
  <c r="H724" i="1" s="1"/>
  <c r="E725" i="1"/>
  <c r="F725" i="1" s="1"/>
  <c r="G725" i="1"/>
  <c r="H725" i="1" s="1"/>
  <c r="L724" i="2"/>
  <c r="H528" i="2"/>
  <c r="E528" i="3"/>
  <c r="I483" i="1"/>
  <c r="E483" i="3"/>
  <c r="E456" i="3"/>
  <c r="F427" i="2"/>
  <c r="E427" i="3"/>
  <c r="F383" i="2"/>
  <c r="E383" i="3"/>
  <c r="E299" i="3"/>
  <c r="C299" i="3" s="1"/>
  <c r="C528" i="3" l="1"/>
  <c r="E528" i="1" s="1"/>
  <c r="F528" i="1" s="1"/>
  <c r="K528" i="3"/>
  <c r="C483" i="3"/>
  <c r="B89" i="4" s="1"/>
  <c r="K483" i="3"/>
  <c r="C456" i="3"/>
  <c r="K456" i="3"/>
  <c r="C427" i="3"/>
  <c r="C427" i="1" s="1"/>
  <c r="D427" i="1" s="1"/>
  <c r="K427" i="3"/>
  <c r="C383" i="3"/>
  <c r="K383" i="3"/>
  <c r="E299" i="1"/>
  <c r="F299" i="1" s="1"/>
  <c r="C299" i="1"/>
  <c r="D299" i="1" s="1"/>
  <c r="G299" i="1"/>
  <c r="H299" i="1" s="1"/>
  <c r="C724" i="1"/>
  <c r="D724" i="1" s="1"/>
  <c r="E724" i="1"/>
  <c r="F724" i="1" s="1"/>
  <c r="C528" i="1" l="1"/>
  <c r="D528" i="1" s="1"/>
  <c r="G528" i="1"/>
  <c r="H528" i="1" s="1"/>
  <c r="E383" i="1"/>
  <c r="F383" i="1" s="1"/>
  <c r="G383" i="1"/>
  <c r="G483" i="1"/>
  <c r="H483" i="1" s="1"/>
  <c r="C483" i="1"/>
  <c r="D483" i="1" s="1"/>
  <c r="E427" i="1"/>
  <c r="F427" i="1" s="1"/>
  <c r="G427" i="1"/>
  <c r="H427" i="1" s="1"/>
  <c r="C383" i="1"/>
  <c r="D383" i="1" s="1"/>
  <c r="E16" i="1"/>
  <c r="F16" i="1" s="1"/>
  <c r="E20" i="1"/>
  <c r="F20" i="1" s="1"/>
  <c r="I20" i="2"/>
  <c r="C20" i="1" s="1"/>
  <c r="D20" i="1" s="1"/>
  <c r="I16" i="2"/>
  <c r="C16" i="1" s="1"/>
  <c r="D16" i="1" s="1"/>
  <c r="G219" i="1"/>
  <c r="H219" i="1" s="1"/>
  <c r="E219" i="1"/>
  <c r="F219" i="1" s="1"/>
  <c r="L219" i="2"/>
  <c r="C219" i="1" s="1"/>
  <c r="D219" i="1" s="1"/>
  <c r="G218" i="1"/>
  <c r="H218" i="1" s="1"/>
  <c r="E218" i="1"/>
  <c r="F218" i="1" s="1"/>
  <c r="G216" i="1"/>
  <c r="E216" i="1"/>
  <c r="G215" i="1"/>
  <c r="E215" i="1"/>
  <c r="M216" i="2"/>
  <c r="C216" i="1" s="1"/>
  <c r="M218" i="2"/>
  <c r="C218" i="1" s="1"/>
  <c r="D218" i="1" s="1"/>
  <c r="M215" i="2"/>
  <c r="C215" i="1" s="1"/>
  <c r="L231" i="2"/>
  <c r="C231" i="1" s="1"/>
  <c r="D231" i="1" s="1"/>
  <c r="G231" i="1"/>
  <c r="H231" i="1" s="1"/>
  <c r="E231" i="1"/>
  <c r="F231" i="1" s="1"/>
  <c r="B108" i="5"/>
  <c r="B117" i="5" s="1"/>
  <c r="D117" i="5" s="1"/>
  <c r="B78" i="5"/>
  <c r="B80" i="5"/>
  <c r="B120" i="5" l="1"/>
  <c r="D120" i="5" s="1"/>
  <c r="B118" i="5"/>
  <c r="D118" i="5" s="1"/>
  <c r="G16" i="1"/>
  <c r="H16" i="1" s="1"/>
  <c r="G20" i="1"/>
  <c r="H20" i="1" s="1"/>
  <c r="E144" i="3"/>
  <c r="E434" i="3" l="1"/>
  <c r="C434" i="3" l="1"/>
  <c r="E434" i="1" s="1"/>
  <c r="F434" i="1" s="1"/>
  <c r="K434" i="3"/>
  <c r="E184" i="1"/>
  <c r="F184" i="1" s="1"/>
  <c r="G184" i="1"/>
  <c r="H184" i="1" s="1"/>
  <c r="E184" i="2"/>
  <c r="C184" i="1" s="1"/>
  <c r="D184" i="1" s="1"/>
  <c r="P790" i="3"/>
  <c r="P792" i="3"/>
  <c r="P793" i="3"/>
  <c r="P796" i="3"/>
  <c r="P798" i="3"/>
  <c r="P799" i="3"/>
  <c r="P800" i="3"/>
  <c r="P802" i="3"/>
  <c r="P78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779" i="3"/>
  <c r="F434" i="2"/>
  <c r="G220" i="1"/>
  <c r="H220" i="1" s="1"/>
  <c r="E217" i="1"/>
  <c r="F217" i="1" s="1"/>
  <c r="G217" i="1"/>
  <c r="H217" i="1" s="1"/>
  <c r="F217" i="2"/>
  <c r="C217" i="1" s="1"/>
  <c r="D217" i="1" s="1"/>
  <c r="G434" i="1" l="1"/>
  <c r="H434" i="1" s="1"/>
  <c r="C434" i="1"/>
  <c r="D434" i="1" s="1"/>
  <c r="E792" i="1"/>
  <c r="F792" i="1" s="1"/>
  <c r="G792" i="1"/>
  <c r="H792" i="1" s="1"/>
  <c r="F792" i="2"/>
  <c r="C792" i="1" s="1"/>
  <c r="D792" i="1" s="1"/>
  <c r="I811" i="1" l="1"/>
  <c r="F375" i="2" l="1"/>
  <c r="I73" i="2"/>
  <c r="E315" i="2"/>
  <c r="E811" i="1"/>
  <c r="F811" i="1" s="1"/>
  <c r="E333" i="2"/>
  <c r="E795" i="1" l="1"/>
  <c r="F795" i="1" s="1"/>
  <c r="E101" i="4"/>
  <c r="C95" i="5" l="1"/>
  <c r="J458" i="3" l="1"/>
  <c r="J457" i="3"/>
  <c r="E697" i="1"/>
  <c r="F697" i="1" s="1"/>
  <c r="G697" i="1"/>
  <c r="H697" i="1" s="1"/>
  <c r="M697" i="2"/>
  <c r="C697" i="1" s="1"/>
  <c r="D697" i="1" s="1"/>
  <c r="G759" i="1"/>
  <c r="H759" i="1" s="1"/>
  <c r="L759" i="2"/>
  <c r="E801" i="1"/>
  <c r="F801" i="2"/>
  <c r="C801" i="1" s="1"/>
  <c r="E806" i="1" l="1"/>
  <c r="F806" i="1" s="1"/>
  <c r="G806" i="1"/>
  <c r="H806" i="1" s="1"/>
  <c r="F806" i="2"/>
  <c r="C806" i="1" s="1"/>
  <c r="D806" i="1" s="1"/>
  <c r="F566" i="2" l="1"/>
  <c r="E566" i="1"/>
  <c r="E560" i="1"/>
  <c r="F560" i="1" s="1"/>
  <c r="G560" i="1"/>
  <c r="H560" i="1" s="1"/>
  <c r="F560" i="2"/>
  <c r="C560" i="1" s="1"/>
  <c r="D560" i="1" s="1"/>
  <c r="E558" i="1"/>
  <c r="F558" i="1" s="1"/>
  <c r="G558" i="1"/>
  <c r="H558" i="1" s="1"/>
  <c r="F558" i="2"/>
  <c r="C558" i="1" s="1"/>
  <c r="D558" i="1" s="1"/>
  <c r="E704" i="1"/>
  <c r="L704" i="2"/>
  <c r="C704" i="1" s="1"/>
  <c r="E186" i="1"/>
  <c r="F186" i="1" s="1"/>
  <c r="L186" i="2"/>
  <c r="C186" i="1" s="1"/>
  <c r="D186" i="1" s="1"/>
  <c r="N186" i="2"/>
  <c r="G186" i="1" s="1"/>
  <c r="H186" i="1" s="1"/>
  <c r="N646" i="2"/>
  <c r="E25" i="23"/>
  <c r="M25" i="23" s="1"/>
  <c r="E14" i="23"/>
  <c r="M14" i="23" s="1"/>
  <c r="E13" i="23"/>
  <c r="M13" i="23" s="1"/>
  <c r="M24" i="23"/>
  <c r="E21" i="23"/>
  <c r="M21" i="23" s="1"/>
  <c r="M20" i="23"/>
  <c r="M19" i="23"/>
  <c r="M12" i="23"/>
  <c r="M15" i="23"/>
  <c r="M11" i="23"/>
  <c r="M7" i="23"/>
  <c r="M8" i="23"/>
  <c r="M6" i="23"/>
  <c r="H6" i="23"/>
  <c r="C33" i="23" s="1"/>
  <c r="N6" i="23" s="1"/>
  <c r="F24" i="23"/>
  <c r="H24" i="23" s="1"/>
  <c r="C36" i="23" s="1"/>
  <c r="N24" i="23" s="1"/>
  <c r="O24" i="23" s="1"/>
  <c r="F19" i="23"/>
  <c r="F20" i="23" s="1"/>
  <c r="F11" i="23"/>
  <c r="F15" i="23" s="1"/>
  <c r="B35" i="27"/>
  <c r="B39" i="21"/>
  <c r="E325" i="2"/>
  <c r="G196" i="1"/>
  <c r="G195" i="1"/>
  <c r="H195" i="1" s="1"/>
  <c r="D21" i="26"/>
  <c r="D20" i="26"/>
  <c r="D16" i="26"/>
  <c r="D15" i="26"/>
  <c r="D14" i="26"/>
  <c r="D13" i="26"/>
  <c r="D12" i="26"/>
  <c r="D11" i="26"/>
  <c r="D10" i="26"/>
  <c r="D9" i="26"/>
  <c r="D8" i="26"/>
  <c r="L437" i="2"/>
  <c r="L438" i="2"/>
  <c r="L439" i="2"/>
  <c r="L440" i="2"/>
  <c r="L441" i="2"/>
  <c r="L442" i="2"/>
  <c r="L443" i="2"/>
  <c r="E537" i="1"/>
  <c r="F537" i="1" s="1"/>
  <c r="G537" i="1"/>
  <c r="H537" i="1" s="1"/>
  <c r="F536" i="2"/>
  <c r="F537" i="2"/>
  <c r="C537" i="1" s="1"/>
  <c r="D537" i="1" s="1"/>
  <c r="E535" i="1"/>
  <c r="F535" i="1" s="1"/>
  <c r="E534" i="1"/>
  <c r="F534" i="1" s="1"/>
  <c r="F535" i="2"/>
  <c r="C535" i="1" s="1"/>
  <c r="G534" i="1"/>
  <c r="F534" i="2"/>
  <c r="C534" i="1" s="1"/>
  <c r="D47" i="4"/>
  <c r="B39" i="9"/>
  <c r="B38" i="9"/>
  <c r="B39" i="7"/>
  <c r="B38" i="7"/>
  <c r="F7" i="18"/>
  <c r="F9" i="18"/>
  <c r="F10" i="18"/>
  <c r="F12" i="18"/>
  <c r="F13" i="18"/>
  <c r="F15" i="18"/>
  <c r="F16" i="18"/>
  <c r="F17" i="18"/>
  <c r="F18" i="18"/>
  <c r="F19" i="18"/>
  <c r="F20" i="18"/>
  <c r="F21" i="18"/>
  <c r="F23" i="18"/>
  <c r="F24" i="18"/>
  <c r="F25" i="18"/>
  <c r="F26" i="18"/>
  <c r="F27" i="18"/>
  <c r="F28" i="18"/>
  <c r="F30" i="18"/>
  <c r="F32" i="18"/>
  <c r="F33" i="18"/>
  <c r="F35" i="18"/>
  <c r="F38" i="18"/>
  <c r="F39" i="18"/>
  <c r="F41" i="18"/>
  <c r="F42" i="18"/>
  <c r="F43" i="18"/>
  <c r="F44" i="18"/>
  <c r="F45" i="18"/>
  <c r="F46" i="18"/>
  <c r="F47" i="18"/>
  <c r="F48" i="18"/>
  <c r="F50" i="18"/>
  <c r="F51" i="18"/>
  <c r="F52" i="18"/>
  <c r="F53" i="18"/>
  <c r="F55" i="18"/>
  <c r="F56" i="18"/>
  <c r="F57" i="18"/>
  <c r="F58" i="18"/>
  <c r="F59" i="18"/>
  <c r="F60" i="18"/>
  <c r="F63" i="18"/>
  <c r="F65" i="18"/>
  <c r="F66" i="18"/>
  <c r="F67" i="18"/>
  <c r="F69" i="18"/>
  <c r="F70" i="18"/>
  <c r="F71" i="18"/>
  <c r="F72" i="18"/>
  <c r="F73" i="18"/>
  <c r="F74" i="18"/>
  <c r="F6" i="18"/>
  <c r="F7" i="17"/>
  <c r="F9" i="17"/>
  <c r="F10" i="17"/>
  <c r="F12" i="17"/>
  <c r="F13" i="17"/>
  <c r="F15" i="17"/>
  <c r="F16" i="17"/>
  <c r="F17" i="17"/>
  <c r="F18" i="17"/>
  <c r="F19" i="17"/>
  <c r="F20" i="17"/>
  <c r="F21" i="17"/>
  <c r="F23" i="17"/>
  <c r="F24" i="17"/>
  <c r="F25" i="17"/>
  <c r="F26" i="17"/>
  <c r="F27" i="17"/>
  <c r="F28" i="17"/>
  <c r="F30" i="17"/>
  <c r="F32" i="17"/>
  <c r="F33" i="17"/>
  <c r="F35" i="17"/>
  <c r="F38" i="17"/>
  <c r="F39" i="17"/>
  <c r="F41" i="17"/>
  <c r="F42" i="17"/>
  <c r="F43" i="17"/>
  <c r="F44" i="17"/>
  <c r="F45" i="17"/>
  <c r="F46" i="17"/>
  <c r="F47" i="17"/>
  <c r="F48" i="17"/>
  <c r="F50" i="17"/>
  <c r="F51" i="17"/>
  <c r="F52" i="17"/>
  <c r="F53" i="17"/>
  <c r="F55" i="17"/>
  <c r="F56" i="17"/>
  <c r="F57" i="17"/>
  <c r="F58" i="17"/>
  <c r="F59" i="17"/>
  <c r="F60" i="17"/>
  <c r="F63" i="17"/>
  <c r="F65" i="17"/>
  <c r="F66" i="17"/>
  <c r="F67" i="17"/>
  <c r="F69" i="17"/>
  <c r="F70" i="17"/>
  <c r="F71" i="17"/>
  <c r="F72" i="17"/>
  <c r="F73" i="17"/>
  <c r="F74" i="17"/>
  <c r="F6" i="17"/>
  <c r="F7" i="14"/>
  <c r="F9" i="14"/>
  <c r="F10" i="14"/>
  <c r="F12" i="14"/>
  <c r="F13" i="14"/>
  <c r="F15" i="14"/>
  <c r="F16" i="14"/>
  <c r="F17" i="14"/>
  <c r="F18" i="14"/>
  <c r="F19" i="14"/>
  <c r="F20" i="14"/>
  <c r="F21" i="14"/>
  <c r="F23" i="14"/>
  <c r="F24" i="14"/>
  <c r="F25" i="14"/>
  <c r="F26" i="14"/>
  <c r="F27" i="14"/>
  <c r="F28" i="14"/>
  <c r="F30" i="14"/>
  <c r="F32" i="14"/>
  <c r="F33" i="14"/>
  <c r="F35" i="14"/>
  <c r="F38" i="14"/>
  <c r="F39" i="14"/>
  <c r="F41" i="14"/>
  <c r="F42" i="14"/>
  <c r="F43" i="14"/>
  <c r="F44" i="14"/>
  <c r="F45" i="14"/>
  <c r="F46" i="14"/>
  <c r="F47" i="14"/>
  <c r="F48" i="14"/>
  <c r="F50" i="14"/>
  <c r="F51" i="14"/>
  <c r="F52" i="14"/>
  <c r="F53" i="14"/>
  <c r="F55" i="14"/>
  <c r="F56" i="14"/>
  <c r="F57" i="14"/>
  <c r="F58" i="14"/>
  <c r="F60" i="14"/>
  <c r="F63" i="14"/>
  <c r="F65" i="14"/>
  <c r="F66" i="14"/>
  <c r="F67" i="14"/>
  <c r="F69" i="14"/>
  <c r="F70" i="14"/>
  <c r="F71" i="14"/>
  <c r="F72" i="14"/>
  <c r="F73" i="14"/>
  <c r="F74" i="14"/>
  <c r="F6" i="14"/>
  <c r="F7" i="10"/>
  <c r="F9" i="10"/>
  <c r="F10" i="10"/>
  <c r="F12" i="10"/>
  <c r="F13" i="10"/>
  <c r="F15" i="10"/>
  <c r="F16" i="10"/>
  <c r="F17" i="10"/>
  <c r="F18" i="10"/>
  <c r="F19" i="10"/>
  <c r="F20" i="10"/>
  <c r="F21" i="10"/>
  <c r="F23" i="10"/>
  <c r="F24" i="10"/>
  <c r="F25" i="10"/>
  <c r="F26" i="10"/>
  <c r="F27" i="10"/>
  <c r="F28" i="10"/>
  <c r="F30" i="10"/>
  <c r="F32" i="10"/>
  <c r="F33" i="10"/>
  <c r="F35" i="10"/>
  <c r="F38" i="10"/>
  <c r="F39" i="10"/>
  <c r="F41" i="10"/>
  <c r="F42" i="10"/>
  <c r="F43" i="10"/>
  <c r="F44" i="10"/>
  <c r="F45" i="10"/>
  <c r="F46" i="10"/>
  <c r="F47" i="10"/>
  <c r="F48" i="10"/>
  <c r="F50" i="10"/>
  <c r="F51" i="10"/>
  <c r="F52" i="10"/>
  <c r="F53" i="10"/>
  <c r="F55" i="10"/>
  <c r="F56" i="10"/>
  <c r="F57" i="10"/>
  <c r="F58" i="10"/>
  <c r="F59" i="10"/>
  <c r="F60" i="10"/>
  <c r="F63" i="10"/>
  <c r="F65" i="10"/>
  <c r="F66" i="10"/>
  <c r="F67" i="10"/>
  <c r="F69" i="10"/>
  <c r="F70" i="10"/>
  <c r="F71" i="10"/>
  <c r="F72" i="10"/>
  <c r="F73" i="10"/>
  <c r="F74" i="10"/>
  <c r="F6" i="10"/>
  <c r="F7" i="9"/>
  <c r="F9" i="9"/>
  <c r="F10" i="9"/>
  <c r="F12" i="9"/>
  <c r="F13" i="9"/>
  <c r="F15" i="9"/>
  <c r="F16" i="9"/>
  <c r="F17" i="9"/>
  <c r="F18" i="9"/>
  <c r="F19" i="9"/>
  <c r="F20" i="9"/>
  <c r="F21" i="9"/>
  <c r="F23" i="9"/>
  <c r="F24" i="9"/>
  <c r="F25" i="9"/>
  <c r="F26" i="9"/>
  <c r="F27" i="9"/>
  <c r="F28" i="9"/>
  <c r="F30" i="9"/>
  <c r="F32" i="9"/>
  <c r="F33" i="9"/>
  <c r="F35" i="9"/>
  <c r="F38" i="9"/>
  <c r="F39" i="9"/>
  <c r="F41" i="9"/>
  <c r="F42" i="9"/>
  <c r="F43" i="9"/>
  <c r="F44" i="9"/>
  <c r="F45" i="9"/>
  <c r="F46" i="9"/>
  <c r="F47" i="9"/>
  <c r="F48" i="9"/>
  <c r="F50" i="9"/>
  <c r="F51" i="9"/>
  <c r="F52" i="9"/>
  <c r="F53" i="9"/>
  <c r="F55" i="9"/>
  <c r="F56" i="9"/>
  <c r="F57" i="9"/>
  <c r="F58" i="9"/>
  <c r="F59" i="9"/>
  <c r="F60" i="9"/>
  <c r="F63" i="9"/>
  <c r="F65" i="9"/>
  <c r="F66" i="9"/>
  <c r="F67" i="9"/>
  <c r="F69" i="9"/>
  <c r="F70" i="9"/>
  <c r="F71" i="9"/>
  <c r="F72" i="9"/>
  <c r="F73" i="9"/>
  <c r="F74" i="9"/>
  <c r="F6" i="9"/>
  <c r="F7" i="8"/>
  <c r="F9" i="8"/>
  <c r="F10" i="8"/>
  <c r="F12" i="8"/>
  <c r="F13" i="8"/>
  <c r="F15" i="8"/>
  <c r="F16" i="8"/>
  <c r="F17" i="8"/>
  <c r="F18" i="8"/>
  <c r="F19" i="8"/>
  <c r="F20" i="8"/>
  <c r="F21" i="8"/>
  <c r="F23" i="8"/>
  <c r="F24" i="8"/>
  <c r="F25" i="8"/>
  <c r="F26" i="8"/>
  <c r="F27" i="8"/>
  <c r="F28" i="8"/>
  <c r="F30" i="8"/>
  <c r="F32" i="8"/>
  <c r="F33" i="8"/>
  <c r="F35" i="8"/>
  <c r="F38" i="8"/>
  <c r="F39" i="8"/>
  <c r="F41" i="8"/>
  <c r="F42" i="8"/>
  <c r="F43" i="8"/>
  <c r="F44" i="8"/>
  <c r="F45" i="8"/>
  <c r="F46" i="8"/>
  <c r="F47" i="8"/>
  <c r="F48" i="8"/>
  <c r="F50" i="8"/>
  <c r="F51" i="8"/>
  <c r="F52" i="8"/>
  <c r="F53" i="8"/>
  <c r="F55" i="8"/>
  <c r="F56" i="8"/>
  <c r="F57" i="8"/>
  <c r="F58" i="8"/>
  <c r="F59" i="8"/>
  <c r="F60" i="8"/>
  <c r="F63" i="8"/>
  <c r="F65" i="8"/>
  <c r="F66" i="8"/>
  <c r="F67" i="8"/>
  <c r="F69" i="8"/>
  <c r="F70" i="8"/>
  <c r="F71" i="8"/>
  <c r="F72" i="8"/>
  <c r="F73" i="8"/>
  <c r="F74" i="8"/>
  <c r="F6" i="8"/>
  <c r="F7" i="7"/>
  <c r="F9" i="7"/>
  <c r="F10" i="7"/>
  <c r="F12" i="7"/>
  <c r="F13" i="7"/>
  <c r="F15" i="7"/>
  <c r="F16" i="7"/>
  <c r="F17" i="7"/>
  <c r="F18" i="7"/>
  <c r="F19" i="7"/>
  <c r="F20" i="7"/>
  <c r="F21" i="7"/>
  <c r="F23" i="7"/>
  <c r="F24" i="7"/>
  <c r="F25" i="7"/>
  <c r="F26" i="7"/>
  <c r="F27" i="7"/>
  <c r="F28" i="7"/>
  <c r="F30" i="7"/>
  <c r="F32" i="7"/>
  <c r="F33" i="7"/>
  <c r="F35" i="7"/>
  <c r="F38" i="7"/>
  <c r="F39" i="7"/>
  <c r="F41" i="7"/>
  <c r="F42" i="7"/>
  <c r="F43" i="7"/>
  <c r="F44" i="7"/>
  <c r="F45" i="7"/>
  <c r="F46" i="7"/>
  <c r="F47" i="7"/>
  <c r="F48" i="7"/>
  <c r="F50" i="7"/>
  <c r="F51" i="7"/>
  <c r="F52" i="7"/>
  <c r="F53" i="7"/>
  <c r="F55" i="7"/>
  <c r="F56" i="7"/>
  <c r="F57" i="7"/>
  <c r="F58" i="7"/>
  <c r="F59" i="7"/>
  <c r="F60" i="7"/>
  <c r="F63" i="7"/>
  <c r="F65" i="7"/>
  <c r="F66" i="7"/>
  <c r="F67" i="7"/>
  <c r="F69" i="7"/>
  <c r="F70" i="7"/>
  <c r="F71" i="7"/>
  <c r="F72" i="7"/>
  <c r="F73" i="7"/>
  <c r="F74" i="7"/>
  <c r="F6" i="7"/>
  <c r="F55" i="6"/>
  <c r="F63" i="6"/>
  <c r="F65" i="6"/>
  <c r="F66" i="6"/>
  <c r="F67" i="6"/>
  <c r="F69" i="6"/>
  <c r="F70" i="6"/>
  <c r="F71" i="6"/>
  <c r="F72" i="6"/>
  <c r="F73" i="6"/>
  <c r="F74" i="6"/>
  <c r="F50" i="6"/>
  <c r="F51" i="6"/>
  <c r="F52" i="6"/>
  <c r="F53" i="6"/>
  <c r="F56" i="6"/>
  <c r="F57" i="6"/>
  <c r="F58" i="6"/>
  <c r="F59" i="6"/>
  <c r="F60" i="6"/>
  <c r="F41" i="6"/>
  <c r="F42" i="6"/>
  <c r="F43" i="6"/>
  <c r="F44" i="6"/>
  <c r="F45" i="6"/>
  <c r="F46" i="6"/>
  <c r="F47" i="6"/>
  <c r="F48" i="6"/>
  <c r="F30" i="6"/>
  <c r="F32" i="6"/>
  <c r="F33" i="6"/>
  <c r="F35" i="6"/>
  <c r="F38" i="6"/>
  <c r="F39" i="6"/>
  <c r="F23" i="6"/>
  <c r="F24" i="6"/>
  <c r="F25" i="6"/>
  <c r="F26" i="6"/>
  <c r="F27" i="6"/>
  <c r="F28" i="6"/>
  <c r="F13" i="6"/>
  <c r="F15" i="6"/>
  <c r="F16" i="6"/>
  <c r="F17" i="6"/>
  <c r="F18" i="6"/>
  <c r="F19" i="6"/>
  <c r="F20" i="6"/>
  <c r="F21" i="6"/>
  <c r="F7" i="6"/>
  <c r="F9" i="6"/>
  <c r="F10" i="6"/>
  <c r="F12" i="6"/>
  <c r="F6" i="6"/>
  <c r="D59" i="4"/>
  <c r="B59" i="4"/>
  <c r="F380" i="2"/>
  <c r="E380" i="3"/>
  <c r="C380" i="3" l="1"/>
  <c r="K380" i="3"/>
  <c r="F39" i="21"/>
  <c r="O6" i="23"/>
  <c r="H11" i="23"/>
  <c r="C34" i="23" s="1"/>
  <c r="N11" i="23" s="1"/>
  <c r="O11" i="23" s="1"/>
  <c r="H19" i="23"/>
  <c r="C35" i="23" s="1"/>
  <c r="N19" i="23" s="1"/>
  <c r="O19" i="23" s="1"/>
  <c r="F13" i="23"/>
  <c r="F12" i="23"/>
  <c r="F14" i="23"/>
  <c r="D39" i="21"/>
  <c r="F59" i="4"/>
  <c r="E39" i="5" s="1"/>
  <c r="E468" i="3"/>
  <c r="E358" i="3"/>
  <c r="E380" i="1" l="1"/>
  <c r="F380" i="1" s="1"/>
  <c r="G380" i="1"/>
  <c r="H380" i="1" s="1"/>
  <c r="C380" i="1"/>
  <c r="D380" i="1" s="1"/>
  <c r="C468" i="3"/>
  <c r="G468" i="1" s="1"/>
  <c r="H468" i="1" s="1"/>
  <c r="K468" i="3"/>
  <c r="C358" i="3"/>
  <c r="K358" i="3"/>
  <c r="E39" i="31"/>
  <c r="C39" i="31" s="1"/>
  <c r="E39" i="32"/>
  <c r="C39" i="32" s="1"/>
  <c r="E39" i="33"/>
  <c r="C39" i="33" s="1"/>
  <c r="E39" i="29"/>
  <c r="C39" i="29" s="1"/>
  <c r="E39" i="6"/>
  <c r="G39" i="28"/>
  <c r="E39" i="7"/>
  <c r="H59" i="4"/>
  <c r="E39" i="10"/>
  <c r="E39" i="17"/>
  <c r="E39" i="9"/>
  <c r="E39" i="8"/>
  <c r="E39" i="18"/>
  <c r="E39" i="14"/>
  <c r="O39" i="5"/>
  <c r="E562" i="1"/>
  <c r="F562" i="1" s="1"/>
  <c r="G562" i="1"/>
  <c r="H562" i="1" s="1"/>
  <c r="F562" i="2"/>
  <c r="C562" i="1" s="1"/>
  <c r="D562" i="1" s="1"/>
  <c r="F566" i="1"/>
  <c r="G566" i="1"/>
  <c r="H566" i="1" s="1"/>
  <c r="C566" i="1"/>
  <c r="D566" i="1" s="1"/>
  <c r="C468" i="1" l="1"/>
  <c r="D468" i="1" s="1"/>
  <c r="C358" i="1"/>
  <c r="D358" i="1" s="1"/>
  <c r="G358" i="1"/>
  <c r="H358" i="1" s="1"/>
  <c r="D57" i="4"/>
  <c r="B57" i="4"/>
  <c r="I39" i="29"/>
  <c r="H39" i="20" s="1"/>
  <c r="J39" i="29"/>
  <c r="K39" i="29" s="1"/>
  <c r="F39" i="28"/>
  <c r="E39" i="28"/>
  <c r="J39" i="19" s="1"/>
  <c r="E5" i="27"/>
  <c r="E6" i="27"/>
  <c r="E7" i="27"/>
  <c r="E9" i="27"/>
  <c r="E10" i="27"/>
  <c r="E11" i="27"/>
  <c r="E12" i="27"/>
  <c r="E13" i="27"/>
  <c r="E14" i="27"/>
  <c r="E17" i="27"/>
  <c r="E19" i="27"/>
  <c r="E20" i="27"/>
  <c r="E21" i="27"/>
  <c r="E23" i="27"/>
  <c r="E24" i="27"/>
  <c r="E25" i="27"/>
  <c r="E26" i="27"/>
  <c r="E27" i="27"/>
  <c r="E28" i="27"/>
  <c r="E4" i="27"/>
  <c r="B5" i="27"/>
  <c r="B7" i="27"/>
  <c r="B8" i="27"/>
  <c r="B10" i="27"/>
  <c r="B11" i="27"/>
  <c r="B13" i="27"/>
  <c r="B14" i="27"/>
  <c r="B15" i="27"/>
  <c r="B16" i="27"/>
  <c r="B17" i="27"/>
  <c r="B18" i="27"/>
  <c r="B19" i="27"/>
  <c r="B21" i="27"/>
  <c r="B22" i="27"/>
  <c r="B23" i="27"/>
  <c r="B24" i="27"/>
  <c r="B25" i="27"/>
  <c r="B26" i="27"/>
  <c r="B28" i="27"/>
  <c r="B30" i="27"/>
  <c r="B31" i="27"/>
  <c r="B33" i="27"/>
  <c r="B34" i="27"/>
  <c r="B37" i="27"/>
  <c r="B38" i="27"/>
  <c r="B39" i="27"/>
  <c r="B40" i="27"/>
  <c r="B41" i="27"/>
  <c r="B42" i="27"/>
  <c r="B43" i="27"/>
  <c r="B44" i="27"/>
  <c r="B4" i="27"/>
  <c r="I86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44" i="2"/>
  <c r="J157" i="3" l="1"/>
  <c r="E153" i="3"/>
  <c r="F432" i="2" l="1"/>
  <c r="E432" i="3"/>
  <c r="I446" i="1"/>
  <c r="C432" i="3" l="1"/>
  <c r="E432" i="1" s="1"/>
  <c r="F432" i="1" s="1"/>
  <c r="K432" i="3"/>
  <c r="J446" i="3"/>
  <c r="E446" i="3"/>
  <c r="C432" i="1" l="1"/>
  <c r="D432" i="1" s="1"/>
  <c r="G432" i="1"/>
  <c r="H432" i="1" s="1"/>
  <c r="C446" i="3"/>
  <c r="G446" i="1" s="1"/>
  <c r="H446" i="1" s="1"/>
  <c r="K446" i="3"/>
  <c r="H196" i="1"/>
  <c r="L196" i="2"/>
  <c r="L195" i="2"/>
  <c r="E195" i="1" s="1"/>
  <c r="F195" i="1" s="1"/>
  <c r="E446" i="1" l="1"/>
  <c r="F446" i="1" s="1"/>
  <c r="C446" i="1"/>
  <c r="D446" i="1" s="1"/>
  <c r="E196" i="1"/>
  <c r="F196" i="1" s="1"/>
  <c r="E695" i="1"/>
  <c r="F695" i="1" s="1"/>
  <c r="G695" i="1"/>
  <c r="H695" i="1" s="1"/>
  <c r="E690" i="1"/>
  <c r="F690" i="1" s="1"/>
  <c r="G690" i="1"/>
  <c r="H690" i="1" s="1"/>
  <c r="M695" i="2"/>
  <c r="C695" i="1" s="1"/>
  <c r="D695" i="1" s="1"/>
  <c r="M690" i="2"/>
  <c r="C690" i="1" s="1"/>
  <c r="D690" i="1" s="1"/>
  <c r="D704" i="1" l="1"/>
  <c r="F704" i="1"/>
  <c r="G704" i="1"/>
  <c r="H704" i="1" s="1"/>
  <c r="C705" i="1"/>
  <c r="E705" i="1"/>
  <c r="F705" i="1" s="1"/>
  <c r="G705" i="1"/>
  <c r="H705" i="1" s="1"/>
  <c r="F705" i="2"/>
  <c r="D705" i="1" l="1"/>
  <c r="C86" i="1"/>
  <c r="D86" i="1" s="1"/>
  <c r="E86" i="1"/>
  <c r="F86" i="1" s="1"/>
  <c r="G86" i="1"/>
  <c r="H86" i="1" s="1"/>
  <c r="G238" i="1" l="1"/>
  <c r="L238" i="2"/>
  <c r="C238" i="1" s="1"/>
  <c r="Y238" i="2"/>
  <c r="E238" i="1" s="1"/>
  <c r="L229" i="2"/>
  <c r="C229" i="1" s="1"/>
  <c r="D229" i="1" s="1"/>
  <c r="Y229" i="2"/>
  <c r="E229" i="1" s="1"/>
  <c r="F229" i="1" s="1"/>
  <c r="L228" i="2"/>
  <c r="C228" i="1" s="1"/>
  <c r="D228" i="1" s="1"/>
  <c r="Y228" i="2"/>
  <c r="E228" i="1" s="1"/>
  <c r="F228" i="1" s="1"/>
  <c r="L225" i="2"/>
  <c r="C225" i="1" s="1"/>
  <c r="D225" i="1" s="1"/>
  <c r="Y225" i="2"/>
  <c r="E225" i="1" s="1"/>
  <c r="F225" i="1" s="1"/>
  <c r="L227" i="2"/>
  <c r="C227" i="1" s="1"/>
  <c r="D227" i="1" s="1"/>
  <c r="Y227" i="2"/>
  <c r="E227" i="1" s="1"/>
  <c r="F227" i="1" s="1"/>
  <c r="C803" i="1"/>
  <c r="D803" i="1" s="1"/>
  <c r="E803" i="1"/>
  <c r="F803" i="1" s="1"/>
  <c r="G803" i="1"/>
  <c r="H803" i="1" s="1"/>
  <c r="F801" i="1"/>
  <c r="G801" i="1"/>
  <c r="H801" i="1" s="1"/>
  <c r="E803" i="2"/>
  <c r="D801" i="1"/>
  <c r="L598" i="2"/>
  <c r="G598" i="1"/>
  <c r="H598" i="1" s="1"/>
  <c r="G597" i="1"/>
  <c r="H597" i="1" s="1"/>
  <c r="L597" i="2"/>
  <c r="L3" i="26" l="1"/>
  <c r="H3" i="26"/>
  <c r="E159" i="1"/>
  <c r="F159" i="1" s="1"/>
  <c r="G159" i="1"/>
  <c r="H159" i="1" s="1"/>
  <c r="J159" i="2"/>
  <c r="C159" i="1" s="1"/>
  <c r="D159" i="1" s="1"/>
  <c r="C21" i="26" l="1"/>
  <c r="F21" i="26"/>
  <c r="F20" i="26"/>
  <c r="C7" i="26"/>
  <c r="F5" i="26"/>
  <c r="F16" i="26"/>
  <c r="F13" i="26"/>
  <c r="F11" i="26"/>
  <c r="F12" i="26"/>
  <c r="F10" i="26"/>
  <c r="F8" i="26"/>
  <c r="F9" i="26"/>
  <c r="F7" i="26"/>
  <c r="F6" i="26"/>
  <c r="F15" i="26"/>
  <c r="F14" i="26"/>
  <c r="C8" i="26"/>
  <c r="C9" i="26"/>
  <c r="C10" i="26"/>
  <c r="C11" i="26"/>
  <c r="C12" i="26"/>
  <c r="C13" i="26"/>
  <c r="C14" i="26"/>
  <c r="C16" i="26"/>
  <c r="C20" i="26"/>
  <c r="C5" i="26"/>
  <c r="C15" i="26"/>
  <c r="W14" i="23"/>
  <c r="W15" i="23"/>
  <c r="W8" i="23" s="1"/>
  <c r="X8" i="23" s="1"/>
  <c r="Z8" i="23" s="1"/>
  <c r="T8" i="23" s="1"/>
  <c r="W16" i="23"/>
  <c r="W17" i="23"/>
  <c r="W18" i="23"/>
  <c r="W13" i="23"/>
  <c r="W10" i="23" s="1"/>
  <c r="X10" i="23" s="1"/>
  <c r="Z10" i="23" s="1"/>
  <c r="T10" i="23" s="1"/>
  <c r="W21" i="23" l="1"/>
  <c r="W9" i="23" s="1"/>
  <c r="X9" i="23" s="1"/>
  <c r="Z9" i="23" s="1"/>
  <c r="T9" i="23" s="1"/>
  <c r="E650" i="1"/>
  <c r="F650" i="1" s="1"/>
  <c r="G650" i="1"/>
  <c r="H650" i="1" s="1"/>
  <c r="L650" i="2"/>
  <c r="C650" i="1" s="1"/>
  <c r="D650" i="1" s="1"/>
  <c r="C585" i="1"/>
  <c r="E586" i="1"/>
  <c r="F586" i="1" s="1"/>
  <c r="G586" i="1"/>
  <c r="H586" i="1" s="1"/>
  <c r="F586" i="2"/>
  <c r="C586" i="1" s="1"/>
  <c r="D586" i="1" s="1"/>
  <c r="E804" i="1"/>
  <c r="F804" i="1" s="1"/>
  <c r="G804" i="1"/>
  <c r="H804" i="1" s="1"/>
  <c r="F804" i="2" l="1"/>
  <c r="C804" i="1" s="1"/>
  <c r="D804" i="1" s="1"/>
  <c r="I54" i="2"/>
  <c r="G153" i="1" l="1"/>
  <c r="H153" i="1" s="1"/>
  <c r="E153" i="1"/>
  <c r="F153" i="1" s="1"/>
  <c r="J153" i="2" l="1"/>
  <c r="C153" i="1" s="1"/>
  <c r="D153" i="1" s="1"/>
  <c r="J154" i="2"/>
  <c r="J410" i="3" l="1"/>
  <c r="J433" i="3" l="1"/>
  <c r="F423" i="2" l="1"/>
  <c r="E423" i="3"/>
  <c r="I488" i="1"/>
  <c r="I458" i="1"/>
  <c r="E458" i="3"/>
  <c r="K458" i="3" s="1"/>
  <c r="E488" i="3"/>
  <c r="C488" i="3" l="1"/>
  <c r="K488" i="3"/>
  <c r="C423" i="3"/>
  <c r="G423" i="1" s="1"/>
  <c r="H423" i="1" s="1"/>
  <c r="K423" i="3"/>
  <c r="C458" i="3"/>
  <c r="C458" i="1" s="1"/>
  <c r="D458" i="1" s="1"/>
  <c r="J326" i="3"/>
  <c r="E326" i="2"/>
  <c r="E326" i="3"/>
  <c r="L298" i="2"/>
  <c r="C488" i="1" l="1"/>
  <c r="D488" i="1" s="1"/>
  <c r="G488" i="1"/>
  <c r="H488" i="1" s="1"/>
  <c r="E423" i="1"/>
  <c r="F423" i="1" s="1"/>
  <c r="C423" i="1"/>
  <c r="D423" i="1" s="1"/>
  <c r="C326" i="3"/>
  <c r="G326" i="1" s="1"/>
  <c r="H326" i="1" s="1"/>
  <c r="K326" i="3"/>
  <c r="G458" i="1"/>
  <c r="H458" i="1" s="1"/>
  <c r="J360" i="3"/>
  <c r="J361" i="3"/>
  <c r="J308" i="3"/>
  <c r="K308" i="3" s="1"/>
  <c r="J307" i="3"/>
  <c r="K307" i="3" s="1"/>
  <c r="E326" i="1" l="1"/>
  <c r="F326" i="1" s="1"/>
  <c r="C326" i="1"/>
  <c r="D326" i="1" s="1"/>
  <c r="D35" i="4"/>
  <c r="E513" i="2" l="1"/>
  <c r="E627" i="1" l="1"/>
  <c r="F627" i="1" s="1"/>
  <c r="E627" i="2"/>
  <c r="E711" i="1" l="1"/>
  <c r="F711" i="1" s="1"/>
  <c r="G711" i="1"/>
  <c r="H711" i="1" s="1"/>
  <c r="L711" i="2"/>
  <c r="C711" i="1" s="1"/>
  <c r="D711" i="1" s="1"/>
  <c r="C11" i="23" l="1"/>
  <c r="C19" i="23"/>
  <c r="C24" i="23"/>
  <c r="C6" i="23"/>
  <c r="C596" i="1" l="1"/>
  <c r="D596" i="1" s="1"/>
  <c r="G596" i="1"/>
  <c r="H596" i="1" s="1"/>
  <c r="C592" i="1"/>
  <c r="D592" i="1" s="1"/>
  <c r="G592" i="1"/>
  <c r="H592" i="1" s="1"/>
  <c r="C568" i="1"/>
  <c r="D568" i="1" s="1"/>
  <c r="G568" i="1"/>
  <c r="H568" i="1" s="1"/>
  <c r="E573" i="1" l="1"/>
  <c r="F573" i="1" s="1"/>
  <c r="G573" i="1"/>
  <c r="H573" i="1" s="1"/>
  <c r="L573" i="2"/>
  <c r="C573" i="1" s="1"/>
  <c r="D573" i="1" s="1"/>
  <c r="E157" i="3" l="1"/>
  <c r="C157" i="3" l="1"/>
  <c r="K157" i="3"/>
  <c r="E513" i="3" l="1"/>
  <c r="C513" i="3" l="1"/>
  <c r="E513" i="1" s="1"/>
  <c r="F513" i="1" s="1"/>
  <c r="C513" i="1"/>
  <c r="D513" i="1" s="1"/>
  <c r="G1" i="9"/>
  <c r="G1" i="17"/>
  <c r="G513" i="1" l="1"/>
  <c r="H513" i="1" s="1"/>
  <c r="I361" i="1"/>
  <c r="I360" i="1"/>
  <c r="E360" i="2"/>
  <c r="E361" i="2"/>
  <c r="E457" i="3" l="1"/>
  <c r="K457" i="3" s="1"/>
  <c r="E361" i="3"/>
  <c r="K361" i="3" s="1"/>
  <c r="E360" i="3"/>
  <c r="K360" i="3" s="1"/>
  <c r="C457" i="3" l="1"/>
  <c r="G457" i="1" s="1"/>
  <c r="H457" i="1" s="1"/>
  <c r="C360" i="3"/>
  <c r="E360" i="1" s="1"/>
  <c r="F360" i="1" s="1"/>
  <c r="C361" i="3"/>
  <c r="E361" i="1" s="1"/>
  <c r="F361" i="1" s="1"/>
  <c r="G590" i="1"/>
  <c r="H590" i="1" s="1"/>
  <c r="E167" i="1"/>
  <c r="G167" i="1" s="1"/>
  <c r="H167" i="1" s="1"/>
  <c r="J167" i="2"/>
  <c r="C167" i="1" s="1"/>
  <c r="D167" i="1" s="1"/>
  <c r="C457" i="1" l="1"/>
  <c r="D457" i="1" s="1"/>
  <c r="G360" i="1"/>
  <c r="H360" i="1" s="1"/>
  <c r="C360" i="1"/>
  <c r="D360" i="1" s="1"/>
  <c r="G361" i="1"/>
  <c r="H361" i="1" s="1"/>
  <c r="C361" i="1"/>
  <c r="D361" i="1" s="1"/>
  <c r="F167" i="1"/>
  <c r="E651" i="1"/>
  <c r="F651" i="1" s="1"/>
  <c r="G651" i="1"/>
  <c r="H651" i="1" s="1"/>
  <c r="L651" i="2"/>
  <c r="C651" i="1" s="1"/>
  <c r="D651" i="1" s="1"/>
  <c r="C811" i="1" l="1"/>
  <c r="D811" i="1" s="1"/>
  <c r="G811" i="1"/>
  <c r="H811" i="1" s="1"/>
  <c r="E786" i="1"/>
  <c r="F786" i="1" s="1"/>
  <c r="G786" i="1"/>
  <c r="H786" i="1" s="1"/>
  <c r="F786" i="2"/>
  <c r="C786" i="1" s="1"/>
  <c r="D786" i="1" s="1"/>
  <c r="L689" i="2"/>
  <c r="C689" i="1" s="1"/>
  <c r="D689" i="1" s="1"/>
  <c r="E689" i="1"/>
  <c r="F689" i="1" s="1"/>
  <c r="E685" i="1"/>
  <c r="L662" i="2"/>
  <c r="G4" i="17" l="1"/>
  <c r="G37" i="17" l="1"/>
  <c r="G36" i="17"/>
  <c r="G39" i="17"/>
  <c r="F433" i="2"/>
  <c r="E433" i="3"/>
  <c r="K433" i="3" s="1"/>
  <c r="E802" i="1"/>
  <c r="F802" i="1" s="1"/>
  <c r="G802" i="1"/>
  <c r="H802" i="1" s="1"/>
  <c r="F802" i="2"/>
  <c r="C802" i="1" s="1"/>
  <c r="D802" i="1" s="1"/>
  <c r="C36" i="17" l="1"/>
  <c r="O36" i="33" s="1"/>
  <c r="L36" i="19"/>
  <c r="L37" i="19"/>
  <c r="L39" i="19"/>
  <c r="C39" i="17"/>
  <c r="O39" i="33" s="1"/>
  <c r="C433" i="3"/>
  <c r="E433" i="1" s="1"/>
  <c r="F433" i="1" s="1"/>
  <c r="L436" i="2"/>
  <c r="F381" i="2"/>
  <c r="G433" i="1" l="1"/>
  <c r="H433" i="1" s="1"/>
  <c r="C433" i="1"/>
  <c r="D433" i="1" s="1"/>
  <c r="G805" i="2"/>
  <c r="C805" i="1" s="1"/>
  <c r="D805" i="1" s="1"/>
  <c r="G805" i="1"/>
  <c r="H805" i="1" s="1"/>
  <c r="E805" i="1"/>
  <c r="F805" i="1" s="1"/>
  <c r="E140" i="1" l="1"/>
  <c r="F140" i="1" s="1"/>
  <c r="J140" i="2"/>
  <c r="C140" i="1" s="1"/>
  <c r="D140" i="1" s="1"/>
  <c r="G140" i="1" l="1"/>
  <c r="H140" i="1" s="1"/>
  <c r="E672" i="1"/>
  <c r="F672" i="1" s="1"/>
  <c r="E673" i="1"/>
  <c r="F673" i="1" s="1"/>
  <c r="E671" i="1"/>
  <c r="F671" i="1" s="1"/>
  <c r="G672" i="1"/>
  <c r="H672" i="1" s="1"/>
  <c r="G673" i="1"/>
  <c r="H673" i="1" s="1"/>
  <c r="G671" i="1"/>
  <c r="H671" i="1" s="1"/>
  <c r="E646" i="1"/>
  <c r="F646" i="1" s="1"/>
  <c r="E647" i="1"/>
  <c r="F647" i="1" s="1"/>
  <c r="E648" i="1"/>
  <c r="F648" i="1" s="1"/>
  <c r="E649" i="1"/>
  <c r="F649" i="1" s="1"/>
  <c r="E645" i="1"/>
  <c r="F645" i="1" s="1"/>
  <c r="G646" i="1"/>
  <c r="H646" i="1" s="1"/>
  <c r="G647" i="1"/>
  <c r="H647" i="1" s="1"/>
  <c r="G648" i="1"/>
  <c r="H648" i="1" s="1"/>
  <c r="G649" i="1"/>
  <c r="H649" i="1" s="1"/>
  <c r="G645" i="1"/>
  <c r="H645" i="1" s="1"/>
  <c r="L645" i="2"/>
  <c r="C645" i="1" s="1"/>
  <c r="D645" i="1" s="1"/>
  <c r="L646" i="2"/>
  <c r="C646" i="1" s="1"/>
  <c r="D646" i="1" s="1"/>
  <c r="L647" i="2"/>
  <c r="C647" i="1" s="1"/>
  <c r="D647" i="1" s="1"/>
  <c r="L648" i="2"/>
  <c r="C648" i="1" s="1"/>
  <c r="D648" i="1" s="1"/>
  <c r="L649" i="2"/>
  <c r="C649" i="1" s="1"/>
  <c r="D649" i="1" s="1"/>
  <c r="L671" i="2"/>
  <c r="C671" i="1" s="1"/>
  <c r="D671" i="1" s="1"/>
  <c r="L672" i="2"/>
  <c r="C672" i="1" s="1"/>
  <c r="D672" i="1" s="1"/>
  <c r="L673" i="2"/>
  <c r="C673" i="1" s="1"/>
  <c r="D673" i="1" s="1"/>
  <c r="G10" i="1" l="1"/>
  <c r="H10" i="1" s="1"/>
  <c r="E10" i="1"/>
  <c r="F10" i="1" s="1"/>
  <c r="I10" i="2"/>
  <c r="C10" i="1" s="1"/>
  <c r="D10" i="1" s="1"/>
  <c r="E243" i="1" l="1"/>
  <c r="G243" i="1"/>
  <c r="C241" i="1"/>
  <c r="G241" i="1"/>
  <c r="G239" i="1" l="1"/>
  <c r="C239" i="1"/>
  <c r="C224" i="1"/>
  <c r="G224" i="1"/>
  <c r="D37" i="4"/>
  <c r="B37" i="4"/>
  <c r="G464" i="2"/>
  <c r="G657" i="1" l="1"/>
  <c r="C657" i="1" s="1"/>
  <c r="D657" i="1" s="1"/>
  <c r="G658" i="1"/>
  <c r="C658" i="1" s="1"/>
  <c r="D658" i="1" s="1"/>
  <c r="G660" i="1"/>
  <c r="H660" i="1" s="1"/>
  <c r="G661" i="1"/>
  <c r="C661" i="1" s="1"/>
  <c r="D661" i="1" s="1"/>
  <c r="G663" i="1"/>
  <c r="E663" i="1" s="1"/>
  <c r="F663" i="1" s="1"/>
  <c r="G664" i="1"/>
  <c r="E664" i="1" s="1"/>
  <c r="F664" i="1" s="1"/>
  <c r="G665" i="1"/>
  <c r="H665" i="1" s="1"/>
  <c r="G666" i="1"/>
  <c r="H666" i="1" s="1"/>
  <c r="G667" i="1"/>
  <c r="E667" i="1" s="1"/>
  <c r="F667" i="1" s="1"/>
  <c r="G668" i="1"/>
  <c r="H668" i="1" s="1"/>
  <c r="G669" i="1"/>
  <c r="C669" i="1" s="1"/>
  <c r="D669" i="1" s="1"/>
  <c r="G656" i="1"/>
  <c r="H656" i="1" s="1"/>
  <c r="L657" i="2"/>
  <c r="L658" i="2"/>
  <c r="L659" i="2"/>
  <c r="L660" i="2"/>
  <c r="L661" i="2"/>
  <c r="L663" i="2"/>
  <c r="L664" i="2"/>
  <c r="L665" i="2"/>
  <c r="L666" i="2"/>
  <c r="L667" i="2"/>
  <c r="L668" i="2"/>
  <c r="L669" i="2"/>
  <c r="L656" i="2"/>
  <c r="E545" i="1"/>
  <c r="L190" i="2"/>
  <c r="C190" i="1" s="1"/>
  <c r="D190" i="1" s="1"/>
  <c r="L191" i="2"/>
  <c r="C191" i="1" s="1"/>
  <c r="D191" i="1" s="1"/>
  <c r="L192" i="2"/>
  <c r="C192" i="1" s="1"/>
  <c r="D192" i="1" s="1"/>
  <c r="L193" i="2"/>
  <c r="C193" i="1" s="1"/>
  <c r="D193" i="1" s="1"/>
  <c r="L194" i="2"/>
  <c r="C194" i="1" s="1"/>
  <c r="D194" i="1" s="1"/>
  <c r="L189" i="2"/>
  <c r="C189" i="1" s="1"/>
  <c r="D189" i="1" s="1"/>
  <c r="E190" i="1"/>
  <c r="F190" i="1" s="1"/>
  <c r="E191" i="1"/>
  <c r="F191" i="1" s="1"/>
  <c r="E192" i="1"/>
  <c r="F192" i="1" s="1"/>
  <c r="E193" i="1"/>
  <c r="F193" i="1" s="1"/>
  <c r="E194" i="1"/>
  <c r="F194" i="1" s="1"/>
  <c r="E189" i="1"/>
  <c r="F189" i="1" s="1"/>
  <c r="E656" i="1" l="1"/>
  <c r="F656" i="1" s="1"/>
  <c r="E669" i="1"/>
  <c r="F669" i="1" s="1"/>
  <c r="E658" i="1"/>
  <c r="F658" i="1" s="1"/>
  <c r="H663" i="1"/>
  <c r="E657" i="1"/>
  <c r="F657" i="1" s="1"/>
  <c r="C663" i="1"/>
  <c r="D663" i="1" s="1"/>
  <c r="H658" i="1"/>
  <c r="H657" i="1"/>
  <c r="C656" i="1"/>
  <c r="D656" i="1" s="1"/>
  <c r="H664" i="1"/>
  <c r="C668" i="1"/>
  <c r="D668" i="1" s="1"/>
  <c r="C664" i="1"/>
  <c r="D664" i="1" s="1"/>
  <c r="H661" i="1"/>
  <c r="E661" i="1"/>
  <c r="F661" i="1" s="1"/>
  <c r="E660" i="1"/>
  <c r="F660" i="1" s="1"/>
  <c r="C660" i="1"/>
  <c r="D660" i="1" s="1"/>
  <c r="H669" i="1"/>
  <c r="E668" i="1"/>
  <c r="F668" i="1" s="1"/>
  <c r="C667" i="1"/>
  <c r="D667" i="1" s="1"/>
  <c r="H667" i="1"/>
  <c r="E665" i="1"/>
  <c r="F665" i="1" s="1"/>
  <c r="C665" i="1"/>
  <c r="D665" i="1" s="1"/>
  <c r="E666" i="1"/>
  <c r="F666" i="1" s="1"/>
  <c r="C666" i="1"/>
  <c r="D666" i="1" s="1"/>
  <c r="E49" i="1"/>
  <c r="G49" i="1" s="1"/>
  <c r="H49" i="1" s="1"/>
  <c r="F49" i="1" l="1"/>
  <c r="G475" i="2"/>
  <c r="E410" i="3" l="1"/>
  <c r="K410" i="3" s="1"/>
  <c r="E147" i="3"/>
  <c r="J145" i="3"/>
  <c r="J146" i="3"/>
  <c r="J147" i="3"/>
  <c r="J148" i="3"/>
  <c r="J149" i="3"/>
  <c r="J150" i="3"/>
  <c r="J151" i="3"/>
  <c r="J152" i="3"/>
  <c r="J154" i="3"/>
  <c r="J155" i="3"/>
  <c r="J156" i="3"/>
  <c r="J144" i="3"/>
  <c r="J471" i="3"/>
  <c r="J462" i="3"/>
  <c r="J391" i="3"/>
  <c r="J365" i="3"/>
  <c r="J300" i="3"/>
  <c r="J301" i="3"/>
  <c r="J302" i="3"/>
  <c r="J303" i="3"/>
  <c r="J304" i="3"/>
  <c r="J305" i="3"/>
  <c r="J306" i="3"/>
  <c r="I698" i="1"/>
  <c r="I699" i="1"/>
  <c r="I700" i="1"/>
  <c r="I701" i="1"/>
  <c r="I702" i="1"/>
  <c r="I703" i="1"/>
  <c r="I706" i="1"/>
  <c r="E776" i="1"/>
  <c r="F776" i="1" s="1"/>
  <c r="G776" i="1"/>
  <c r="H776" i="1" s="1"/>
  <c r="L776" i="2"/>
  <c r="C776" i="1" s="1"/>
  <c r="D776" i="1" s="1"/>
  <c r="E770" i="1"/>
  <c r="F770" i="1" s="1"/>
  <c r="G770" i="1"/>
  <c r="H770" i="1" s="1"/>
  <c r="E769" i="1"/>
  <c r="F769" i="1" s="1"/>
  <c r="G769" i="1"/>
  <c r="H769" i="1" s="1"/>
  <c r="L770" i="2"/>
  <c r="C770" i="1" s="1"/>
  <c r="D770" i="1" s="1"/>
  <c r="L769" i="2"/>
  <c r="C769" i="1" s="1"/>
  <c r="D769" i="1" s="1"/>
  <c r="E752" i="1"/>
  <c r="F752" i="1" s="1"/>
  <c r="G752" i="1"/>
  <c r="H752" i="1" s="1"/>
  <c r="L752" i="2"/>
  <c r="C752" i="1" s="1"/>
  <c r="D752" i="1" s="1"/>
  <c r="E746" i="1"/>
  <c r="F746" i="1" s="1"/>
  <c r="E747" i="1"/>
  <c r="F747" i="1" s="1"/>
  <c r="E748" i="1"/>
  <c r="F748" i="1" s="1"/>
  <c r="E749" i="1"/>
  <c r="F749" i="1" s="1"/>
  <c r="E750" i="1"/>
  <c r="F750" i="1" s="1"/>
  <c r="G746" i="1"/>
  <c r="H746" i="1" s="1"/>
  <c r="G747" i="1"/>
  <c r="H747" i="1" s="1"/>
  <c r="G748" i="1"/>
  <c r="H748" i="1" s="1"/>
  <c r="G749" i="1"/>
  <c r="H749" i="1" s="1"/>
  <c r="G750" i="1"/>
  <c r="H750" i="1" s="1"/>
  <c r="L746" i="2"/>
  <c r="C746" i="1" s="1"/>
  <c r="D746" i="1" s="1"/>
  <c r="L747" i="2"/>
  <c r="C747" i="1" s="1"/>
  <c r="D747" i="1" s="1"/>
  <c r="L748" i="2"/>
  <c r="C748" i="1" s="1"/>
  <c r="D748" i="1" s="1"/>
  <c r="L749" i="2"/>
  <c r="C749" i="1" s="1"/>
  <c r="D749" i="1" s="1"/>
  <c r="L750" i="2"/>
  <c r="C750" i="1" s="1"/>
  <c r="D750" i="1" s="1"/>
  <c r="E745" i="1"/>
  <c r="F745" i="1" s="1"/>
  <c r="G745" i="1"/>
  <c r="H745" i="1" s="1"/>
  <c r="L745" i="2"/>
  <c r="C745" i="1" s="1"/>
  <c r="D745" i="1" s="1"/>
  <c r="E743" i="1"/>
  <c r="F743" i="1" s="1"/>
  <c r="G743" i="1"/>
  <c r="H743" i="1" s="1"/>
  <c r="L743" i="2"/>
  <c r="C743" i="1" s="1"/>
  <c r="D743" i="1" s="1"/>
  <c r="E742" i="1"/>
  <c r="F742" i="1" s="1"/>
  <c r="G742" i="1"/>
  <c r="H742" i="1" s="1"/>
  <c r="L742" i="2"/>
  <c r="C742" i="1" s="1"/>
  <c r="D742" i="1" s="1"/>
  <c r="E741" i="1"/>
  <c r="F741" i="1" s="1"/>
  <c r="G741" i="1"/>
  <c r="H741" i="1" s="1"/>
  <c r="L741" i="2"/>
  <c r="C741" i="1" s="1"/>
  <c r="D741" i="1" s="1"/>
  <c r="E740" i="1"/>
  <c r="F740" i="1" s="1"/>
  <c r="G740" i="1"/>
  <c r="H740" i="1" s="1"/>
  <c r="L740" i="2"/>
  <c r="C740" i="1" s="1"/>
  <c r="D740" i="1" s="1"/>
  <c r="E739" i="1"/>
  <c r="F739" i="1" s="1"/>
  <c r="G739" i="1"/>
  <c r="H739" i="1" s="1"/>
  <c r="L739" i="2"/>
  <c r="C739" i="1" s="1"/>
  <c r="D739" i="1" s="1"/>
  <c r="E737" i="1"/>
  <c r="F737" i="1" s="1"/>
  <c r="G737" i="1"/>
  <c r="H737" i="1" s="1"/>
  <c r="L737" i="2"/>
  <c r="C737" i="1" s="1"/>
  <c r="D737" i="1" s="1"/>
  <c r="E738" i="1"/>
  <c r="F738" i="1" s="1"/>
  <c r="G738" i="1"/>
  <c r="H738" i="1" s="1"/>
  <c r="E735" i="1"/>
  <c r="F735" i="1" s="1"/>
  <c r="G735" i="1"/>
  <c r="H735" i="1" s="1"/>
  <c r="L735" i="2"/>
  <c r="C735" i="1" s="1"/>
  <c r="D735" i="1" s="1"/>
  <c r="E734" i="1"/>
  <c r="F734" i="1" s="1"/>
  <c r="G734" i="1"/>
  <c r="H734" i="1" s="1"/>
  <c r="L734" i="2"/>
  <c r="C734" i="1" s="1"/>
  <c r="D734" i="1" s="1"/>
  <c r="E729" i="1"/>
  <c r="F729" i="1" s="1"/>
  <c r="G729" i="1"/>
  <c r="H729" i="1" s="1"/>
  <c r="L729" i="2"/>
  <c r="C729" i="1" s="1"/>
  <c r="D729" i="1" s="1"/>
  <c r="E728" i="1"/>
  <c r="F728" i="1" s="1"/>
  <c r="G728" i="1"/>
  <c r="H728" i="1" s="1"/>
  <c r="L728" i="2"/>
  <c r="C728" i="1" s="1"/>
  <c r="D728" i="1" s="1"/>
  <c r="E727" i="1"/>
  <c r="F727" i="1" s="1"/>
  <c r="G727" i="1"/>
  <c r="H727" i="1" s="1"/>
  <c r="L727" i="2"/>
  <c r="C727" i="1" s="1"/>
  <c r="D727" i="1" s="1"/>
  <c r="E726" i="1"/>
  <c r="F726" i="1" s="1"/>
  <c r="G726" i="1"/>
  <c r="H726" i="1" s="1"/>
  <c r="L726" i="2"/>
  <c r="C726" i="1" s="1"/>
  <c r="D726" i="1" s="1"/>
  <c r="E723" i="1"/>
  <c r="F723" i="1" s="1"/>
  <c r="G723" i="1"/>
  <c r="H723" i="1" s="1"/>
  <c r="L723" i="2"/>
  <c r="C723" i="1" s="1"/>
  <c r="D723" i="1" s="1"/>
  <c r="C410" i="3" l="1"/>
  <c r="E410" i="1" s="1"/>
  <c r="K147" i="3"/>
  <c r="C147" i="3"/>
  <c r="E719" i="1"/>
  <c r="F719" i="1" s="1"/>
  <c r="E720" i="1"/>
  <c r="F720" i="1" s="1"/>
  <c r="E721" i="1"/>
  <c r="F721" i="1" s="1"/>
  <c r="G719" i="1"/>
  <c r="H719" i="1" s="1"/>
  <c r="G720" i="1"/>
  <c r="H720" i="1" s="1"/>
  <c r="G721" i="1"/>
  <c r="H721" i="1" s="1"/>
  <c r="E710" i="1"/>
  <c r="F710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09" i="1"/>
  <c r="F709" i="1" s="1"/>
  <c r="G710" i="1"/>
  <c r="H710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09" i="1"/>
  <c r="H709" i="1" s="1"/>
  <c r="L738" i="2"/>
  <c r="C738" i="1" s="1"/>
  <c r="D738" i="1" s="1"/>
  <c r="L710" i="2"/>
  <c r="C710" i="1" s="1"/>
  <c r="D710" i="1" s="1"/>
  <c r="L712" i="2"/>
  <c r="C712" i="1" s="1"/>
  <c r="D712" i="1" s="1"/>
  <c r="L713" i="2"/>
  <c r="C713" i="1" s="1"/>
  <c r="D713" i="1" s="1"/>
  <c r="L714" i="2"/>
  <c r="C714" i="1" s="1"/>
  <c r="D714" i="1" s="1"/>
  <c r="L715" i="2"/>
  <c r="C715" i="1" s="1"/>
  <c r="D715" i="1" s="1"/>
  <c r="L716" i="2"/>
  <c r="C716" i="1" s="1"/>
  <c r="D716" i="1" s="1"/>
  <c r="L717" i="2"/>
  <c r="C717" i="1" s="1"/>
  <c r="D717" i="1" s="1"/>
  <c r="L718" i="2"/>
  <c r="C718" i="1" s="1"/>
  <c r="D718" i="1" s="1"/>
  <c r="L719" i="2"/>
  <c r="C719" i="1" s="1"/>
  <c r="D719" i="1" s="1"/>
  <c r="L720" i="2"/>
  <c r="C720" i="1" s="1"/>
  <c r="D720" i="1" s="1"/>
  <c r="L721" i="2"/>
  <c r="C721" i="1" s="1"/>
  <c r="D721" i="1" s="1"/>
  <c r="L725" i="2"/>
  <c r="C725" i="1" s="1"/>
  <c r="D725" i="1" s="1"/>
  <c r="L709" i="2"/>
  <c r="C709" i="1" s="1"/>
  <c r="D709" i="1" s="1"/>
  <c r="C564" i="1"/>
  <c r="C563" i="1"/>
  <c r="E782" i="1"/>
  <c r="F782" i="1" s="1"/>
  <c r="L782" i="2"/>
  <c r="C782" i="1" s="1"/>
  <c r="D782" i="1" s="1"/>
  <c r="E818" i="1"/>
  <c r="F818" i="1" s="1"/>
  <c r="L818" i="2"/>
  <c r="C818" i="1" s="1"/>
  <c r="D818" i="1" s="1"/>
  <c r="C817" i="1"/>
  <c r="D817" i="1" s="1"/>
  <c r="E817" i="1"/>
  <c r="F817" i="1" s="1"/>
  <c r="L817" i="2"/>
  <c r="E816" i="1"/>
  <c r="F816" i="1" s="1"/>
  <c r="L816" i="2"/>
  <c r="C816" i="1" s="1"/>
  <c r="D816" i="1" s="1"/>
  <c r="E810" i="1"/>
  <c r="F810" i="1" s="1"/>
  <c r="G809" i="1"/>
  <c r="C810" i="1"/>
  <c r="D810" i="1" s="1"/>
  <c r="E809" i="1"/>
  <c r="F809" i="1" s="1"/>
  <c r="L809" i="2"/>
  <c r="C809" i="1" s="1"/>
  <c r="D809" i="1" s="1"/>
  <c r="E787" i="1"/>
  <c r="F787" i="1" s="1"/>
  <c r="L787" i="2"/>
  <c r="C787" i="1" s="1"/>
  <c r="D787" i="1" s="1"/>
  <c r="G410" i="1" l="1"/>
  <c r="E626" i="1"/>
  <c r="F626" i="1" s="1"/>
  <c r="D626" i="2"/>
  <c r="C626" i="1" s="1"/>
  <c r="E642" i="1"/>
  <c r="F642" i="1" s="1"/>
  <c r="L642" i="2"/>
  <c r="C642" i="1" s="1"/>
  <c r="D642" i="1" s="1"/>
  <c r="E641" i="1"/>
  <c r="F641" i="1" s="1"/>
  <c r="L641" i="2"/>
  <c r="C641" i="1" s="1"/>
  <c r="D641" i="1" s="1"/>
  <c r="C640" i="1"/>
  <c r="E640" i="1"/>
  <c r="E637" i="1"/>
  <c r="F637" i="1" s="1"/>
  <c r="L637" i="2"/>
  <c r="C637" i="1" s="1"/>
  <c r="D637" i="1" s="1"/>
  <c r="E636" i="1"/>
  <c r="F636" i="1" s="1"/>
  <c r="L636" i="2"/>
  <c r="C636" i="1" s="1"/>
  <c r="D636" i="1" s="1"/>
  <c r="E587" i="1"/>
  <c r="F587" i="1" s="1"/>
  <c r="L587" i="2"/>
  <c r="C581" i="1"/>
  <c r="D581" i="1" s="1"/>
  <c r="I581" i="1"/>
  <c r="G581" i="1"/>
  <c r="H581" i="1" s="1"/>
  <c r="D585" i="1"/>
  <c r="G585" i="1"/>
  <c r="H585" i="1" s="1"/>
  <c r="F387" i="2"/>
  <c r="E252" i="1" l="1"/>
  <c r="G252" i="1" s="1"/>
  <c r="H252" i="1" s="1"/>
  <c r="L252" i="2"/>
  <c r="C252" i="1" s="1"/>
  <c r="D252" i="1" s="1"/>
  <c r="E251" i="1"/>
  <c r="F251" i="1" s="1"/>
  <c r="E246" i="1"/>
  <c r="G246" i="1" s="1"/>
  <c r="H246" i="1" s="1"/>
  <c r="E247" i="1"/>
  <c r="G247" i="1" s="1"/>
  <c r="H247" i="1" s="1"/>
  <c r="E248" i="1"/>
  <c r="G248" i="1" s="1"/>
  <c r="H248" i="1" s="1"/>
  <c r="E249" i="1"/>
  <c r="F249" i="1" s="1"/>
  <c r="E250" i="1"/>
  <c r="G250" i="1" s="1"/>
  <c r="H250" i="1" s="1"/>
  <c r="E245" i="1"/>
  <c r="G245" i="1" s="1"/>
  <c r="H245" i="1" s="1"/>
  <c r="L251" i="2"/>
  <c r="C251" i="1" s="1"/>
  <c r="D251" i="1" s="1"/>
  <c r="L248" i="2"/>
  <c r="C248" i="1" s="1"/>
  <c r="D248" i="1" s="1"/>
  <c r="L249" i="2"/>
  <c r="C249" i="1" s="1"/>
  <c r="D249" i="1" s="1"/>
  <c r="L250" i="2"/>
  <c r="C250" i="1" s="1"/>
  <c r="D250" i="1" s="1"/>
  <c r="L245" i="2"/>
  <c r="C245" i="1" s="1"/>
  <c r="D245" i="1" s="1"/>
  <c r="L246" i="2"/>
  <c r="C246" i="1" s="1"/>
  <c r="D246" i="1" s="1"/>
  <c r="L247" i="2"/>
  <c r="C247" i="1" s="1"/>
  <c r="D247" i="1" s="1"/>
  <c r="E161" i="1"/>
  <c r="G161" i="1" s="1"/>
  <c r="H161" i="1" s="1"/>
  <c r="J161" i="2"/>
  <c r="C161" i="1" s="1"/>
  <c r="D161" i="1" s="1"/>
  <c r="E158" i="1"/>
  <c r="G158" i="1" s="1"/>
  <c r="H158" i="1" s="1"/>
  <c r="E157" i="1"/>
  <c r="G157" i="1" s="1"/>
  <c r="H157" i="1" s="1"/>
  <c r="J157" i="2"/>
  <c r="C157" i="1" s="1"/>
  <c r="J150" i="2"/>
  <c r="C132" i="1"/>
  <c r="D132" i="1" s="1"/>
  <c r="G132" i="1"/>
  <c r="H132" i="1" s="1"/>
  <c r="G137" i="1"/>
  <c r="H137" i="1" s="1"/>
  <c r="F137" i="2"/>
  <c r="C137" i="1" s="1"/>
  <c r="D137" i="1" s="1"/>
  <c r="E137" i="1" l="1"/>
  <c r="F137" i="1" s="1"/>
  <c r="F247" i="1"/>
  <c r="F248" i="1"/>
  <c r="F246" i="1"/>
  <c r="F250" i="1"/>
  <c r="F252" i="1"/>
  <c r="F157" i="1"/>
  <c r="G251" i="1"/>
  <c r="G249" i="1"/>
  <c r="H249" i="1" s="1"/>
  <c r="F245" i="1"/>
  <c r="F161" i="1"/>
  <c r="E122" i="1"/>
  <c r="G122" i="1" s="1"/>
  <c r="E114" i="1"/>
  <c r="G114" i="1" s="1"/>
  <c r="H114" i="1" s="1"/>
  <c r="E70" i="1"/>
  <c r="F70" i="1" s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9" i="1"/>
  <c r="I140" i="1"/>
  <c r="I141" i="1"/>
  <c r="I144" i="1"/>
  <c r="I145" i="1"/>
  <c r="I146" i="1"/>
  <c r="I147" i="1"/>
  <c r="I148" i="1"/>
  <c r="I149" i="1"/>
  <c r="I150" i="1"/>
  <c r="I151" i="1"/>
  <c r="I152" i="1"/>
  <c r="I154" i="1"/>
  <c r="I155" i="1"/>
  <c r="I156" i="1"/>
  <c r="I157" i="1"/>
  <c r="I158" i="1"/>
  <c r="I160" i="1"/>
  <c r="I161" i="1"/>
  <c r="I162" i="1"/>
  <c r="I163" i="1"/>
  <c r="I164" i="1"/>
  <c r="I165" i="1"/>
  <c r="I166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2" i="1"/>
  <c r="I203" i="1"/>
  <c r="I204" i="1"/>
  <c r="I205" i="1"/>
  <c r="I206" i="1"/>
  <c r="I207" i="1"/>
  <c r="I208" i="1"/>
  <c r="I209" i="1"/>
  <c r="I210" i="1"/>
  <c r="I211" i="1"/>
  <c r="I212" i="1"/>
  <c r="I215" i="1"/>
  <c r="I216" i="1"/>
  <c r="I220" i="1"/>
  <c r="I221" i="1"/>
  <c r="I222" i="1"/>
  <c r="I223" i="1"/>
  <c r="I225" i="1"/>
  <c r="I226" i="1"/>
  <c r="I227" i="1"/>
  <c r="I228" i="1"/>
  <c r="I229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1" i="1"/>
  <c r="I274" i="1"/>
  <c r="I275" i="1"/>
  <c r="I276" i="1"/>
  <c r="I277" i="1"/>
  <c r="I278" i="1"/>
  <c r="I279" i="1"/>
  <c r="I280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9" i="1"/>
  <c r="I530" i="1"/>
  <c r="I531" i="1"/>
  <c r="I532" i="1"/>
  <c r="I533" i="1"/>
  <c r="I535" i="1"/>
  <c r="I536" i="1"/>
  <c r="I537" i="1"/>
  <c r="I538" i="1"/>
  <c r="I540" i="1"/>
  <c r="I541" i="1"/>
  <c r="I542" i="1"/>
  <c r="I543" i="1"/>
  <c r="I545" i="1"/>
  <c r="I546" i="1"/>
  <c r="I547" i="1"/>
  <c r="I549" i="1"/>
  <c r="I550" i="1"/>
  <c r="I551" i="1"/>
  <c r="I552" i="1"/>
  <c r="I553" i="1"/>
  <c r="I554" i="1"/>
  <c r="I556" i="1"/>
  <c r="I557" i="1"/>
  <c r="I559" i="1"/>
  <c r="I561" i="1"/>
  <c r="I565" i="1"/>
  <c r="I567" i="1"/>
  <c r="I569" i="1"/>
  <c r="I570" i="1"/>
  <c r="I571" i="1"/>
  <c r="I572" i="1"/>
  <c r="I574" i="1"/>
  <c r="I575" i="1"/>
  <c r="I576" i="1"/>
  <c r="I578" i="1"/>
  <c r="I579" i="1"/>
  <c r="I580" i="1"/>
  <c r="I582" i="1"/>
  <c r="I583" i="1"/>
  <c r="I584" i="1"/>
  <c r="I585" i="1"/>
  <c r="I587" i="1"/>
  <c r="I588" i="1"/>
  <c r="I589" i="1"/>
  <c r="I590" i="1"/>
  <c r="I591" i="1"/>
  <c r="I593" i="1"/>
  <c r="I594" i="1"/>
  <c r="I595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1" i="1"/>
  <c r="I692" i="1"/>
  <c r="I693" i="1"/>
  <c r="I696" i="1"/>
  <c r="I779" i="1"/>
  <c r="I780" i="1"/>
  <c r="I781" i="1"/>
  <c r="I782" i="1"/>
  <c r="I783" i="1"/>
  <c r="I784" i="1"/>
  <c r="I785" i="1"/>
  <c r="I787" i="1"/>
  <c r="I788" i="1"/>
  <c r="I789" i="1"/>
  <c r="I790" i="1"/>
  <c r="I791" i="1"/>
  <c r="I793" i="1"/>
  <c r="I794" i="1"/>
  <c r="I795" i="1"/>
  <c r="I796" i="1"/>
  <c r="I797" i="1"/>
  <c r="I798" i="1"/>
  <c r="I799" i="1"/>
  <c r="I800" i="1"/>
  <c r="I808" i="1"/>
  <c r="I809" i="1"/>
  <c r="I810" i="1"/>
  <c r="I812" i="1"/>
  <c r="I813" i="1"/>
  <c r="I814" i="1"/>
  <c r="I815" i="1"/>
  <c r="I816" i="1"/>
  <c r="I817" i="1"/>
  <c r="I818" i="1"/>
  <c r="I81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459" i="1"/>
  <c r="I460" i="1"/>
  <c r="I461" i="1"/>
  <c r="I462" i="1"/>
  <c r="I463" i="1"/>
  <c r="I464" i="1"/>
  <c r="I465" i="1"/>
  <c r="I466" i="1"/>
  <c r="I467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4" i="1"/>
  <c r="I485" i="1"/>
  <c r="I486" i="1"/>
  <c r="I487" i="1"/>
  <c r="I489" i="1"/>
  <c r="I422" i="1"/>
  <c r="I424" i="1"/>
  <c r="I425" i="1"/>
  <c r="I426" i="1"/>
  <c r="I428" i="1"/>
  <c r="I429" i="1"/>
  <c r="I430" i="1"/>
  <c r="I435" i="1"/>
  <c r="I436" i="1"/>
  <c r="I437" i="1"/>
  <c r="I438" i="1"/>
  <c r="I439" i="1"/>
  <c r="I440" i="1"/>
  <c r="I441" i="1"/>
  <c r="I442" i="1"/>
  <c r="I443" i="1"/>
  <c r="I444" i="1"/>
  <c r="I445" i="1"/>
  <c r="I447" i="1"/>
  <c r="I448" i="1"/>
  <c r="I449" i="1"/>
  <c r="I450" i="1"/>
  <c r="I451" i="1"/>
  <c r="I452" i="1"/>
  <c r="I453" i="1"/>
  <c r="I454" i="1"/>
  <c r="I45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1" i="1"/>
  <c r="I382" i="1"/>
  <c r="I384" i="1"/>
  <c r="I385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6" i="1"/>
  <c r="I357" i="1"/>
  <c r="I359" i="1"/>
  <c r="I363" i="1"/>
  <c r="I364" i="1"/>
  <c r="I365" i="1"/>
  <c r="I366" i="1"/>
  <c r="I316" i="1"/>
  <c r="I317" i="1"/>
  <c r="I318" i="1"/>
  <c r="I319" i="1"/>
  <c r="I320" i="1"/>
  <c r="I321" i="1"/>
  <c r="I322" i="1"/>
  <c r="I323" i="1"/>
  <c r="I324" i="1"/>
  <c r="I325" i="1"/>
  <c r="I327" i="1"/>
  <c r="I328" i="1"/>
  <c r="I329" i="1"/>
  <c r="I330" i="1"/>
  <c r="I331" i="1"/>
  <c r="I332" i="1"/>
  <c r="I333" i="1"/>
  <c r="I334" i="1"/>
  <c r="I335" i="1"/>
  <c r="I336" i="1"/>
  <c r="I337" i="1"/>
  <c r="I315" i="1"/>
  <c r="G70" i="1" l="1"/>
  <c r="H70" i="1" s="1"/>
  <c r="F114" i="1"/>
  <c r="F122" i="1"/>
  <c r="E606" i="1"/>
  <c r="F606" i="1" s="1"/>
  <c r="D606" i="2"/>
  <c r="G589" i="1"/>
  <c r="H589" i="1" s="1"/>
  <c r="E550" i="1"/>
  <c r="F550" i="1" s="1"/>
  <c r="F550" i="2"/>
  <c r="F545" i="2"/>
  <c r="E549" i="1"/>
  <c r="F549" i="1" s="1"/>
  <c r="D549" i="2"/>
  <c r="F545" i="1"/>
  <c r="E536" i="1"/>
  <c r="F536" i="1" s="1"/>
  <c r="C274" i="1"/>
  <c r="D274" i="1" s="1"/>
  <c r="G274" i="1"/>
  <c r="H274" i="1" s="1"/>
  <c r="G253" i="1"/>
  <c r="H253" i="1" s="1"/>
  <c r="H251" i="1"/>
  <c r="E35" i="1" l="1"/>
  <c r="G35" i="1" s="1"/>
  <c r="H35" i="1" s="1"/>
  <c r="I35" i="2"/>
  <c r="C35" i="1" s="1"/>
  <c r="D35" i="1" s="1"/>
  <c r="F35" i="1" l="1"/>
  <c r="E788" i="1"/>
  <c r="F788" i="1" s="1"/>
  <c r="G788" i="1"/>
  <c r="H788" i="1" s="1"/>
  <c r="L788" i="2"/>
  <c r="C788" i="1" s="1"/>
  <c r="D788" i="1" s="1"/>
  <c r="E147" i="1" l="1"/>
  <c r="G147" i="1" s="1"/>
  <c r="H147" i="1" s="1"/>
  <c r="J147" i="2"/>
  <c r="C147" i="1" s="1"/>
  <c r="D147" i="1" s="1"/>
  <c r="G12" i="1"/>
  <c r="I14" i="2"/>
  <c r="I13" i="2"/>
  <c r="E13" i="3"/>
  <c r="C13" i="3" s="1"/>
  <c r="E14" i="3"/>
  <c r="C14" i="3" s="1"/>
  <c r="F147" i="1" l="1"/>
  <c r="C13" i="1"/>
  <c r="D13" i="1" s="1"/>
  <c r="E13" i="1"/>
  <c r="F13" i="1" s="1"/>
  <c r="G13" i="1"/>
  <c r="H13" i="1" s="1"/>
  <c r="G14" i="1"/>
  <c r="H14" i="1" s="1"/>
  <c r="E14" i="1"/>
  <c r="F14" i="1" s="1"/>
  <c r="C14" i="1"/>
  <c r="D14" i="1" s="1"/>
  <c r="G538" i="1"/>
  <c r="H538" i="1" s="1"/>
  <c r="E260" i="1"/>
  <c r="F260" i="1" s="1"/>
  <c r="F372" i="2"/>
  <c r="E211" i="1"/>
  <c r="F211" i="1" s="1"/>
  <c r="G211" i="1"/>
  <c r="H211" i="1" s="1"/>
  <c r="F211" i="2"/>
  <c r="C211" i="1" s="1"/>
  <c r="D211" i="1" s="1"/>
  <c r="E687" i="1"/>
  <c r="F687" i="1" s="1"/>
  <c r="M687" i="2"/>
  <c r="C687" i="1" s="1"/>
  <c r="D687" i="1" s="1"/>
  <c r="E686" i="1"/>
  <c r="F686" i="1" s="1"/>
  <c r="M686" i="2"/>
  <c r="C686" i="1" s="1"/>
  <c r="D686" i="1" s="1"/>
  <c r="C693" i="1" l="1"/>
  <c r="F692" i="1"/>
  <c r="G692" i="1"/>
  <c r="H692" i="1" s="1"/>
  <c r="E692" i="2"/>
  <c r="C692" i="1" s="1"/>
  <c r="D692" i="1" s="1"/>
  <c r="E471" i="3" l="1"/>
  <c r="K471" i="3" s="1"/>
  <c r="E365" i="3"/>
  <c r="K365" i="3" s="1"/>
  <c r="C365" i="3" l="1"/>
  <c r="G365" i="1" s="1"/>
  <c r="H365" i="1" s="1"/>
  <c r="C471" i="3"/>
  <c r="C471" i="1" s="1"/>
  <c r="D471" i="1" s="1"/>
  <c r="F391" i="2"/>
  <c r="E391" i="3"/>
  <c r="K391" i="3" s="1"/>
  <c r="C365" i="1" l="1"/>
  <c r="D365" i="1" s="1"/>
  <c r="G471" i="1"/>
  <c r="H471" i="1" s="1"/>
  <c r="C391" i="3"/>
  <c r="E391" i="1" s="1"/>
  <c r="F391" i="1" s="1"/>
  <c r="G391" i="1" l="1"/>
  <c r="H391" i="1" s="1"/>
  <c r="C391" i="1"/>
  <c r="D391" i="1" s="1"/>
  <c r="G800" i="1"/>
  <c r="H800" i="1" s="1"/>
  <c r="C800" i="1"/>
  <c r="D800" i="1" s="1"/>
  <c r="F371" i="2" l="1"/>
  <c r="F382" i="2" l="1"/>
  <c r="G190" i="1" l="1"/>
  <c r="H190" i="1" s="1"/>
  <c r="G191" i="1"/>
  <c r="H191" i="1" s="1"/>
  <c r="G192" i="1"/>
  <c r="H192" i="1" s="1"/>
  <c r="G193" i="1"/>
  <c r="H193" i="1" s="1"/>
  <c r="G194" i="1"/>
  <c r="H194" i="1" s="1"/>
  <c r="G189" i="1"/>
  <c r="H189" i="1" s="1"/>
  <c r="E256" i="1"/>
  <c r="F256" i="1" s="1"/>
  <c r="E258" i="1"/>
  <c r="F258" i="1" s="1"/>
  <c r="E259" i="1"/>
  <c r="F259" i="1" s="1"/>
  <c r="E261" i="1"/>
  <c r="F261" i="1" s="1"/>
  <c r="E262" i="1"/>
  <c r="F262" i="1" s="1"/>
  <c r="E254" i="1"/>
  <c r="F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54" i="1"/>
  <c r="H254" i="1" s="1"/>
  <c r="L255" i="2"/>
  <c r="L256" i="2"/>
  <c r="C256" i="1" s="1"/>
  <c r="D256" i="1" s="1"/>
  <c r="L257" i="2"/>
  <c r="L258" i="2"/>
  <c r="C258" i="1" s="1"/>
  <c r="D258" i="1" s="1"/>
  <c r="L259" i="2"/>
  <c r="C259" i="1" s="1"/>
  <c r="D259" i="1" s="1"/>
  <c r="L260" i="2"/>
  <c r="L261" i="2"/>
  <c r="C261" i="1" s="1"/>
  <c r="D261" i="1" s="1"/>
  <c r="L262" i="2"/>
  <c r="C262" i="1" s="1"/>
  <c r="D262" i="1" s="1"/>
  <c r="L254" i="2"/>
  <c r="C254" i="1" s="1"/>
  <c r="D254" i="1" s="1"/>
  <c r="E283" i="1" l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82" i="1"/>
  <c r="F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82" i="1"/>
  <c r="H282" i="1" s="1"/>
  <c r="G283" i="2"/>
  <c r="C283" i="1" s="1"/>
  <c r="D283" i="1" s="1"/>
  <c r="G284" i="2"/>
  <c r="C284" i="1" s="1"/>
  <c r="D284" i="1" s="1"/>
  <c r="G285" i="2"/>
  <c r="C285" i="1" s="1"/>
  <c r="D285" i="1" s="1"/>
  <c r="G286" i="2"/>
  <c r="C286" i="1" s="1"/>
  <c r="D286" i="1" s="1"/>
  <c r="G287" i="2"/>
  <c r="C287" i="1" s="1"/>
  <c r="D287" i="1" s="1"/>
  <c r="G288" i="2"/>
  <c r="C288" i="1" s="1"/>
  <c r="D288" i="1" s="1"/>
  <c r="G289" i="2"/>
  <c r="C289" i="1" s="1"/>
  <c r="D289" i="1" s="1"/>
  <c r="G290" i="2"/>
  <c r="C290" i="1" s="1"/>
  <c r="D290" i="1" s="1"/>
  <c r="G291" i="2"/>
  <c r="C291" i="1" s="1"/>
  <c r="D291" i="1" s="1"/>
  <c r="G292" i="2"/>
  <c r="C292" i="1" s="1"/>
  <c r="D292" i="1" s="1"/>
  <c r="G293" i="2"/>
  <c r="C293" i="1" s="1"/>
  <c r="D293" i="1" s="1"/>
  <c r="G282" i="2"/>
  <c r="C282" i="1" s="1"/>
  <c r="D282" i="1" s="1"/>
  <c r="E462" i="3" l="1"/>
  <c r="K462" i="3" s="1"/>
  <c r="C462" i="3" l="1"/>
  <c r="F412" i="2"/>
  <c r="F399" i="2"/>
  <c r="B99" i="4" l="1"/>
  <c r="C99" i="4"/>
  <c r="C462" i="1"/>
  <c r="D462" i="1" s="1"/>
  <c r="C61" i="4"/>
  <c r="B61" i="4"/>
  <c r="G462" i="1"/>
  <c r="H462" i="1" s="1"/>
  <c r="E268" i="1"/>
  <c r="F268" i="1" s="1"/>
  <c r="E280" i="1"/>
  <c r="F280" i="1" s="1"/>
  <c r="E278" i="1"/>
  <c r="F278" i="1" s="1"/>
  <c r="E277" i="1"/>
  <c r="F277" i="1" s="1"/>
  <c r="E271" i="1"/>
  <c r="F271" i="1" s="1"/>
  <c r="G280" i="2"/>
  <c r="C280" i="1" s="1"/>
  <c r="D280" i="1" s="1"/>
  <c r="G278" i="2"/>
  <c r="C278" i="1" s="1"/>
  <c r="D278" i="1" s="1"/>
  <c r="G277" i="2"/>
  <c r="C277" i="1" s="1"/>
  <c r="D277" i="1" s="1"/>
  <c r="F370" i="2"/>
  <c r="G271" i="2"/>
  <c r="C271" i="1" s="1"/>
  <c r="D271" i="1" s="1"/>
  <c r="G268" i="2"/>
  <c r="C268" i="1" s="1"/>
  <c r="D268" i="1" s="1"/>
  <c r="C264" i="1"/>
  <c r="D264" i="1" s="1"/>
  <c r="C265" i="1"/>
  <c r="D265" i="1" s="1"/>
  <c r="C266" i="1"/>
  <c r="D266" i="1" s="1"/>
  <c r="C267" i="1"/>
  <c r="D267" i="1" s="1"/>
  <c r="C269" i="1"/>
  <c r="D269" i="1" s="1"/>
  <c r="C275" i="1"/>
  <c r="D275" i="1" s="1"/>
  <c r="C276" i="1"/>
  <c r="D276" i="1" s="1"/>
  <c r="C279" i="1"/>
  <c r="D279" i="1" s="1"/>
  <c r="C263" i="1"/>
  <c r="D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1" i="1"/>
  <c r="H271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63" i="1"/>
  <c r="H263" i="1" s="1"/>
  <c r="H122" i="1" l="1"/>
  <c r="F158" i="1"/>
  <c r="J158" i="2"/>
  <c r="C158" i="1" s="1"/>
  <c r="D158" i="1" s="1"/>
  <c r="I122" i="2" l="1"/>
  <c r="C122" i="1" s="1"/>
  <c r="D122" i="1" s="1"/>
  <c r="I49" i="2"/>
  <c r="C49" i="1" s="1"/>
  <c r="D49" i="1" s="1"/>
  <c r="I70" i="2" l="1"/>
  <c r="C70" i="1" s="1"/>
  <c r="D70" i="1" s="1"/>
  <c r="I114" i="2" l="1"/>
  <c r="C114" i="1" s="1"/>
  <c r="D114" i="1" s="1"/>
  <c r="I57" i="2"/>
  <c r="G4" i="5" l="1"/>
  <c r="G37" i="5" l="1"/>
  <c r="B37" i="19" s="1"/>
  <c r="B39" i="6"/>
  <c r="B37" i="6"/>
  <c r="C37" i="21" s="1"/>
  <c r="B37" i="32"/>
  <c r="B58" i="32"/>
  <c r="B74" i="32"/>
  <c r="B21" i="32"/>
  <c r="B38" i="32"/>
  <c r="B45" i="32"/>
  <c r="B9" i="32"/>
  <c r="B24" i="32"/>
  <c r="B60" i="32"/>
  <c r="B63" i="32"/>
  <c r="B25" i="32"/>
  <c r="B42" i="32"/>
  <c r="B10" i="32"/>
  <c r="B48" i="32"/>
  <c r="B65" i="32"/>
  <c r="B12" i="32"/>
  <c r="B26" i="32"/>
  <c r="B43" i="32"/>
  <c r="B50" i="32"/>
  <c r="B66" i="32"/>
  <c r="B13" i="32"/>
  <c r="B27" i="32"/>
  <c r="B44" i="32"/>
  <c r="B51" i="32"/>
  <c r="B67" i="32"/>
  <c r="B15" i="32"/>
  <c r="B28" i="32"/>
  <c r="B59" i="32"/>
  <c r="B46" i="32"/>
  <c r="B47" i="32"/>
  <c r="B52" i="32"/>
  <c r="B69" i="32"/>
  <c r="B16" i="32"/>
  <c r="B30" i="32"/>
  <c r="B71" i="32"/>
  <c r="B6" i="32"/>
  <c r="B53" i="32"/>
  <c r="B70" i="32"/>
  <c r="B17" i="32"/>
  <c r="B32" i="32"/>
  <c r="B55" i="32"/>
  <c r="B18" i="32"/>
  <c r="B33" i="32"/>
  <c r="B23" i="32"/>
  <c r="B41" i="32"/>
  <c r="B56" i="32"/>
  <c r="B72" i="32"/>
  <c r="B19" i="32"/>
  <c r="B35" i="32"/>
  <c r="B7" i="32"/>
  <c r="B57" i="32"/>
  <c r="B73" i="32"/>
  <c r="B20" i="32"/>
  <c r="B36" i="32"/>
  <c r="B39" i="32"/>
  <c r="G36" i="5"/>
  <c r="B36" i="28"/>
  <c r="J36" i="21" s="1"/>
  <c r="B36" i="17"/>
  <c r="L36" i="21" s="1"/>
  <c r="B56" i="28"/>
  <c r="B24" i="28"/>
  <c r="B71" i="28"/>
  <c r="B47" i="28"/>
  <c r="B23" i="28"/>
  <c r="B70" i="28"/>
  <c r="B46" i="28"/>
  <c r="B52" i="28"/>
  <c r="B67" i="28"/>
  <c r="B44" i="28"/>
  <c r="B43" i="28"/>
  <c r="B20" i="28"/>
  <c r="B60" i="28"/>
  <c r="B12" i="28"/>
  <c r="B7" i="28"/>
  <c r="B32" i="28"/>
  <c r="B53" i="28"/>
  <c r="B13" i="28"/>
  <c r="B50" i="28"/>
  <c r="B21" i="28"/>
  <c r="B38" i="28"/>
  <c r="B19" i="28"/>
  <c r="B66" i="28"/>
  <c r="B18" i="28"/>
  <c r="B39" i="28"/>
  <c r="B72" i="28"/>
  <c r="B55" i="28"/>
  <c r="B28" i="28"/>
  <c r="B17" i="28"/>
  <c r="B69" i="28"/>
  <c r="B73" i="28"/>
  <c r="B51" i="28"/>
  <c r="B25" i="28"/>
  <c r="B79" i="5" s="1"/>
  <c r="B65" i="28"/>
  <c r="B63" i="28"/>
  <c r="B41" i="28"/>
  <c r="B16" i="28"/>
  <c r="B9" i="28"/>
  <c r="B15" i="28"/>
  <c r="B59" i="28"/>
  <c r="B6" i="28"/>
  <c r="B30" i="28"/>
  <c r="B42" i="28"/>
  <c r="B58" i="28"/>
  <c r="B35" i="28"/>
  <c r="B26" i="28"/>
  <c r="B57" i="28"/>
  <c r="B33" i="28"/>
  <c r="B10" i="28"/>
  <c r="B45" i="28"/>
  <c r="B27" i="28"/>
  <c r="B48" i="28"/>
  <c r="B74" i="28"/>
  <c r="G39" i="5"/>
  <c r="B39" i="17"/>
  <c r="B73" i="17"/>
  <c r="B67" i="17"/>
  <c r="B60" i="17"/>
  <c r="B56" i="17"/>
  <c r="B51" i="17"/>
  <c r="B46" i="17"/>
  <c r="B43" i="17"/>
  <c r="B32" i="17"/>
  <c r="B26" i="17"/>
  <c r="B35" i="17"/>
  <c r="B65" i="17"/>
  <c r="B53" i="17"/>
  <c r="B44" i="17"/>
  <c r="B28" i="17"/>
  <c r="B74" i="17"/>
  <c r="B63" i="17"/>
  <c r="B52" i="17"/>
  <c r="B42" i="17"/>
  <c r="B27" i="17"/>
  <c r="B72" i="17"/>
  <c r="B71" i="17"/>
  <c r="B66" i="17"/>
  <c r="B59" i="17"/>
  <c r="B55" i="17"/>
  <c r="B50" i="17"/>
  <c r="B45" i="17"/>
  <c r="B41" i="17"/>
  <c r="B30" i="17"/>
  <c r="B25" i="17"/>
  <c r="B70" i="17"/>
  <c r="B58" i="17"/>
  <c r="B48" i="17"/>
  <c r="B38" i="17"/>
  <c r="B24" i="17"/>
  <c r="B69" i="17"/>
  <c r="B57" i="17"/>
  <c r="B47" i="17"/>
  <c r="B33" i="17"/>
  <c r="B23" i="17"/>
  <c r="G4" i="9"/>
  <c r="G37" i="9" s="1"/>
  <c r="F37" i="19" s="1"/>
  <c r="C36" i="5" l="1"/>
  <c r="B36" i="19"/>
  <c r="B37" i="33"/>
  <c r="O37" i="21" s="1"/>
  <c r="N37" i="21"/>
  <c r="B39" i="22"/>
  <c r="C39" i="22" s="1"/>
  <c r="C39" i="21"/>
  <c r="N35" i="21"/>
  <c r="B35" i="33"/>
  <c r="O35" i="21" s="1"/>
  <c r="B71" i="33"/>
  <c r="O71" i="21" s="1"/>
  <c r="N71" i="21"/>
  <c r="B44" i="33"/>
  <c r="O44" i="21" s="1"/>
  <c r="N44" i="21"/>
  <c r="B25" i="33"/>
  <c r="O25" i="21" s="1"/>
  <c r="N25" i="21"/>
  <c r="B42" i="33"/>
  <c r="O42" i="21" s="1"/>
  <c r="N42" i="21"/>
  <c r="N60" i="21"/>
  <c r="B60" i="33"/>
  <c r="O60" i="21" s="1"/>
  <c r="B67" i="33"/>
  <c r="O67" i="21" s="1"/>
  <c r="N67" i="21"/>
  <c r="B23" i="33"/>
  <c r="O23" i="21" s="1"/>
  <c r="N23" i="21"/>
  <c r="B69" i="33"/>
  <c r="O69" i="21" s="1"/>
  <c r="N69" i="21"/>
  <c r="N66" i="21"/>
  <c r="B66" i="33"/>
  <c r="O66" i="21" s="1"/>
  <c r="B24" i="33"/>
  <c r="O24" i="21" s="1"/>
  <c r="N24" i="21"/>
  <c r="B51" i="33"/>
  <c r="O51" i="21" s="1"/>
  <c r="N51" i="21"/>
  <c r="B52" i="33"/>
  <c r="O52" i="21" s="1"/>
  <c r="N52" i="21"/>
  <c r="N50" i="21"/>
  <c r="B50" i="33"/>
  <c r="O50" i="21" s="1"/>
  <c r="B9" i="33"/>
  <c r="O9" i="21" s="1"/>
  <c r="N9" i="21"/>
  <c r="N6" i="21"/>
  <c r="B6" i="33"/>
  <c r="O6" i="21" s="1"/>
  <c r="N27" i="21"/>
  <c r="B27" i="33"/>
  <c r="O27" i="21" s="1"/>
  <c r="N33" i="21"/>
  <c r="B33" i="33"/>
  <c r="O33" i="21" s="1"/>
  <c r="N36" i="21"/>
  <c r="B36" i="33"/>
  <c r="O36" i="21" s="1"/>
  <c r="N18" i="21"/>
  <c r="B18" i="33"/>
  <c r="O18" i="21" s="1"/>
  <c r="N47" i="21"/>
  <c r="B47" i="33"/>
  <c r="O47" i="21" s="1"/>
  <c r="N43" i="21"/>
  <c r="B43" i="33"/>
  <c r="O43" i="21" s="1"/>
  <c r="N45" i="21"/>
  <c r="B45" i="33"/>
  <c r="O45" i="21" s="1"/>
  <c r="N19" i="21"/>
  <c r="B19" i="33"/>
  <c r="O19" i="21" s="1"/>
  <c r="N63" i="21"/>
  <c r="B63" i="33"/>
  <c r="O63" i="21" s="1"/>
  <c r="B39" i="33"/>
  <c r="O39" i="21" s="1"/>
  <c r="N39" i="21"/>
  <c r="N20" i="21"/>
  <c r="B20" i="33"/>
  <c r="O20" i="21" s="1"/>
  <c r="B55" i="33"/>
  <c r="O55" i="21" s="1"/>
  <c r="N55" i="21"/>
  <c r="N46" i="21"/>
  <c r="B46" i="33"/>
  <c r="O46" i="21" s="1"/>
  <c r="N26" i="21"/>
  <c r="B26" i="33"/>
  <c r="O26" i="21" s="1"/>
  <c r="B38" i="33"/>
  <c r="O38" i="21" s="1"/>
  <c r="N38" i="21"/>
  <c r="B10" i="33"/>
  <c r="O10" i="21" s="1"/>
  <c r="N10" i="21"/>
  <c r="B56" i="33"/>
  <c r="O56" i="21" s="1"/>
  <c r="N56" i="21"/>
  <c r="B41" i="33"/>
  <c r="O41" i="21" s="1"/>
  <c r="N41" i="21"/>
  <c r="N73" i="21"/>
  <c r="B73" i="33"/>
  <c r="O73" i="21" s="1"/>
  <c r="N32" i="21"/>
  <c r="B32" i="33"/>
  <c r="O32" i="21" s="1"/>
  <c r="B59" i="33"/>
  <c r="O59" i="21" s="1"/>
  <c r="N59" i="21"/>
  <c r="B12" i="33"/>
  <c r="O12" i="21" s="1"/>
  <c r="N12" i="21"/>
  <c r="B21" i="33"/>
  <c r="O21" i="21" s="1"/>
  <c r="N21" i="21"/>
  <c r="B72" i="33"/>
  <c r="O72" i="21" s="1"/>
  <c r="N72" i="21"/>
  <c r="N13" i="21"/>
  <c r="B13" i="33"/>
  <c r="O13" i="21" s="1"/>
  <c r="N57" i="21"/>
  <c r="B57" i="33"/>
  <c r="O57" i="21" s="1"/>
  <c r="N17" i="21"/>
  <c r="B17" i="33"/>
  <c r="O17" i="21" s="1"/>
  <c r="B28" i="33"/>
  <c r="O28" i="21" s="1"/>
  <c r="N28" i="21"/>
  <c r="N65" i="21"/>
  <c r="B65" i="33"/>
  <c r="O65" i="21" s="1"/>
  <c r="B74" i="33"/>
  <c r="O74" i="21" s="1"/>
  <c r="N74" i="21"/>
  <c r="B53" i="33"/>
  <c r="O53" i="21" s="1"/>
  <c r="N53" i="21"/>
  <c r="N30" i="21"/>
  <c r="B30" i="33"/>
  <c r="O30" i="21" s="1"/>
  <c r="N16" i="21"/>
  <c r="B16" i="33"/>
  <c r="O16" i="21" s="1"/>
  <c r="B7" i="33"/>
  <c r="O7" i="21" s="1"/>
  <c r="N7" i="21"/>
  <c r="B70" i="33"/>
  <c r="O70" i="21" s="1"/>
  <c r="N70" i="21"/>
  <c r="B15" i="33"/>
  <c r="O15" i="21" s="1"/>
  <c r="N15" i="21"/>
  <c r="N48" i="21"/>
  <c r="B48" i="33"/>
  <c r="O48" i="21" s="1"/>
  <c r="B58" i="33"/>
  <c r="O58" i="21" s="1"/>
  <c r="N58" i="21"/>
  <c r="R35" i="22"/>
  <c r="S35" i="22" s="1"/>
  <c r="Y35" i="22" s="1"/>
  <c r="Z35" i="22" s="1"/>
  <c r="R6" i="22"/>
  <c r="S6" i="22" s="1"/>
  <c r="Y6" i="22" s="1"/>
  <c r="Z6" i="22" s="1"/>
  <c r="R72" i="22"/>
  <c r="S72" i="22" s="1"/>
  <c r="Y72" i="22" s="1"/>
  <c r="Z72" i="22" s="1"/>
  <c r="R44" i="22"/>
  <c r="S44" i="22" s="1"/>
  <c r="Y44" i="22" s="1"/>
  <c r="Z44" i="22" s="1"/>
  <c r="R25" i="22"/>
  <c r="S25" i="22" s="1"/>
  <c r="Y25" i="22" s="1"/>
  <c r="Z25" i="22" s="1"/>
  <c r="N25" i="33"/>
  <c r="R56" i="22"/>
  <c r="S56" i="22" s="1"/>
  <c r="Y56" i="22" s="1"/>
  <c r="Z56" i="22" s="1"/>
  <c r="R30" i="22"/>
  <c r="S30" i="22" s="1"/>
  <c r="Y30" i="22" s="1"/>
  <c r="Z30" i="22" s="1"/>
  <c r="R27" i="22"/>
  <c r="S27" i="22" s="1"/>
  <c r="Y27" i="22" s="1"/>
  <c r="Z27" i="22" s="1"/>
  <c r="R63" i="22"/>
  <c r="S63" i="22" s="1"/>
  <c r="Y63" i="22" s="1"/>
  <c r="Z63" i="22" s="1"/>
  <c r="R19" i="22"/>
  <c r="S19" i="22" s="1"/>
  <c r="Y19" i="22" s="1"/>
  <c r="Z19" i="22" s="1"/>
  <c r="R71" i="22"/>
  <c r="S71" i="22" s="1"/>
  <c r="Y71" i="22" s="1"/>
  <c r="Z71" i="22" s="1"/>
  <c r="R41" i="22"/>
  <c r="S41" i="22" s="1"/>
  <c r="Y41" i="22" s="1"/>
  <c r="Z41" i="22" s="1"/>
  <c r="R16" i="22"/>
  <c r="S16" i="22" s="1"/>
  <c r="Y16" i="22" s="1"/>
  <c r="Z16" i="22" s="1"/>
  <c r="R13" i="22"/>
  <c r="S13" i="22" s="1"/>
  <c r="Y13" i="22" s="1"/>
  <c r="Z13" i="22" s="1"/>
  <c r="R60" i="22"/>
  <c r="S60" i="22" s="1"/>
  <c r="Y60" i="22" s="1"/>
  <c r="Z60" i="22" s="1"/>
  <c r="R67" i="22"/>
  <c r="S67" i="22" s="1"/>
  <c r="Y67" i="22" s="1"/>
  <c r="Z67" i="22" s="1"/>
  <c r="R23" i="22"/>
  <c r="S23" i="22" s="1"/>
  <c r="Y23" i="22" s="1"/>
  <c r="Z23" i="22" s="1"/>
  <c r="R69" i="22"/>
  <c r="S69" i="22" s="1"/>
  <c r="Y69" i="22" s="1"/>
  <c r="Z69" i="22" s="1"/>
  <c r="R66" i="22"/>
  <c r="S66" i="22" s="1"/>
  <c r="Y66" i="22" s="1"/>
  <c r="Z66" i="22" s="1"/>
  <c r="R24" i="22"/>
  <c r="S24" i="22" s="1"/>
  <c r="Y24" i="22" s="1"/>
  <c r="Z24" i="22" s="1"/>
  <c r="T67" i="22"/>
  <c r="U67" i="22" s="1"/>
  <c r="R39" i="22"/>
  <c r="S39" i="22" s="1"/>
  <c r="Y39" i="22" s="1"/>
  <c r="Z39" i="22" s="1"/>
  <c r="I39" i="32"/>
  <c r="N39" i="20" s="1"/>
  <c r="J39" i="32"/>
  <c r="K39" i="32" s="1"/>
  <c r="R33" i="22"/>
  <c r="S33" i="22" s="1"/>
  <c r="Y33" i="22" s="1"/>
  <c r="Z33" i="22" s="1"/>
  <c r="R52" i="22"/>
  <c r="S52" i="22" s="1"/>
  <c r="Y52" i="22" s="1"/>
  <c r="Z52" i="22" s="1"/>
  <c r="R50" i="22"/>
  <c r="S50" i="22" s="1"/>
  <c r="Y50" i="22" s="1"/>
  <c r="Z50" i="22" s="1"/>
  <c r="R9" i="22"/>
  <c r="S9" i="22" s="1"/>
  <c r="Y9" i="22" s="1"/>
  <c r="Z9" i="22" s="1"/>
  <c r="R51" i="22"/>
  <c r="S51" i="22" s="1"/>
  <c r="Y51" i="22" s="1"/>
  <c r="Z51" i="22" s="1"/>
  <c r="R36" i="22"/>
  <c r="S36" i="22" s="1"/>
  <c r="Y36" i="22" s="1"/>
  <c r="Z36" i="22" s="1"/>
  <c r="I36" i="32"/>
  <c r="N36" i="20" s="1"/>
  <c r="J36" i="32"/>
  <c r="K36" i="32" s="1"/>
  <c r="R18" i="22"/>
  <c r="S18" i="22" s="1"/>
  <c r="Y18" i="22" s="1"/>
  <c r="Z18" i="22" s="1"/>
  <c r="R47" i="22"/>
  <c r="S47" i="22" s="1"/>
  <c r="Y47" i="22" s="1"/>
  <c r="Z47" i="22" s="1"/>
  <c r="R43" i="22"/>
  <c r="S43" i="22" s="1"/>
  <c r="Y43" i="22" s="1"/>
  <c r="Z43" i="22" s="1"/>
  <c r="R45" i="22"/>
  <c r="S45" i="22" s="1"/>
  <c r="Y45" i="22" s="1"/>
  <c r="Z45" i="22" s="1"/>
  <c r="R10" i="22"/>
  <c r="S10" i="22" s="1"/>
  <c r="Y10" i="22" s="1"/>
  <c r="Z10" i="22" s="1"/>
  <c r="R42" i="22"/>
  <c r="S42" i="22" s="1"/>
  <c r="Y42" i="22" s="1"/>
  <c r="Z42" i="22" s="1"/>
  <c r="I39" i="33"/>
  <c r="O39" i="20" s="1"/>
  <c r="R20" i="22"/>
  <c r="S20" i="22" s="1"/>
  <c r="Y20" i="22" s="1"/>
  <c r="Z20" i="22" s="1"/>
  <c r="R55" i="22"/>
  <c r="S55" i="22" s="1"/>
  <c r="Y55" i="22" s="1"/>
  <c r="Z55" i="22" s="1"/>
  <c r="R46" i="22"/>
  <c r="S46" i="22" s="1"/>
  <c r="Y46" i="22" s="1"/>
  <c r="Z46" i="22" s="1"/>
  <c r="R26" i="22"/>
  <c r="S26" i="22" s="1"/>
  <c r="Y26" i="22" s="1"/>
  <c r="Z26" i="22" s="1"/>
  <c r="R38" i="22"/>
  <c r="S38" i="22" s="1"/>
  <c r="Y38" i="22" s="1"/>
  <c r="Z38" i="22" s="1"/>
  <c r="R53" i="22"/>
  <c r="S53" i="22" s="1"/>
  <c r="Y53" i="22" s="1"/>
  <c r="Z53" i="22" s="1"/>
  <c r="T43" i="22"/>
  <c r="U43" i="22" s="1"/>
  <c r="R73" i="22"/>
  <c r="S73" i="22" s="1"/>
  <c r="Y73" i="22" s="1"/>
  <c r="Z73" i="22" s="1"/>
  <c r="R32" i="22"/>
  <c r="S32" i="22" s="1"/>
  <c r="Y32" i="22" s="1"/>
  <c r="Z32" i="22" s="1"/>
  <c r="R59" i="22"/>
  <c r="S59" i="22" s="1"/>
  <c r="Y59" i="22" s="1"/>
  <c r="Z59" i="22" s="1"/>
  <c r="R12" i="22"/>
  <c r="S12" i="22" s="1"/>
  <c r="Y12" i="22" s="1"/>
  <c r="Z12" i="22" s="1"/>
  <c r="R21" i="22"/>
  <c r="S21" i="22" s="1"/>
  <c r="Y21" i="22" s="1"/>
  <c r="Z21" i="22" s="1"/>
  <c r="N59" i="33"/>
  <c r="R57" i="22"/>
  <c r="S57" i="22" s="1"/>
  <c r="Y57" i="22" s="1"/>
  <c r="Z57" i="22" s="1"/>
  <c r="R17" i="22"/>
  <c r="S17" i="22" s="1"/>
  <c r="Y17" i="22" s="1"/>
  <c r="Z17" i="22" s="1"/>
  <c r="R28" i="22"/>
  <c r="S28" i="22" s="1"/>
  <c r="Y28" i="22" s="1"/>
  <c r="Z28" i="22" s="1"/>
  <c r="R65" i="22"/>
  <c r="S65" i="22" s="1"/>
  <c r="Y65" i="22" s="1"/>
  <c r="Z65" i="22" s="1"/>
  <c r="R74" i="22"/>
  <c r="S74" i="22" s="1"/>
  <c r="Y74" i="22" s="1"/>
  <c r="Z74" i="22" s="1"/>
  <c r="T71" i="22"/>
  <c r="U71" i="22" s="1"/>
  <c r="N71" i="33"/>
  <c r="R7" i="22"/>
  <c r="S7" i="22" s="1"/>
  <c r="Y7" i="22" s="1"/>
  <c r="Z7" i="22" s="1"/>
  <c r="R70" i="22"/>
  <c r="S70" i="22" s="1"/>
  <c r="Y70" i="22" s="1"/>
  <c r="Z70" i="22" s="1"/>
  <c r="R15" i="22"/>
  <c r="S15" i="22" s="1"/>
  <c r="Y15" i="22" s="1"/>
  <c r="Z15" i="22" s="1"/>
  <c r="R48" i="22"/>
  <c r="S48" i="22" s="1"/>
  <c r="Y48" i="22" s="1"/>
  <c r="Z48" i="22" s="1"/>
  <c r="R58" i="22"/>
  <c r="S58" i="22" s="1"/>
  <c r="Y58" i="22" s="1"/>
  <c r="Z58" i="22" s="1"/>
  <c r="I36" i="5"/>
  <c r="B36" i="20" s="1"/>
  <c r="J36" i="5"/>
  <c r="K36" i="5" s="1"/>
  <c r="O36" i="28"/>
  <c r="Q36" i="28" s="1"/>
  <c r="M36" i="28"/>
  <c r="L36" i="28"/>
  <c r="N36" i="28"/>
  <c r="P36" i="28" s="1"/>
  <c r="J36" i="22"/>
  <c r="K36" i="22" s="1"/>
  <c r="J36" i="17"/>
  <c r="K36" i="17" s="1"/>
  <c r="N36" i="22"/>
  <c r="O36" i="22" s="1"/>
  <c r="I36" i="17"/>
  <c r="L36" i="20" s="1"/>
  <c r="G39" i="9"/>
  <c r="G36" i="9"/>
  <c r="J56" i="22"/>
  <c r="J56" i="21"/>
  <c r="J24" i="22"/>
  <c r="J24" i="21"/>
  <c r="J71" i="21"/>
  <c r="J71" i="22"/>
  <c r="J47" i="22"/>
  <c r="J47" i="21"/>
  <c r="J23" i="21"/>
  <c r="J23" i="22"/>
  <c r="J70" i="21"/>
  <c r="J70" i="22"/>
  <c r="J46" i="22"/>
  <c r="J46" i="21"/>
  <c r="J52" i="22"/>
  <c r="J52" i="21"/>
  <c r="J67" i="21"/>
  <c r="J67" i="22"/>
  <c r="J44" i="21"/>
  <c r="J44" i="22"/>
  <c r="J43" i="22"/>
  <c r="J43" i="21"/>
  <c r="J20" i="21"/>
  <c r="J20" i="22"/>
  <c r="J60" i="21"/>
  <c r="J60" i="22"/>
  <c r="J12" i="22"/>
  <c r="J12" i="21"/>
  <c r="J7" i="21"/>
  <c r="J7" i="22"/>
  <c r="J32" i="21"/>
  <c r="J32" i="22"/>
  <c r="J53" i="21"/>
  <c r="J53" i="22"/>
  <c r="J13" i="22"/>
  <c r="J13" i="21"/>
  <c r="J50" i="22"/>
  <c r="J50" i="21"/>
  <c r="J21" i="22"/>
  <c r="J21" i="21"/>
  <c r="J38" i="22"/>
  <c r="J38" i="21"/>
  <c r="J19" i="21"/>
  <c r="J19" i="22"/>
  <c r="J66" i="22"/>
  <c r="J66" i="21"/>
  <c r="J18" i="21"/>
  <c r="J18" i="22"/>
  <c r="J39" i="21"/>
  <c r="J39" i="22"/>
  <c r="J72" i="22"/>
  <c r="J72" i="21"/>
  <c r="J55" i="22"/>
  <c r="J55" i="21"/>
  <c r="J28" i="22"/>
  <c r="J28" i="21"/>
  <c r="J17" i="22"/>
  <c r="J17" i="21"/>
  <c r="J69" i="22"/>
  <c r="J69" i="21"/>
  <c r="J73" i="21"/>
  <c r="J73" i="22"/>
  <c r="J51" i="21"/>
  <c r="J51" i="22"/>
  <c r="J25" i="22"/>
  <c r="J25" i="21"/>
  <c r="J65" i="22"/>
  <c r="J65" i="21"/>
  <c r="J63" i="22"/>
  <c r="J63" i="21"/>
  <c r="J41" i="22"/>
  <c r="J41" i="21"/>
  <c r="J16" i="22"/>
  <c r="J16" i="21"/>
  <c r="J9" i="22"/>
  <c r="J9" i="21"/>
  <c r="J15" i="22"/>
  <c r="J15" i="21"/>
  <c r="J59" i="22"/>
  <c r="J59" i="21"/>
  <c r="J6" i="22"/>
  <c r="J6" i="21"/>
  <c r="J30" i="21"/>
  <c r="J30" i="22"/>
  <c r="J42" i="21"/>
  <c r="J42" i="22"/>
  <c r="J58" i="22"/>
  <c r="J58" i="21"/>
  <c r="J35" i="21"/>
  <c r="J35" i="22"/>
  <c r="J26" i="21"/>
  <c r="J26" i="22"/>
  <c r="J57" i="21"/>
  <c r="J57" i="22"/>
  <c r="J33" i="21"/>
  <c r="J33" i="22"/>
  <c r="J10" i="21"/>
  <c r="J10" i="22"/>
  <c r="J45" i="21"/>
  <c r="J45" i="22"/>
  <c r="J27" i="21"/>
  <c r="J27" i="22"/>
  <c r="J48" i="22"/>
  <c r="J48" i="21"/>
  <c r="J74" i="22"/>
  <c r="J74" i="21"/>
  <c r="O39" i="28"/>
  <c r="Q39" i="28" s="1"/>
  <c r="L39" i="28"/>
  <c r="J39" i="20" s="1"/>
  <c r="M39" i="28"/>
  <c r="N39" i="28"/>
  <c r="P39" i="28" s="1"/>
  <c r="L39" i="21"/>
  <c r="N39" i="22"/>
  <c r="O39" i="22" s="1"/>
  <c r="I39" i="17"/>
  <c r="L39" i="20" s="1"/>
  <c r="J39" i="17"/>
  <c r="K39" i="17" s="1"/>
  <c r="C39" i="5"/>
  <c r="B39" i="19"/>
  <c r="B21" i="17"/>
  <c r="B17" i="17"/>
  <c r="B12" i="17"/>
  <c r="B6" i="17"/>
  <c r="B18" i="17"/>
  <c r="B7" i="17"/>
  <c r="B20" i="17"/>
  <c r="B16" i="17"/>
  <c r="B10" i="17"/>
  <c r="B9" i="17"/>
  <c r="B19" i="17"/>
  <c r="B15" i="17"/>
  <c r="B13" i="17"/>
  <c r="L590" i="2"/>
  <c r="L589" i="2"/>
  <c r="N35" i="33" l="1"/>
  <c r="N38" i="33"/>
  <c r="T35" i="22"/>
  <c r="U35" i="22" s="1"/>
  <c r="T38" i="22"/>
  <c r="U38" i="22" s="1"/>
  <c r="T66" i="22"/>
  <c r="U66" i="22" s="1"/>
  <c r="N67" i="33"/>
  <c r="T59" i="22"/>
  <c r="U59" i="22" s="1"/>
  <c r="J39" i="33"/>
  <c r="K39" i="33" s="1"/>
  <c r="I36" i="33"/>
  <c r="O36" i="20" s="1"/>
  <c r="T39" i="22"/>
  <c r="U39" i="22" s="1"/>
  <c r="J36" i="33"/>
  <c r="K36" i="33" s="1"/>
  <c r="N50" i="33"/>
  <c r="T63" i="22"/>
  <c r="U63" i="22" s="1"/>
  <c r="N69" i="33"/>
  <c r="T69" i="22"/>
  <c r="U69" i="22" s="1"/>
  <c r="T50" i="22"/>
  <c r="U50" i="22" s="1"/>
  <c r="T36" i="22"/>
  <c r="U36" i="22" s="1"/>
  <c r="N52" i="33"/>
  <c r="N63" i="33"/>
  <c r="T52" i="22"/>
  <c r="U52" i="22" s="1"/>
  <c r="W36" i="22"/>
  <c r="N23" i="33"/>
  <c r="T23" i="22"/>
  <c r="U23" i="22" s="1"/>
  <c r="C36" i="9"/>
  <c r="O36" i="31" s="1"/>
  <c r="F36" i="19"/>
  <c r="T70" i="22"/>
  <c r="U70" i="22" s="1"/>
  <c r="T28" i="22"/>
  <c r="U28" i="22" s="1"/>
  <c r="N56" i="33"/>
  <c r="T72" i="22"/>
  <c r="U72" i="22" s="1"/>
  <c r="T56" i="22"/>
  <c r="U56" i="22" s="1"/>
  <c r="T27" i="22"/>
  <c r="U27" i="22" s="1"/>
  <c r="T24" i="22"/>
  <c r="U24" i="22" s="1"/>
  <c r="N70" i="33"/>
  <c r="N46" i="33"/>
  <c r="T46" i="22"/>
  <c r="U46" i="22" s="1"/>
  <c r="N27" i="33"/>
  <c r="T74" i="22"/>
  <c r="U74" i="22" s="1"/>
  <c r="N41" i="33"/>
  <c r="T25" i="22"/>
  <c r="U25" i="22" s="1"/>
  <c r="N73" i="33"/>
  <c r="N55" i="33"/>
  <c r="N24" i="33"/>
  <c r="N66" i="33"/>
  <c r="T55" i="22"/>
  <c r="U55" i="22" s="1"/>
  <c r="T44" i="22"/>
  <c r="U44" i="22" s="1"/>
  <c r="N72" i="33"/>
  <c r="T73" i="22"/>
  <c r="U73" i="22" s="1"/>
  <c r="N48" i="33"/>
  <c r="T48" i="22"/>
  <c r="U48" i="22" s="1"/>
  <c r="N28" i="33"/>
  <c r="N65" i="33"/>
  <c r="N45" i="33"/>
  <c r="N53" i="33"/>
  <c r="N42" i="33"/>
  <c r="N74" i="33"/>
  <c r="T65" i="22"/>
  <c r="U65" i="22" s="1"/>
  <c r="T53" i="22"/>
  <c r="U53" i="22" s="1"/>
  <c r="T32" i="22"/>
  <c r="U32" i="22" s="1"/>
  <c r="N60" i="33"/>
  <c r="N57" i="33"/>
  <c r="T42" i="22"/>
  <c r="U42" i="22" s="1"/>
  <c r="T57" i="22"/>
  <c r="U57" i="22" s="1"/>
  <c r="T45" i="22"/>
  <c r="U45" i="22" s="1"/>
  <c r="T41" i="22"/>
  <c r="U41" i="22" s="1"/>
  <c r="N30" i="33"/>
  <c r="N32" i="33"/>
  <c r="T60" i="22"/>
  <c r="U60" i="22" s="1"/>
  <c r="N26" i="33"/>
  <c r="N47" i="33"/>
  <c r="N33" i="33"/>
  <c r="T30" i="22"/>
  <c r="U30" i="22" s="1"/>
  <c r="N51" i="33"/>
  <c r="N58" i="33"/>
  <c r="T26" i="22"/>
  <c r="U26" i="22" s="1"/>
  <c r="T47" i="22"/>
  <c r="U47" i="22" s="1"/>
  <c r="T33" i="22"/>
  <c r="U33" i="22" s="1"/>
  <c r="T51" i="22"/>
  <c r="U51" i="22" s="1"/>
  <c r="T58" i="22"/>
  <c r="U58" i="22" s="1"/>
  <c r="C36" i="28"/>
  <c r="D36" i="28" s="1"/>
  <c r="J36" i="20"/>
  <c r="H39" i="22"/>
  <c r="I39" i="22" s="1"/>
  <c r="J39" i="31"/>
  <c r="K39" i="31" s="1"/>
  <c r="I39" i="31"/>
  <c r="I39" i="20" s="1"/>
  <c r="N38" i="31"/>
  <c r="H38" i="22"/>
  <c r="I38" i="22" s="1"/>
  <c r="H36" i="22"/>
  <c r="I36" i="22" s="1"/>
  <c r="J36" i="31"/>
  <c r="K36" i="31" s="1"/>
  <c r="I36" i="31"/>
  <c r="I36" i="20" s="1"/>
  <c r="T13" i="22"/>
  <c r="U13" i="22" s="1"/>
  <c r="N13" i="33"/>
  <c r="T19" i="22"/>
  <c r="U19" i="22" s="1"/>
  <c r="N19" i="33"/>
  <c r="T10" i="22"/>
  <c r="U10" i="22" s="1"/>
  <c r="N10" i="33"/>
  <c r="T16" i="22"/>
  <c r="U16" i="22" s="1"/>
  <c r="N16" i="33"/>
  <c r="T20" i="22"/>
  <c r="U20" i="22" s="1"/>
  <c r="N20" i="33"/>
  <c r="T18" i="22"/>
  <c r="U18" i="22" s="1"/>
  <c r="N18" i="33"/>
  <c r="T15" i="22"/>
  <c r="U15" i="22" s="1"/>
  <c r="N15" i="33"/>
  <c r="T9" i="22"/>
  <c r="U9" i="22" s="1"/>
  <c r="N9" i="33"/>
  <c r="T6" i="22"/>
  <c r="U6" i="22" s="1"/>
  <c r="N6" i="33"/>
  <c r="T21" i="22"/>
  <c r="U21" i="22" s="1"/>
  <c r="N21" i="33"/>
  <c r="T7" i="22"/>
  <c r="U7" i="22" s="1"/>
  <c r="N7" i="33"/>
  <c r="T12" i="22"/>
  <c r="U12" i="22" s="1"/>
  <c r="N12" i="33"/>
  <c r="T17" i="22"/>
  <c r="U17" i="22" s="1"/>
  <c r="N17" i="33"/>
  <c r="F39" i="19"/>
  <c r="C39" i="9"/>
  <c r="O39" i="31" s="1"/>
  <c r="I36" i="9"/>
  <c r="F36" i="20" s="1"/>
  <c r="C39" i="28"/>
  <c r="D39" i="28" s="1"/>
  <c r="I39" i="5"/>
  <c r="M39" i="5" s="1"/>
  <c r="J39" i="5"/>
  <c r="K39" i="5" s="1"/>
  <c r="L29" i="24"/>
  <c r="J36" i="9" l="1"/>
  <c r="K36" i="9" s="1"/>
  <c r="I39" i="9"/>
  <c r="F39" i="20" s="1"/>
  <c r="J39" i="9"/>
  <c r="K39" i="9" s="1"/>
  <c r="B39" i="20"/>
  <c r="G4" i="7"/>
  <c r="G37" i="7" l="1"/>
  <c r="D37" i="19" s="1"/>
  <c r="G39" i="7"/>
  <c r="C39" i="7" s="1"/>
  <c r="G36" i="7"/>
  <c r="E5" i="1"/>
  <c r="I5" i="2"/>
  <c r="C5" i="1" s="1"/>
  <c r="D5" i="1" s="1"/>
  <c r="D39" i="19" l="1"/>
  <c r="C36" i="7"/>
  <c r="I36" i="7" s="1"/>
  <c r="D36" i="20" s="1"/>
  <c r="D36" i="19"/>
  <c r="K39" i="22"/>
  <c r="W39" i="22" s="1"/>
  <c r="J39" i="7"/>
  <c r="K39" i="7" s="1"/>
  <c r="I39" i="7"/>
  <c r="D39" i="20" s="1"/>
  <c r="F5" i="1"/>
  <c r="G5" i="1"/>
  <c r="H5" i="1" s="1"/>
  <c r="L53" i="24"/>
  <c r="F28" i="23" s="1"/>
  <c r="M25" i="24"/>
  <c r="M29" i="24"/>
  <c r="M53" i="24"/>
  <c r="M49" i="24"/>
  <c r="M45" i="24"/>
  <c r="N45" i="24" s="1"/>
  <c r="L45" i="24"/>
  <c r="J36" i="7" l="1"/>
  <c r="K36" i="7" s="1"/>
  <c r="H28" i="23"/>
  <c r="C37" i="23" s="1"/>
  <c r="N28" i="23" s="1"/>
  <c r="J29" i="24"/>
  <c r="C28" i="23" l="1"/>
  <c r="E145" i="3"/>
  <c r="E146" i="3"/>
  <c r="E148" i="3"/>
  <c r="E149" i="3"/>
  <c r="E150" i="3"/>
  <c r="E151" i="3"/>
  <c r="E152" i="3"/>
  <c r="E154" i="3"/>
  <c r="E155" i="3"/>
  <c r="E156" i="3"/>
  <c r="E29" i="3"/>
  <c r="C29" i="3" s="1"/>
  <c r="E28" i="3"/>
  <c r="C28" i="3" s="1"/>
  <c r="E17" i="3"/>
  <c r="C17" i="3" s="1"/>
  <c r="E18" i="3"/>
  <c r="C18" i="3" s="1"/>
  <c r="E19" i="3"/>
  <c r="C19" i="3" s="1"/>
  <c r="E21" i="3"/>
  <c r="C21" i="3" s="1"/>
  <c r="E22" i="3"/>
  <c r="C22" i="3" s="1"/>
  <c r="E23" i="3"/>
  <c r="C23" i="3" s="1"/>
  <c r="E24" i="3"/>
  <c r="C24" i="3" s="1"/>
  <c r="E25" i="3"/>
  <c r="C25" i="3" s="1"/>
  <c r="E26" i="3"/>
  <c r="C26" i="3" s="1"/>
  <c r="E27" i="3"/>
  <c r="C27" i="3" s="1"/>
  <c r="C156" i="3" l="1"/>
  <c r="K156" i="3"/>
  <c r="C155" i="3"/>
  <c r="K155" i="3"/>
  <c r="C154" i="3"/>
  <c r="K154" i="3"/>
  <c r="C152" i="3"/>
  <c r="K152" i="3"/>
  <c r="C151" i="3"/>
  <c r="K151" i="3"/>
  <c r="C150" i="3"/>
  <c r="E150" i="1" s="1"/>
  <c r="K150" i="3"/>
  <c r="C149" i="3"/>
  <c r="K149" i="3"/>
  <c r="C148" i="3"/>
  <c r="K148" i="3"/>
  <c r="C146" i="3"/>
  <c r="K146" i="3"/>
  <c r="C145" i="3"/>
  <c r="K145" i="3"/>
  <c r="C144" i="3"/>
  <c r="K144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6" i="3"/>
  <c r="J357" i="3"/>
  <c r="J359" i="3"/>
  <c r="J363" i="3"/>
  <c r="J364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1" i="3"/>
  <c r="J382" i="3"/>
  <c r="J384" i="3"/>
  <c r="J385" i="3"/>
  <c r="J386" i="3"/>
  <c r="J387" i="3"/>
  <c r="J388" i="3"/>
  <c r="J389" i="3"/>
  <c r="J390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4" i="3"/>
  <c r="J425" i="3"/>
  <c r="J426" i="3"/>
  <c r="J428" i="3"/>
  <c r="J429" i="3"/>
  <c r="J430" i="3"/>
  <c r="J435" i="3"/>
  <c r="J436" i="3"/>
  <c r="J437" i="3"/>
  <c r="J438" i="3"/>
  <c r="J439" i="3"/>
  <c r="J440" i="3"/>
  <c r="J441" i="3"/>
  <c r="J442" i="3"/>
  <c r="J443" i="3"/>
  <c r="J444" i="3"/>
  <c r="J445" i="3"/>
  <c r="J447" i="3"/>
  <c r="J448" i="3"/>
  <c r="J449" i="3"/>
  <c r="J450" i="3"/>
  <c r="J451" i="3"/>
  <c r="J452" i="3"/>
  <c r="J453" i="3"/>
  <c r="J454" i="3"/>
  <c r="J455" i="3"/>
  <c r="J459" i="3"/>
  <c r="J460" i="3"/>
  <c r="J461" i="3"/>
  <c r="J463" i="3"/>
  <c r="J464" i="3"/>
  <c r="J465" i="3"/>
  <c r="J466" i="3"/>
  <c r="J467" i="3"/>
  <c r="J470" i="3"/>
  <c r="J472" i="3"/>
  <c r="J473" i="3"/>
  <c r="J474" i="3"/>
  <c r="J475" i="3"/>
  <c r="J476" i="3"/>
  <c r="J477" i="3"/>
  <c r="J478" i="3"/>
  <c r="J479" i="3"/>
  <c r="J480" i="3"/>
  <c r="J481" i="3"/>
  <c r="J482" i="3"/>
  <c r="J484" i="3"/>
  <c r="J485" i="3"/>
  <c r="J486" i="3"/>
  <c r="J487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K513" i="3" s="1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309" i="3"/>
  <c r="C150" i="1" l="1"/>
  <c r="D150" i="1" s="1"/>
  <c r="G150" i="1"/>
  <c r="H150" i="1" s="1"/>
  <c r="F150" i="1"/>
  <c r="N49" i="24"/>
  <c r="N53" i="24"/>
  <c r="L49" i="24" l="1"/>
  <c r="F29" i="23" s="1"/>
  <c r="H29" i="23" l="1"/>
  <c r="C38" i="23" s="1"/>
  <c r="N29" i="23" s="1"/>
  <c r="J45" i="24"/>
  <c r="J41" i="24"/>
  <c r="J37" i="24"/>
  <c r="C29" i="23" l="1"/>
  <c r="E21" i="24"/>
  <c r="E25" i="24"/>
  <c r="C659" i="3" s="1"/>
  <c r="G659" i="1" s="1"/>
  <c r="E29" i="24"/>
  <c r="G29" i="24" s="1"/>
  <c r="H29" i="24" s="1"/>
  <c r="E33" i="24"/>
  <c r="G33" i="24" s="1"/>
  <c r="H33" i="24" s="1"/>
  <c r="E9" i="24"/>
  <c r="G9" i="24" s="1"/>
  <c r="H9" i="24" s="1"/>
  <c r="E13" i="24"/>
  <c r="G13" i="24" s="1"/>
  <c r="H13" i="24" s="1"/>
  <c r="E17" i="24"/>
  <c r="G17" i="24" s="1"/>
  <c r="H17" i="24" s="1"/>
  <c r="E5" i="24"/>
  <c r="G5" i="24" s="1"/>
  <c r="H5" i="24" s="1"/>
  <c r="H659" i="1" l="1"/>
  <c r="C659" i="1"/>
  <c r="D659" i="1" s="1"/>
  <c r="E659" i="1"/>
  <c r="F659" i="1" s="1"/>
  <c r="G25" i="24"/>
  <c r="H25" i="24" s="1"/>
  <c r="G21" i="24"/>
  <c r="H21" i="24" s="1"/>
  <c r="I77" i="2"/>
  <c r="F9" i="24" l="1"/>
  <c r="G1" i="10" s="1"/>
  <c r="G4" i="10" s="1"/>
  <c r="F13" i="24"/>
  <c r="F17" i="24"/>
  <c r="G1" i="14" s="1"/>
  <c r="F5" i="24"/>
  <c r="G4" i="6" s="1"/>
  <c r="F25" i="24"/>
  <c r="F29" i="24"/>
  <c r="G1" i="18" s="1"/>
  <c r="G4" i="18" s="1"/>
  <c r="F33" i="24"/>
  <c r="F21" i="24"/>
  <c r="G44" i="17"/>
  <c r="L44" i="19" s="1"/>
  <c r="G43" i="17"/>
  <c r="L43" i="19" s="1"/>
  <c r="B44" i="9"/>
  <c r="B43" i="9"/>
  <c r="G44" i="9"/>
  <c r="F44" i="19" s="1"/>
  <c r="G43" i="9"/>
  <c r="F43" i="19" s="1"/>
  <c r="B44" i="7"/>
  <c r="B43" i="7"/>
  <c r="G44" i="7"/>
  <c r="D44" i="19" s="1"/>
  <c r="G43" i="7"/>
  <c r="D43" i="19" s="1"/>
  <c r="G37" i="10" l="1"/>
  <c r="G37" i="19" s="1"/>
  <c r="B37" i="10"/>
  <c r="G37" i="21" s="1"/>
  <c r="G37" i="18"/>
  <c r="B37" i="18"/>
  <c r="H43" i="22"/>
  <c r="I43" i="22" s="1"/>
  <c r="H44" i="22"/>
  <c r="I44" i="22" s="1"/>
  <c r="G36" i="10"/>
  <c r="B36" i="10"/>
  <c r="G36" i="21" s="1"/>
  <c r="G36" i="6"/>
  <c r="B36" i="6"/>
  <c r="C36" i="21" s="1"/>
  <c r="G36" i="18"/>
  <c r="B36" i="18"/>
  <c r="M36" i="21" s="1"/>
  <c r="G44" i="18"/>
  <c r="M44" i="19" s="1"/>
  <c r="G39" i="18"/>
  <c r="B39" i="18"/>
  <c r="B59" i="6"/>
  <c r="B38" i="6"/>
  <c r="G39" i="6"/>
  <c r="G44" i="10"/>
  <c r="G44" i="19" s="1"/>
  <c r="B38" i="10"/>
  <c r="G39" i="10"/>
  <c r="B39" i="10"/>
  <c r="G4" i="14"/>
  <c r="D44" i="21"/>
  <c r="D43" i="21"/>
  <c r="F43" i="21"/>
  <c r="F44" i="21"/>
  <c r="G1" i="8"/>
  <c r="G4" i="8" s="1"/>
  <c r="G43" i="18"/>
  <c r="M43" i="19" s="1"/>
  <c r="G44" i="6"/>
  <c r="C44" i="19" s="1"/>
  <c r="B7" i="6"/>
  <c r="B6" i="6"/>
  <c r="B44" i="6"/>
  <c r="B43" i="6"/>
  <c r="G43" i="6"/>
  <c r="C43" i="19" s="1"/>
  <c r="G43" i="10"/>
  <c r="G43" i="19" s="1"/>
  <c r="N44" i="22"/>
  <c r="L44" i="21"/>
  <c r="N43" i="22"/>
  <c r="L43" i="21"/>
  <c r="G37" i="8" l="1"/>
  <c r="E37" i="19" s="1"/>
  <c r="B37" i="8"/>
  <c r="E37" i="21" s="1"/>
  <c r="G37" i="14"/>
  <c r="K37" i="19" s="1"/>
  <c r="B37" i="14"/>
  <c r="K37" i="21" s="1"/>
  <c r="C36" i="6"/>
  <c r="C36" i="19"/>
  <c r="C36" i="10"/>
  <c r="O36" i="10" s="1"/>
  <c r="G36" i="19"/>
  <c r="C36" i="18"/>
  <c r="O36" i="18" s="1"/>
  <c r="M36" i="19"/>
  <c r="M37" i="21"/>
  <c r="M37" i="19"/>
  <c r="J36" i="6"/>
  <c r="K36" i="6" s="1"/>
  <c r="N36" i="6"/>
  <c r="I36" i="10"/>
  <c r="G36" i="20" s="1"/>
  <c r="F36" i="22"/>
  <c r="G36" i="22" s="1"/>
  <c r="I36" i="6"/>
  <c r="C36" i="20" s="1"/>
  <c r="B36" i="22"/>
  <c r="C36" i="22" s="1"/>
  <c r="P36" i="22"/>
  <c r="Q36" i="22" s="1"/>
  <c r="G36" i="14"/>
  <c r="B36" i="14"/>
  <c r="K36" i="21" s="1"/>
  <c r="G36" i="8"/>
  <c r="B36" i="8"/>
  <c r="E36" i="21" s="1"/>
  <c r="B51" i="14"/>
  <c r="N51" i="14" s="1"/>
  <c r="B63" i="14"/>
  <c r="N63" i="14" s="1"/>
  <c r="B46" i="14"/>
  <c r="N46" i="14" s="1"/>
  <c r="B28" i="14"/>
  <c r="N28" i="14" s="1"/>
  <c r="B12" i="14"/>
  <c r="N12" i="14" s="1"/>
  <c r="B45" i="14"/>
  <c r="N45" i="14" s="1"/>
  <c r="B10" i="14"/>
  <c r="N10" i="14" s="1"/>
  <c r="B59" i="14"/>
  <c r="N59" i="14" s="1"/>
  <c r="B27" i="14"/>
  <c r="N27" i="14" s="1"/>
  <c r="B15" i="14"/>
  <c r="N15" i="14" s="1"/>
  <c r="B74" i="14"/>
  <c r="N74" i="14" s="1"/>
  <c r="B73" i="14"/>
  <c r="N73" i="14" s="1"/>
  <c r="B72" i="14"/>
  <c r="N72" i="14" s="1"/>
  <c r="B56" i="14"/>
  <c r="N56" i="14" s="1"/>
  <c r="B41" i="14"/>
  <c r="N41" i="14" s="1"/>
  <c r="B21" i="14"/>
  <c r="N21" i="14" s="1"/>
  <c r="B55" i="14"/>
  <c r="N55" i="14" s="1"/>
  <c r="B39" i="14"/>
  <c r="N39" i="14" s="1"/>
  <c r="B20" i="14"/>
  <c r="N20" i="14" s="1"/>
  <c r="B53" i="14"/>
  <c r="N53" i="14" s="1"/>
  <c r="B38" i="14"/>
  <c r="N38" i="14" s="1"/>
  <c r="B19" i="14"/>
  <c r="N19" i="14" s="1"/>
  <c r="B52" i="14"/>
  <c r="N52" i="14" s="1"/>
  <c r="B35" i="14"/>
  <c r="N35" i="14" s="1"/>
  <c r="B18" i="14"/>
  <c r="N18" i="14" s="1"/>
  <c r="B50" i="14"/>
  <c r="N50" i="14" s="1"/>
  <c r="B33" i="14"/>
  <c r="N33" i="14" s="1"/>
  <c r="B17" i="14"/>
  <c r="N17" i="14" s="1"/>
  <c r="B48" i="14"/>
  <c r="N48" i="14" s="1"/>
  <c r="B32" i="14"/>
  <c r="N32" i="14" s="1"/>
  <c r="B71" i="14"/>
  <c r="N71" i="14" s="1"/>
  <c r="B70" i="14"/>
  <c r="N70" i="14" s="1"/>
  <c r="B69" i="14"/>
  <c r="N69" i="14" s="1"/>
  <c r="B67" i="14"/>
  <c r="N67" i="14" s="1"/>
  <c r="B65" i="14"/>
  <c r="N65" i="14" s="1"/>
  <c r="B66" i="14"/>
  <c r="N66" i="14" s="1"/>
  <c r="B47" i="14"/>
  <c r="N47" i="14" s="1"/>
  <c r="B30" i="14"/>
  <c r="N30" i="14" s="1"/>
  <c r="B13" i="14"/>
  <c r="N13" i="14" s="1"/>
  <c r="B60" i="14"/>
  <c r="N60" i="14" s="1"/>
  <c r="B26" i="14"/>
  <c r="N26" i="14" s="1"/>
  <c r="B44" i="14"/>
  <c r="N44" i="14" s="1"/>
  <c r="B25" i="14"/>
  <c r="N25" i="14" s="1"/>
  <c r="B9" i="14"/>
  <c r="N9" i="14" s="1"/>
  <c r="B58" i="14"/>
  <c r="N58" i="14" s="1"/>
  <c r="B43" i="14"/>
  <c r="N43" i="14" s="1"/>
  <c r="B24" i="14"/>
  <c r="N24" i="14" s="1"/>
  <c r="B7" i="14"/>
  <c r="N7" i="14" s="1"/>
  <c r="B57" i="14"/>
  <c r="N57" i="14" s="1"/>
  <c r="B42" i="14"/>
  <c r="N42" i="14" s="1"/>
  <c r="B23" i="14"/>
  <c r="N23" i="14" s="1"/>
  <c r="B6" i="14"/>
  <c r="N6" i="14" s="1"/>
  <c r="B16" i="14"/>
  <c r="N16" i="14" s="1"/>
  <c r="C39" i="19"/>
  <c r="C39" i="6"/>
  <c r="N39" i="6" s="1"/>
  <c r="M39" i="21"/>
  <c r="P39" i="22"/>
  <c r="Q39" i="22" s="1"/>
  <c r="G39" i="14"/>
  <c r="M39" i="19"/>
  <c r="C39" i="18"/>
  <c r="G39" i="21"/>
  <c r="F39" i="22"/>
  <c r="G39" i="22" s="1"/>
  <c r="G39" i="19"/>
  <c r="C39" i="10"/>
  <c r="G39" i="8"/>
  <c r="B39" i="8"/>
  <c r="B38" i="8"/>
  <c r="G43" i="14"/>
  <c r="K43" i="19" s="1"/>
  <c r="G44" i="14"/>
  <c r="K44" i="19" s="1"/>
  <c r="M43" i="6"/>
  <c r="M44" i="6"/>
  <c r="G44" i="8"/>
  <c r="E44" i="19" s="1"/>
  <c r="G43" i="8"/>
  <c r="E43" i="19" s="1"/>
  <c r="O43" i="22"/>
  <c r="O44" i="22"/>
  <c r="K43" i="22"/>
  <c r="W43" i="22" s="1"/>
  <c r="K44" i="22"/>
  <c r="W44" i="22" s="1"/>
  <c r="J36" i="18" l="1"/>
  <c r="K36" i="18" s="1"/>
  <c r="J36" i="10"/>
  <c r="K36" i="10" s="1"/>
  <c r="C36" i="14"/>
  <c r="O36" i="14" s="1"/>
  <c r="K36" i="19"/>
  <c r="I36" i="18"/>
  <c r="M36" i="20" s="1"/>
  <c r="C36" i="8"/>
  <c r="O36" i="8" s="1"/>
  <c r="E36" i="19"/>
  <c r="J39" i="18"/>
  <c r="K39" i="18" s="1"/>
  <c r="O39" i="18"/>
  <c r="J39" i="10"/>
  <c r="K39" i="10" s="1"/>
  <c r="O39" i="10"/>
  <c r="L36" i="22"/>
  <c r="M36" i="22" s="1"/>
  <c r="D36" i="22"/>
  <c r="E36" i="22" s="1"/>
  <c r="L39" i="22"/>
  <c r="M39" i="22" s="1"/>
  <c r="K39" i="21"/>
  <c r="K39" i="19"/>
  <c r="C39" i="14"/>
  <c r="O39" i="14" s="1"/>
  <c r="I39" i="18"/>
  <c r="M39" i="20" s="1"/>
  <c r="I39" i="10"/>
  <c r="G39" i="20" s="1"/>
  <c r="J39" i="6"/>
  <c r="K39" i="6" s="1"/>
  <c r="I39" i="6"/>
  <c r="C39" i="20" s="1"/>
  <c r="E39" i="21"/>
  <c r="D39" i="22"/>
  <c r="E39" i="22" s="1"/>
  <c r="E39" i="19"/>
  <c r="C39" i="8"/>
  <c r="O39" i="8" s="1"/>
  <c r="B44" i="18"/>
  <c r="B43" i="18"/>
  <c r="I36" i="14" l="1"/>
  <c r="K36" i="20" s="1"/>
  <c r="J36" i="14"/>
  <c r="K36" i="14" s="1"/>
  <c r="I36" i="8"/>
  <c r="E36" i="20" s="1"/>
  <c r="J36" i="8"/>
  <c r="K36" i="8" s="1"/>
  <c r="I39" i="14"/>
  <c r="K39" i="20" s="1"/>
  <c r="J39" i="14"/>
  <c r="K39" i="14" s="1"/>
  <c r="I39" i="8"/>
  <c r="E39" i="20" s="1"/>
  <c r="J39" i="8"/>
  <c r="K39" i="8" s="1"/>
  <c r="P44" i="22"/>
  <c r="Q44" i="22" s="1"/>
  <c r="M44" i="21"/>
  <c r="P43" i="22"/>
  <c r="Q43" i="22" s="1"/>
  <c r="M43" i="21"/>
  <c r="L44" i="22" l="1"/>
  <c r="M44" i="22" s="1"/>
  <c r="K44" i="21"/>
  <c r="L43" i="22"/>
  <c r="M43" i="22" s="1"/>
  <c r="K43" i="21"/>
  <c r="B44" i="10"/>
  <c r="B43" i="10"/>
  <c r="B44" i="8"/>
  <c r="B43" i="8"/>
  <c r="D44" i="22" l="1"/>
  <c r="E44" i="22" s="1"/>
  <c r="E44" i="21"/>
  <c r="F44" i="22"/>
  <c r="G44" i="22" s="1"/>
  <c r="G44" i="21"/>
  <c r="D43" i="22"/>
  <c r="E43" i="22" s="1"/>
  <c r="E43" i="21"/>
  <c r="F43" i="22"/>
  <c r="G43" i="22" s="1"/>
  <c r="G43" i="21"/>
  <c r="B74" i="6"/>
  <c r="B73" i="6"/>
  <c r="B72" i="6"/>
  <c r="B71" i="6"/>
  <c r="B70" i="6"/>
  <c r="B69" i="6"/>
  <c r="B67" i="6"/>
  <c r="B66" i="6"/>
  <c r="B65" i="6"/>
  <c r="B63" i="6"/>
  <c r="B60" i="6"/>
  <c r="B58" i="6"/>
  <c r="B57" i="6"/>
  <c r="B56" i="6"/>
  <c r="B55" i="6"/>
  <c r="B53" i="6"/>
  <c r="B52" i="6"/>
  <c r="B51" i="6"/>
  <c r="B50" i="6"/>
  <c r="B48" i="6"/>
  <c r="B47" i="6"/>
  <c r="B46" i="6"/>
  <c r="B45" i="6"/>
  <c r="B42" i="6"/>
  <c r="B41" i="6"/>
  <c r="B35" i="6"/>
  <c r="B33" i="6"/>
  <c r="B32" i="6"/>
  <c r="B30" i="6"/>
  <c r="B28" i="6"/>
  <c r="B27" i="6"/>
  <c r="B26" i="6"/>
  <c r="B25" i="6"/>
  <c r="B24" i="6"/>
  <c r="B23" i="6"/>
  <c r="B21" i="6"/>
  <c r="B20" i="6"/>
  <c r="B19" i="6"/>
  <c r="B18" i="6"/>
  <c r="B17" i="6"/>
  <c r="B16" i="6"/>
  <c r="B15" i="6"/>
  <c r="B13" i="6"/>
  <c r="B12" i="6"/>
  <c r="B10" i="6"/>
  <c r="B9" i="6"/>
  <c r="B43" i="22" l="1"/>
  <c r="C43" i="22" s="1"/>
  <c r="C43" i="21"/>
  <c r="B44" i="22"/>
  <c r="C44" i="22" s="1"/>
  <c r="C44" i="21"/>
  <c r="B6" i="7"/>
  <c r="B6" i="8" l="1"/>
  <c r="O23" i="5"/>
  <c r="O24" i="5"/>
  <c r="O25" i="5"/>
  <c r="O26" i="5"/>
  <c r="O27" i="5"/>
  <c r="O28" i="5"/>
  <c r="O30" i="5"/>
  <c r="O32" i="5"/>
  <c r="O33" i="5"/>
  <c r="O35" i="5"/>
  <c r="O38" i="5"/>
  <c r="O41" i="5"/>
  <c r="O42" i="5"/>
  <c r="O43" i="5"/>
  <c r="O44" i="5"/>
  <c r="O45" i="5"/>
  <c r="O46" i="5"/>
  <c r="O47" i="5"/>
  <c r="O48" i="5"/>
  <c r="O50" i="5"/>
  <c r="O51" i="5"/>
  <c r="O52" i="5"/>
  <c r="O53" i="5"/>
  <c r="O55" i="5"/>
  <c r="O56" i="5"/>
  <c r="O57" i="5"/>
  <c r="O58" i="5"/>
  <c r="O59" i="5"/>
  <c r="O60" i="5"/>
  <c r="O63" i="5"/>
  <c r="O65" i="5"/>
  <c r="O66" i="5"/>
  <c r="O67" i="5"/>
  <c r="O69" i="5"/>
  <c r="O70" i="5"/>
  <c r="O71" i="5"/>
  <c r="O72" i="5"/>
  <c r="O73" i="5"/>
  <c r="O74" i="5"/>
  <c r="O7" i="5"/>
  <c r="O9" i="5"/>
  <c r="O10" i="5"/>
  <c r="O12" i="5"/>
  <c r="O13" i="5"/>
  <c r="O15" i="5"/>
  <c r="O16" i="5"/>
  <c r="O17" i="5"/>
  <c r="O18" i="5"/>
  <c r="O19" i="5"/>
  <c r="O20" i="5"/>
  <c r="O21" i="5"/>
  <c r="E83" i="1" l="1"/>
  <c r="I83" i="2"/>
  <c r="C83" i="1" s="1"/>
  <c r="D83" i="1" s="1"/>
  <c r="F83" i="1" l="1"/>
  <c r="G83" i="1"/>
  <c r="H83" i="1" s="1"/>
  <c r="E681" i="1"/>
  <c r="F681" i="1" s="1"/>
  <c r="L681" i="2"/>
  <c r="C681" i="1" s="1"/>
  <c r="D681" i="1" s="1"/>
  <c r="E680" i="1"/>
  <c r="F680" i="1" s="1"/>
  <c r="L680" i="2"/>
  <c r="C680" i="1" s="1"/>
  <c r="D680" i="1" s="1"/>
  <c r="E677" i="1"/>
  <c r="F677" i="1" s="1"/>
  <c r="E676" i="1"/>
  <c r="F676" i="1" s="1"/>
  <c r="L677" i="2"/>
  <c r="C677" i="1" s="1"/>
  <c r="D677" i="1" s="1"/>
  <c r="L676" i="2"/>
  <c r="C676" i="1" s="1"/>
  <c r="D676" i="1" s="1"/>
  <c r="E675" i="1"/>
  <c r="F675" i="1" s="1"/>
  <c r="L675" i="2"/>
  <c r="C675" i="1" s="1"/>
  <c r="D675" i="1" s="1"/>
  <c r="E674" i="1" l="1"/>
  <c r="F674" i="1" s="1"/>
  <c r="L674" i="2"/>
  <c r="C674" i="1" s="1"/>
  <c r="D674" i="1" s="1"/>
  <c r="E616" i="1"/>
  <c r="F616" i="1" s="1"/>
  <c r="L616" i="2"/>
  <c r="C616" i="1" s="1"/>
  <c r="D616" i="1" s="1"/>
  <c r="E556" i="1"/>
  <c r="F556" i="1" s="1"/>
  <c r="L556" i="2"/>
  <c r="C556" i="1" s="1"/>
  <c r="D556" i="1" s="1"/>
  <c r="C559" i="1"/>
  <c r="E571" i="1"/>
  <c r="F571" i="1" s="1"/>
  <c r="G571" i="1"/>
  <c r="L571" i="2"/>
  <c r="C571" i="1" s="1"/>
  <c r="D571" i="1" s="1"/>
  <c r="E569" i="1"/>
  <c r="F569" i="1" s="1"/>
  <c r="L569" i="2"/>
  <c r="C569" i="1" s="1"/>
  <c r="D569" i="1" s="1"/>
  <c r="E614" i="1" l="1"/>
  <c r="F614" i="1" s="1"/>
  <c r="G614" i="1"/>
  <c r="L614" i="2"/>
  <c r="C614" i="1" s="1"/>
  <c r="D614" i="1" s="1"/>
  <c r="E609" i="1"/>
  <c r="F609" i="1" s="1"/>
  <c r="L609" i="2"/>
  <c r="C609" i="1" s="1"/>
  <c r="D609" i="1" s="1"/>
  <c r="E603" i="1"/>
  <c r="F603" i="1" s="1"/>
  <c r="L603" i="2"/>
  <c r="C603" i="1" s="1"/>
  <c r="D603" i="1" s="1"/>
  <c r="E602" i="1"/>
  <c r="F602" i="1" s="1"/>
  <c r="L602" i="2"/>
  <c r="C602" i="1" s="1"/>
  <c r="D602" i="1" s="1"/>
  <c r="L601" i="2"/>
  <c r="C601" i="1" s="1"/>
  <c r="D601" i="1" s="1"/>
  <c r="E601" i="1"/>
  <c r="F601" i="1" s="1"/>
  <c r="E600" i="1"/>
  <c r="F600" i="1" s="1"/>
  <c r="L600" i="2"/>
  <c r="C600" i="1" s="1"/>
  <c r="D600" i="1" s="1"/>
  <c r="E553" i="1"/>
  <c r="F553" i="1" s="1"/>
  <c r="L553" i="2"/>
  <c r="C553" i="1" s="1"/>
  <c r="D553" i="1" s="1"/>
  <c r="E552" i="1"/>
  <c r="F552" i="1" s="1"/>
  <c r="L552" i="2"/>
  <c r="C552" i="1" s="1"/>
  <c r="D552" i="1" s="1"/>
  <c r="E543" i="1"/>
  <c r="F543" i="1" s="1"/>
  <c r="E543" i="2"/>
  <c r="C543" i="1" s="1"/>
  <c r="D543" i="1" s="1"/>
  <c r="E542" i="1" l="1"/>
  <c r="F542" i="1" s="1"/>
  <c r="L542" i="2"/>
  <c r="C542" i="1" s="1"/>
  <c r="D542" i="1" s="1"/>
  <c r="C533" i="1"/>
  <c r="D533" i="1" s="1"/>
  <c r="G533" i="1"/>
  <c r="H533" i="1" s="1"/>
  <c r="C244" i="1" l="1"/>
  <c r="D244" i="1" s="1"/>
  <c r="E244" i="1"/>
  <c r="F244" i="1" s="1"/>
  <c r="G244" i="1"/>
  <c r="H244" i="1" s="1"/>
  <c r="L244" i="2"/>
  <c r="F238" i="1"/>
  <c r="D238" i="1"/>
  <c r="E237" i="1"/>
  <c r="F237" i="1" s="1"/>
  <c r="L237" i="2"/>
  <c r="C237" i="1" s="1"/>
  <c r="D237" i="1" s="1"/>
  <c r="E221" i="1"/>
  <c r="L221" i="2"/>
  <c r="C221" i="1" s="1"/>
  <c r="D221" i="1" s="1"/>
  <c r="E85" i="1" l="1"/>
  <c r="I85" i="2"/>
  <c r="C85" i="1" s="1"/>
  <c r="D85" i="1" s="1"/>
  <c r="F85" i="1" l="1"/>
  <c r="G85" i="1"/>
  <c r="H85" i="1" s="1"/>
  <c r="D101" i="4" l="1"/>
  <c r="C101" i="4"/>
  <c r="B101" i="4"/>
  <c r="F101" i="4" l="1"/>
  <c r="E325" i="3"/>
  <c r="K325" i="3" s="1"/>
  <c r="E349" i="3"/>
  <c r="K349" i="3" s="1"/>
  <c r="E356" i="3"/>
  <c r="K356" i="3" s="1"/>
  <c r="E372" i="3"/>
  <c r="K372" i="3" s="1"/>
  <c r="E399" i="3"/>
  <c r="K399" i="3" s="1"/>
  <c r="E412" i="3"/>
  <c r="K412" i="3" s="1"/>
  <c r="E451" i="3"/>
  <c r="K451" i="3" s="1"/>
  <c r="E466" i="3"/>
  <c r="K466" i="3" s="1"/>
  <c r="H101" i="4" l="1"/>
  <c r="E73" i="5"/>
  <c r="E74" i="5"/>
  <c r="E72" i="5"/>
  <c r="C466" i="3"/>
  <c r="C451" i="3"/>
  <c r="B49" i="4" s="1"/>
  <c r="C412" i="3"/>
  <c r="C399" i="3"/>
  <c r="C372" i="3"/>
  <c r="C356" i="3"/>
  <c r="C349" i="3"/>
  <c r="C325" i="3"/>
  <c r="D93" i="4"/>
  <c r="B93" i="4"/>
  <c r="D87" i="4"/>
  <c r="B87" i="4"/>
  <c r="D81" i="4"/>
  <c r="B81" i="4"/>
  <c r="D77" i="4"/>
  <c r="B77" i="4"/>
  <c r="D73" i="4"/>
  <c r="B73" i="4"/>
  <c r="D69" i="4"/>
  <c r="B69" i="4"/>
  <c r="E67" i="4"/>
  <c r="D67" i="4"/>
  <c r="C67" i="4"/>
  <c r="B67" i="4"/>
  <c r="E63" i="4"/>
  <c r="D63" i="4"/>
  <c r="C63" i="4"/>
  <c r="B63" i="4"/>
  <c r="B47" i="4"/>
  <c r="B35" i="4"/>
  <c r="E33" i="4"/>
  <c r="D33" i="4"/>
  <c r="C33" i="4"/>
  <c r="B33" i="4"/>
  <c r="B15" i="4"/>
  <c r="D15" i="4"/>
  <c r="D11" i="4"/>
  <c r="B11" i="4"/>
  <c r="D7" i="4"/>
  <c r="B7" i="4"/>
  <c r="I29" i="23"/>
  <c r="M29" i="23" s="1"/>
  <c r="O29" i="23" s="1"/>
  <c r="I28" i="23"/>
  <c r="M28" i="23" s="1"/>
  <c r="O28" i="23" s="1"/>
  <c r="I14" i="23"/>
  <c r="I24" i="23"/>
  <c r="I15" i="23"/>
  <c r="I13" i="23"/>
  <c r="I19" i="23"/>
  <c r="I20" i="23"/>
  <c r="I11" i="23"/>
  <c r="I12" i="23"/>
  <c r="I8" i="23"/>
  <c r="I7" i="23"/>
  <c r="I6" i="23"/>
  <c r="J6" i="23" s="1"/>
  <c r="B74" i="21"/>
  <c r="B73" i="21"/>
  <c r="B72" i="21"/>
  <c r="B71" i="21"/>
  <c r="B70" i="21"/>
  <c r="B69" i="21"/>
  <c r="B67" i="21"/>
  <c r="B66" i="21"/>
  <c r="B65" i="21"/>
  <c r="B63" i="21"/>
  <c r="B60" i="21"/>
  <c r="B59" i="21"/>
  <c r="B58" i="21"/>
  <c r="B57" i="21"/>
  <c r="B56" i="21"/>
  <c r="B55" i="21"/>
  <c r="B53" i="21"/>
  <c r="B52" i="21"/>
  <c r="B51" i="21"/>
  <c r="B50" i="21"/>
  <c r="B48" i="21"/>
  <c r="B47" i="21"/>
  <c r="B46" i="21"/>
  <c r="B45" i="21"/>
  <c r="B44" i="21"/>
  <c r="B43" i="21"/>
  <c r="B42" i="21"/>
  <c r="B41" i="21"/>
  <c r="B38" i="21"/>
  <c r="B35" i="21"/>
  <c r="B33" i="21"/>
  <c r="B32" i="21"/>
  <c r="B30" i="21"/>
  <c r="B28" i="21"/>
  <c r="B27" i="21"/>
  <c r="B26" i="21"/>
  <c r="B25" i="21"/>
  <c r="B24" i="21"/>
  <c r="B23" i="21"/>
  <c r="B21" i="21"/>
  <c r="B20" i="21"/>
  <c r="B19" i="21"/>
  <c r="B18" i="21"/>
  <c r="B17" i="21"/>
  <c r="B16" i="21"/>
  <c r="B15" i="21"/>
  <c r="B13" i="21"/>
  <c r="B12" i="21"/>
  <c r="B10" i="21"/>
  <c r="B9" i="21"/>
  <c r="B7" i="21"/>
  <c r="B6" i="21"/>
  <c r="G74" i="18"/>
  <c r="M74" i="19" s="1"/>
  <c r="G73" i="18"/>
  <c r="M73" i="19" s="1"/>
  <c r="G72" i="18"/>
  <c r="M72" i="19" s="1"/>
  <c r="G71" i="18"/>
  <c r="M71" i="19" s="1"/>
  <c r="G70" i="18"/>
  <c r="M70" i="19" s="1"/>
  <c r="G69" i="18"/>
  <c r="M69" i="19" s="1"/>
  <c r="G67" i="18"/>
  <c r="M67" i="19" s="1"/>
  <c r="G66" i="18"/>
  <c r="M66" i="19" s="1"/>
  <c r="G65" i="18"/>
  <c r="M65" i="19" s="1"/>
  <c r="G63" i="18"/>
  <c r="M63" i="19" s="1"/>
  <c r="G60" i="18"/>
  <c r="M60" i="19" s="1"/>
  <c r="G59" i="18"/>
  <c r="M59" i="19" s="1"/>
  <c r="G58" i="18"/>
  <c r="M58" i="19" s="1"/>
  <c r="G57" i="18"/>
  <c r="M57" i="19" s="1"/>
  <c r="G56" i="18"/>
  <c r="M56" i="19" s="1"/>
  <c r="G55" i="18"/>
  <c r="M55" i="19" s="1"/>
  <c r="G53" i="18"/>
  <c r="M53" i="19" s="1"/>
  <c r="G52" i="18"/>
  <c r="M52" i="19" s="1"/>
  <c r="G51" i="18"/>
  <c r="M51" i="19" s="1"/>
  <c r="G50" i="18"/>
  <c r="M50" i="19" s="1"/>
  <c r="G48" i="18"/>
  <c r="M48" i="19" s="1"/>
  <c r="G47" i="18"/>
  <c r="M47" i="19" s="1"/>
  <c r="G46" i="18"/>
  <c r="M46" i="19" s="1"/>
  <c r="G45" i="18"/>
  <c r="M45" i="19" s="1"/>
  <c r="G42" i="18"/>
  <c r="M42" i="19" s="1"/>
  <c r="G41" i="18"/>
  <c r="M41" i="19" s="1"/>
  <c r="G38" i="18"/>
  <c r="M38" i="19" s="1"/>
  <c r="G35" i="18"/>
  <c r="M35" i="19" s="1"/>
  <c r="G33" i="18"/>
  <c r="M33" i="19" s="1"/>
  <c r="G32" i="18"/>
  <c r="M32" i="19" s="1"/>
  <c r="G30" i="18"/>
  <c r="M30" i="19" s="1"/>
  <c r="G28" i="18"/>
  <c r="M28" i="19" s="1"/>
  <c r="G27" i="18"/>
  <c r="M27" i="19" s="1"/>
  <c r="G26" i="18"/>
  <c r="M26" i="19" s="1"/>
  <c r="G25" i="18"/>
  <c r="M25" i="19" s="1"/>
  <c r="G24" i="18"/>
  <c r="M24" i="19" s="1"/>
  <c r="G23" i="18"/>
  <c r="M23" i="19" s="1"/>
  <c r="G21" i="18"/>
  <c r="M21" i="19" s="1"/>
  <c r="G20" i="18"/>
  <c r="M20" i="19" s="1"/>
  <c r="G19" i="18"/>
  <c r="M19" i="19" s="1"/>
  <c r="G18" i="18"/>
  <c r="M18" i="19" s="1"/>
  <c r="G17" i="18"/>
  <c r="M17" i="19" s="1"/>
  <c r="G16" i="18"/>
  <c r="M16" i="19" s="1"/>
  <c r="G15" i="18"/>
  <c r="M15" i="19" s="1"/>
  <c r="G13" i="18"/>
  <c r="M13" i="19" s="1"/>
  <c r="G12" i="18"/>
  <c r="M12" i="19" s="1"/>
  <c r="G10" i="18"/>
  <c r="M10" i="19" s="1"/>
  <c r="G9" i="18"/>
  <c r="M9" i="19" s="1"/>
  <c r="G7" i="18"/>
  <c r="M7" i="19" s="1"/>
  <c r="G6" i="18"/>
  <c r="M6" i="19" s="1"/>
  <c r="G74" i="17"/>
  <c r="L74" i="19" s="1"/>
  <c r="B74" i="18"/>
  <c r="G73" i="17"/>
  <c r="L73" i="19" s="1"/>
  <c r="B73" i="18"/>
  <c r="G72" i="17"/>
  <c r="L72" i="19" s="1"/>
  <c r="B72" i="18"/>
  <c r="G71" i="17"/>
  <c r="L71" i="19" s="1"/>
  <c r="B71" i="18"/>
  <c r="G70" i="17"/>
  <c r="L70" i="19" s="1"/>
  <c r="B70" i="18"/>
  <c r="G69" i="17"/>
  <c r="L69" i="19" s="1"/>
  <c r="G67" i="17"/>
  <c r="L67" i="19" s="1"/>
  <c r="B67" i="18"/>
  <c r="G66" i="17"/>
  <c r="L66" i="19" s="1"/>
  <c r="B66" i="18"/>
  <c r="G65" i="17"/>
  <c r="L65" i="19" s="1"/>
  <c r="B65" i="18"/>
  <c r="G63" i="17"/>
  <c r="L63" i="19" s="1"/>
  <c r="B63" i="18"/>
  <c r="G60" i="17"/>
  <c r="L60" i="19" s="1"/>
  <c r="B60" i="18"/>
  <c r="G59" i="17"/>
  <c r="L59" i="19" s="1"/>
  <c r="B59" i="18"/>
  <c r="G58" i="17"/>
  <c r="L58" i="19" s="1"/>
  <c r="B58" i="18"/>
  <c r="G57" i="17"/>
  <c r="L57" i="19" s="1"/>
  <c r="B57" i="18"/>
  <c r="G56" i="17"/>
  <c r="L56" i="19" s="1"/>
  <c r="B56" i="18"/>
  <c r="G55" i="17"/>
  <c r="L55" i="19" s="1"/>
  <c r="B55" i="18"/>
  <c r="G53" i="17"/>
  <c r="L53" i="19" s="1"/>
  <c r="B53" i="18"/>
  <c r="G52" i="17"/>
  <c r="L52" i="19" s="1"/>
  <c r="G51" i="17"/>
  <c r="L51" i="19" s="1"/>
  <c r="B51" i="18"/>
  <c r="G50" i="17"/>
  <c r="L50" i="19" s="1"/>
  <c r="B50" i="18"/>
  <c r="G48" i="17"/>
  <c r="L48" i="19" s="1"/>
  <c r="B48" i="18"/>
  <c r="G47" i="17"/>
  <c r="L47" i="19" s="1"/>
  <c r="B47" i="18"/>
  <c r="G46" i="17"/>
  <c r="L46" i="19" s="1"/>
  <c r="B46" i="18"/>
  <c r="G45" i="17"/>
  <c r="L45" i="19" s="1"/>
  <c r="B45" i="18"/>
  <c r="G42" i="17"/>
  <c r="L42" i="19" s="1"/>
  <c r="B42" i="18"/>
  <c r="G41" i="17"/>
  <c r="L41" i="19" s="1"/>
  <c r="B41" i="18"/>
  <c r="G38" i="17"/>
  <c r="L38" i="19" s="1"/>
  <c r="B38" i="18"/>
  <c r="G35" i="17"/>
  <c r="L35" i="19" s="1"/>
  <c r="B35" i="18"/>
  <c r="G33" i="17"/>
  <c r="L33" i="19" s="1"/>
  <c r="B33" i="18"/>
  <c r="G32" i="17"/>
  <c r="L32" i="19" s="1"/>
  <c r="B32" i="18"/>
  <c r="G30" i="17"/>
  <c r="L30" i="19" s="1"/>
  <c r="B30" i="18"/>
  <c r="G28" i="17"/>
  <c r="L28" i="19" s="1"/>
  <c r="B28" i="18"/>
  <c r="G27" i="17"/>
  <c r="L27" i="19" s="1"/>
  <c r="B27" i="18"/>
  <c r="G26" i="17"/>
  <c r="L26" i="19" s="1"/>
  <c r="B26" i="18"/>
  <c r="G25" i="17"/>
  <c r="L25" i="19" s="1"/>
  <c r="B25" i="18"/>
  <c r="G24" i="17"/>
  <c r="L24" i="19" s="1"/>
  <c r="B24" i="18"/>
  <c r="G23" i="17"/>
  <c r="L23" i="19" s="1"/>
  <c r="G21" i="17"/>
  <c r="L21" i="19" s="1"/>
  <c r="B21" i="18"/>
  <c r="G20" i="17"/>
  <c r="L20" i="19" s="1"/>
  <c r="B20" i="18"/>
  <c r="G19" i="17"/>
  <c r="L19" i="19" s="1"/>
  <c r="B19" i="18"/>
  <c r="G18" i="17"/>
  <c r="L18" i="19" s="1"/>
  <c r="B18" i="18"/>
  <c r="G17" i="17"/>
  <c r="L17" i="19" s="1"/>
  <c r="B17" i="18"/>
  <c r="G16" i="17"/>
  <c r="L16" i="19" s="1"/>
  <c r="G15" i="17"/>
  <c r="L15" i="19" s="1"/>
  <c r="B15" i="18"/>
  <c r="G13" i="17"/>
  <c r="L13" i="19" s="1"/>
  <c r="B13" i="18"/>
  <c r="G12" i="17"/>
  <c r="L12" i="19" s="1"/>
  <c r="B12" i="18"/>
  <c r="G10" i="17"/>
  <c r="L10" i="19" s="1"/>
  <c r="B10" i="18"/>
  <c r="G9" i="17"/>
  <c r="L9" i="19" s="1"/>
  <c r="B9" i="18"/>
  <c r="G7" i="17"/>
  <c r="L7" i="19" s="1"/>
  <c r="G6" i="17"/>
  <c r="L6" i="19" s="1"/>
  <c r="B6" i="18"/>
  <c r="G74" i="14"/>
  <c r="K74" i="19" s="1"/>
  <c r="G73" i="14"/>
  <c r="K73" i="19" s="1"/>
  <c r="G72" i="14"/>
  <c r="K72" i="19" s="1"/>
  <c r="G71" i="14"/>
  <c r="K71" i="19" s="1"/>
  <c r="G70" i="14"/>
  <c r="K70" i="19" s="1"/>
  <c r="G69" i="14"/>
  <c r="K69" i="19" s="1"/>
  <c r="G67" i="14"/>
  <c r="K67" i="19" s="1"/>
  <c r="G66" i="14"/>
  <c r="K66" i="19" s="1"/>
  <c r="G65" i="14"/>
  <c r="K65" i="19" s="1"/>
  <c r="G63" i="14"/>
  <c r="K63" i="19" s="1"/>
  <c r="G60" i="14"/>
  <c r="K60" i="19" s="1"/>
  <c r="G59" i="14"/>
  <c r="K59" i="19" s="1"/>
  <c r="G58" i="14"/>
  <c r="K58" i="19" s="1"/>
  <c r="G57" i="14"/>
  <c r="K57" i="19" s="1"/>
  <c r="G56" i="14"/>
  <c r="K56" i="19" s="1"/>
  <c r="G55" i="14"/>
  <c r="K55" i="19" s="1"/>
  <c r="G53" i="14"/>
  <c r="K53" i="19" s="1"/>
  <c r="G52" i="14"/>
  <c r="K52" i="19" s="1"/>
  <c r="G51" i="14"/>
  <c r="K51" i="19" s="1"/>
  <c r="G50" i="14"/>
  <c r="K50" i="19" s="1"/>
  <c r="G48" i="14"/>
  <c r="K48" i="19" s="1"/>
  <c r="G47" i="14"/>
  <c r="K47" i="19" s="1"/>
  <c r="G46" i="14"/>
  <c r="K46" i="19" s="1"/>
  <c r="G45" i="14"/>
  <c r="K45" i="19" s="1"/>
  <c r="G42" i="14"/>
  <c r="K42" i="19" s="1"/>
  <c r="G41" i="14"/>
  <c r="K41" i="19" s="1"/>
  <c r="G38" i="14"/>
  <c r="K38" i="19" s="1"/>
  <c r="G35" i="14"/>
  <c r="K35" i="19" s="1"/>
  <c r="G33" i="14"/>
  <c r="K33" i="19" s="1"/>
  <c r="G32" i="14"/>
  <c r="K32" i="19" s="1"/>
  <c r="G30" i="14"/>
  <c r="K30" i="19" s="1"/>
  <c r="G28" i="14"/>
  <c r="K28" i="19" s="1"/>
  <c r="G27" i="14"/>
  <c r="K27" i="19" s="1"/>
  <c r="G26" i="14"/>
  <c r="K26" i="19" s="1"/>
  <c r="G25" i="14"/>
  <c r="K25" i="19" s="1"/>
  <c r="G24" i="14"/>
  <c r="K24" i="19" s="1"/>
  <c r="G23" i="14"/>
  <c r="K23" i="19" s="1"/>
  <c r="G21" i="14"/>
  <c r="K21" i="19" s="1"/>
  <c r="G20" i="14"/>
  <c r="K20" i="19" s="1"/>
  <c r="G19" i="14"/>
  <c r="K19" i="19" s="1"/>
  <c r="G18" i="14"/>
  <c r="K18" i="19" s="1"/>
  <c r="G17" i="14"/>
  <c r="K17" i="19" s="1"/>
  <c r="G16" i="14"/>
  <c r="K16" i="19" s="1"/>
  <c r="G15" i="14"/>
  <c r="K15" i="19" s="1"/>
  <c r="G13" i="14"/>
  <c r="K13" i="19" s="1"/>
  <c r="G12" i="14"/>
  <c r="K12" i="19" s="1"/>
  <c r="G10" i="14"/>
  <c r="K10" i="19" s="1"/>
  <c r="G9" i="14"/>
  <c r="K9" i="19" s="1"/>
  <c r="G7" i="14"/>
  <c r="K7" i="19" s="1"/>
  <c r="G6" i="14"/>
  <c r="K6" i="19" s="1"/>
  <c r="G74" i="10"/>
  <c r="G74" i="19" s="1"/>
  <c r="G73" i="10"/>
  <c r="G73" i="19" s="1"/>
  <c r="G72" i="10"/>
  <c r="G72" i="19" s="1"/>
  <c r="G71" i="10"/>
  <c r="G71" i="19" s="1"/>
  <c r="G70" i="10"/>
  <c r="G70" i="19" s="1"/>
  <c r="G69" i="10"/>
  <c r="G69" i="19" s="1"/>
  <c r="G67" i="10"/>
  <c r="G67" i="19" s="1"/>
  <c r="G66" i="10"/>
  <c r="G66" i="19" s="1"/>
  <c r="G65" i="10"/>
  <c r="G65" i="19" s="1"/>
  <c r="G63" i="10"/>
  <c r="G63" i="19" s="1"/>
  <c r="G60" i="10"/>
  <c r="G60" i="19" s="1"/>
  <c r="G59" i="10"/>
  <c r="G59" i="19" s="1"/>
  <c r="G58" i="10"/>
  <c r="G58" i="19" s="1"/>
  <c r="G57" i="10"/>
  <c r="G57" i="19" s="1"/>
  <c r="G56" i="10"/>
  <c r="G56" i="19" s="1"/>
  <c r="G55" i="10"/>
  <c r="G55" i="19" s="1"/>
  <c r="G53" i="10"/>
  <c r="G53" i="19" s="1"/>
  <c r="G52" i="10"/>
  <c r="G52" i="19" s="1"/>
  <c r="G51" i="10"/>
  <c r="G51" i="19" s="1"/>
  <c r="G50" i="10"/>
  <c r="G50" i="19" s="1"/>
  <c r="G48" i="10"/>
  <c r="G48" i="19" s="1"/>
  <c r="G47" i="10"/>
  <c r="G47" i="19" s="1"/>
  <c r="G46" i="10"/>
  <c r="G46" i="19" s="1"/>
  <c r="G45" i="10"/>
  <c r="G45" i="19" s="1"/>
  <c r="G42" i="10"/>
  <c r="G42" i="19" s="1"/>
  <c r="G41" i="10"/>
  <c r="G41" i="19" s="1"/>
  <c r="G38" i="10"/>
  <c r="G38" i="19" s="1"/>
  <c r="G35" i="10"/>
  <c r="G35" i="19" s="1"/>
  <c r="G33" i="10"/>
  <c r="G33" i="19" s="1"/>
  <c r="G32" i="10"/>
  <c r="G32" i="19" s="1"/>
  <c r="G30" i="10"/>
  <c r="G30" i="19" s="1"/>
  <c r="G28" i="10"/>
  <c r="G28" i="19" s="1"/>
  <c r="G27" i="10"/>
  <c r="G27" i="19" s="1"/>
  <c r="G26" i="10"/>
  <c r="G26" i="19" s="1"/>
  <c r="G25" i="10"/>
  <c r="G25" i="19" s="1"/>
  <c r="G24" i="10"/>
  <c r="G24" i="19" s="1"/>
  <c r="G23" i="10"/>
  <c r="G23" i="19" s="1"/>
  <c r="G21" i="10"/>
  <c r="G21" i="19" s="1"/>
  <c r="G20" i="10"/>
  <c r="G20" i="19" s="1"/>
  <c r="G19" i="10"/>
  <c r="G19" i="19" s="1"/>
  <c r="G18" i="10"/>
  <c r="G18" i="19" s="1"/>
  <c r="G17" i="10"/>
  <c r="G17" i="19" s="1"/>
  <c r="G16" i="10"/>
  <c r="G16" i="19" s="1"/>
  <c r="G15" i="10"/>
  <c r="G15" i="19" s="1"/>
  <c r="G13" i="10"/>
  <c r="G13" i="19" s="1"/>
  <c r="G12" i="10"/>
  <c r="G12" i="19" s="1"/>
  <c r="G10" i="10"/>
  <c r="G10" i="19" s="1"/>
  <c r="G9" i="10"/>
  <c r="G9" i="19" s="1"/>
  <c r="G7" i="10"/>
  <c r="G7" i="19" s="1"/>
  <c r="G6" i="10"/>
  <c r="G6" i="19" s="1"/>
  <c r="G74" i="9"/>
  <c r="F74" i="19" s="1"/>
  <c r="B74" i="9"/>
  <c r="G73" i="9"/>
  <c r="F73" i="19" s="1"/>
  <c r="B73" i="9"/>
  <c r="G72" i="9"/>
  <c r="F72" i="19" s="1"/>
  <c r="B72" i="9"/>
  <c r="G71" i="9"/>
  <c r="F71" i="19" s="1"/>
  <c r="B71" i="9"/>
  <c r="G70" i="9"/>
  <c r="F70" i="19" s="1"/>
  <c r="B70" i="9"/>
  <c r="G69" i="9"/>
  <c r="F69" i="19" s="1"/>
  <c r="B69" i="9"/>
  <c r="G67" i="9"/>
  <c r="F67" i="19" s="1"/>
  <c r="B67" i="9"/>
  <c r="G66" i="9"/>
  <c r="F66" i="19" s="1"/>
  <c r="B66" i="9"/>
  <c r="G65" i="9"/>
  <c r="F65" i="19" s="1"/>
  <c r="B65" i="9"/>
  <c r="G63" i="9"/>
  <c r="F63" i="19" s="1"/>
  <c r="B63" i="9"/>
  <c r="G60" i="9"/>
  <c r="F60" i="19" s="1"/>
  <c r="B60" i="9"/>
  <c r="G59" i="9"/>
  <c r="F59" i="19" s="1"/>
  <c r="B59" i="9"/>
  <c r="G58" i="9"/>
  <c r="F58" i="19" s="1"/>
  <c r="B58" i="9"/>
  <c r="G57" i="9"/>
  <c r="F57" i="19" s="1"/>
  <c r="B57" i="9"/>
  <c r="G56" i="9"/>
  <c r="F56" i="19" s="1"/>
  <c r="B56" i="9"/>
  <c r="G55" i="9"/>
  <c r="F55" i="19" s="1"/>
  <c r="B55" i="9"/>
  <c r="G53" i="9"/>
  <c r="F53" i="19" s="1"/>
  <c r="B53" i="9"/>
  <c r="G52" i="9"/>
  <c r="F52" i="19" s="1"/>
  <c r="B52" i="9"/>
  <c r="G51" i="9"/>
  <c r="F51" i="19" s="1"/>
  <c r="B51" i="9"/>
  <c r="G50" i="9"/>
  <c r="F50" i="19" s="1"/>
  <c r="B50" i="9"/>
  <c r="G48" i="9"/>
  <c r="F48" i="19" s="1"/>
  <c r="B48" i="9"/>
  <c r="G47" i="9"/>
  <c r="F47" i="19" s="1"/>
  <c r="B47" i="9"/>
  <c r="G46" i="9"/>
  <c r="F46" i="19" s="1"/>
  <c r="B46" i="9"/>
  <c r="G45" i="9"/>
  <c r="F45" i="19" s="1"/>
  <c r="B45" i="9"/>
  <c r="G42" i="9"/>
  <c r="F42" i="19" s="1"/>
  <c r="B42" i="9"/>
  <c r="G41" i="9"/>
  <c r="F41" i="19" s="1"/>
  <c r="B41" i="9"/>
  <c r="G38" i="9"/>
  <c r="F38" i="19" s="1"/>
  <c r="G35" i="9"/>
  <c r="F35" i="19" s="1"/>
  <c r="B35" i="9"/>
  <c r="G33" i="9"/>
  <c r="F33" i="19" s="1"/>
  <c r="B33" i="9"/>
  <c r="G32" i="9"/>
  <c r="F32" i="19" s="1"/>
  <c r="B32" i="9"/>
  <c r="G30" i="9"/>
  <c r="F30" i="19" s="1"/>
  <c r="B30" i="9"/>
  <c r="G28" i="9"/>
  <c r="F28" i="19" s="1"/>
  <c r="B28" i="9"/>
  <c r="G27" i="9"/>
  <c r="F27" i="19" s="1"/>
  <c r="B27" i="9"/>
  <c r="G26" i="9"/>
  <c r="F26" i="19" s="1"/>
  <c r="B26" i="9"/>
  <c r="G25" i="9"/>
  <c r="F25" i="19" s="1"/>
  <c r="B25" i="9"/>
  <c r="G24" i="9"/>
  <c r="F24" i="19" s="1"/>
  <c r="B24" i="9"/>
  <c r="G23" i="9"/>
  <c r="F23" i="19" s="1"/>
  <c r="B23" i="9"/>
  <c r="G21" i="9"/>
  <c r="F21" i="19" s="1"/>
  <c r="B21" i="9"/>
  <c r="G20" i="9"/>
  <c r="F20" i="19" s="1"/>
  <c r="B20" i="9"/>
  <c r="G19" i="9"/>
  <c r="F19" i="19" s="1"/>
  <c r="B19" i="9"/>
  <c r="G18" i="9"/>
  <c r="F18" i="19" s="1"/>
  <c r="B18" i="9"/>
  <c r="G17" i="9"/>
  <c r="F17" i="19" s="1"/>
  <c r="B17" i="9"/>
  <c r="G16" i="9"/>
  <c r="F16" i="19" s="1"/>
  <c r="B16" i="9"/>
  <c r="G15" i="9"/>
  <c r="F15" i="19" s="1"/>
  <c r="B15" i="9"/>
  <c r="G13" i="9"/>
  <c r="F13" i="19" s="1"/>
  <c r="B13" i="9"/>
  <c r="G12" i="9"/>
  <c r="F12" i="19" s="1"/>
  <c r="B12" i="9"/>
  <c r="G10" i="9"/>
  <c r="F10" i="19" s="1"/>
  <c r="B10" i="9"/>
  <c r="G9" i="9"/>
  <c r="F9" i="19" s="1"/>
  <c r="B9" i="9"/>
  <c r="G7" i="9"/>
  <c r="F7" i="19" s="1"/>
  <c r="B7" i="9"/>
  <c r="G6" i="9"/>
  <c r="F6" i="19" s="1"/>
  <c r="B6" i="9"/>
  <c r="G74" i="8"/>
  <c r="E74" i="19" s="1"/>
  <c r="G73" i="8"/>
  <c r="E73" i="19" s="1"/>
  <c r="G72" i="8"/>
  <c r="E72" i="19" s="1"/>
  <c r="G71" i="8"/>
  <c r="E71" i="19" s="1"/>
  <c r="G70" i="8"/>
  <c r="E70" i="19" s="1"/>
  <c r="G69" i="8"/>
  <c r="E69" i="19" s="1"/>
  <c r="G67" i="8"/>
  <c r="E67" i="19" s="1"/>
  <c r="G66" i="8"/>
  <c r="E66" i="19" s="1"/>
  <c r="G65" i="8"/>
  <c r="E65" i="19" s="1"/>
  <c r="G63" i="8"/>
  <c r="E63" i="19" s="1"/>
  <c r="G60" i="8"/>
  <c r="E60" i="19" s="1"/>
  <c r="G59" i="8"/>
  <c r="E59" i="19" s="1"/>
  <c r="G58" i="8"/>
  <c r="E58" i="19" s="1"/>
  <c r="G57" i="8"/>
  <c r="E57" i="19" s="1"/>
  <c r="G56" i="8"/>
  <c r="E56" i="19" s="1"/>
  <c r="G55" i="8"/>
  <c r="E55" i="19" s="1"/>
  <c r="G53" i="8"/>
  <c r="E53" i="19" s="1"/>
  <c r="G52" i="8"/>
  <c r="E52" i="19" s="1"/>
  <c r="G51" i="8"/>
  <c r="E51" i="19" s="1"/>
  <c r="G50" i="8"/>
  <c r="E50" i="19" s="1"/>
  <c r="G48" i="8"/>
  <c r="E48" i="19" s="1"/>
  <c r="G47" i="8"/>
  <c r="E47" i="19" s="1"/>
  <c r="G46" i="8"/>
  <c r="E46" i="19" s="1"/>
  <c r="G45" i="8"/>
  <c r="E45" i="19" s="1"/>
  <c r="G42" i="8"/>
  <c r="E42" i="19" s="1"/>
  <c r="G41" i="8"/>
  <c r="E41" i="19" s="1"/>
  <c r="G38" i="8"/>
  <c r="E38" i="19" s="1"/>
  <c r="G35" i="8"/>
  <c r="E35" i="19" s="1"/>
  <c r="G33" i="8"/>
  <c r="E33" i="19" s="1"/>
  <c r="G32" i="8"/>
  <c r="E32" i="19" s="1"/>
  <c r="G30" i="8"/>
  <c r="E30" i="19" s="1"/>
  <c r="G28" i="8"/>
  <c r="E28" i="19" s="1"/>
  <c r="G27" i="8"/>
  <c r="E27" i="19" s="1"/>
  <c r="G26" i="8"/>
  <c r="E26" i="19" s="1"/>
  <c r="G25" i="8"/>
  <c r="E25" i="19" s="1"/>
  <c r="G24" i="8"/>
  <c r="E24" i="19" s="1"/>
  <c r="G23" i="8"/>
  <c r="E23" i="19" s="1"/>
  <c r="G21" i="8"/>
  <c r="E21" i="19" s="1"/>
  <c r="G20" i="8"/>
  <c r="E20" i="19" s="1"/>
  <c r="G19" i="8"/>
  <c r="E19" i="19" s="1"/>
  <c r="G18" i="8"/>
  <c r="E18" i="19" s="1"/>
  <c r="G17" i="8"/>
  <c r="E17" i="19" s="1"/>
  <c r="G16" i="8"/>
  <c r="E16" i="19" s="1"/>
  <c r="G15" i="8"/>
  <c r="E15" i="19" s="1"/>
  <c r="G13" i="8"/>
  <c r="E13" i="19" s="1"/>
  <c r="G12" i="8"/>
  <c r="E12" i="19" s="1"/>
  <c r="G10" i="8"/>
  <c r="E10" i="19" s="1"/>
  <c r="G9" i="8"/>
  <c r="E9" i="19" s="1"/>
  <c r="G7" i="8"/>
  <c r="E7" i="19" s="1"/>
  <c r="G6" i="8"/>
  <c r="E6" i="19" s="1"/>
  <c r="G74" i="7"/>
  <c r="D74" i="19" s="1"/>
  <c r="B74" i="7"/>
  <c r="G73" i="7"/>
  <c r="D73" i="19" s="1"/>
  <c r="B73" i="7"/>
  <c r="G72" i="7"/>
  <c r="D72" i="19" s="1"/>
  <c r="B72" i="7"/>
  <c r="G71" i="7"/>
  <c r="D71" i="19" s="1"/>
  <c r="B71" i="7"/>
  <c r="G70" i="7"/>
  <c r="D70" i="19" s="1"/>
  <c r="B70" i="7"/>
  <c r="G69" i="7"/>
  <c r="D69" i="19" s="1"/>
  <c r="B69" i="7"/>
  <c r="G67" i="7"/>
  <c r="D67" i="19" s="1"/>
  <c r="B67" i="7"/>
  <c r="G66" i="7"/>
  <c r="D66" i="19" s="1"/>
  <c r="B66" i="7"/>
  <c r="G65" i="7"/>
  <c r="D65" i="19" s="1"/>
  <c r="B65" i="7"/>
  <c r="G63" i="7"/>
  <c r="D63" i="19" s="1"/>
  <c r="B63" i="7"/>
  <c r="G60" i="7"/>
  <c r="D60" i="19" s="1"/>
  <c r="B60" i="7"/>
  <c r="G59" i="7"/>
  <c r="D59" i="19" s="1"/>
  <c r="B59" i="7"/>
  <c r="G58" i="7"/>
  <c r="D58" i="19" s="1"/>
  <c r="B58" i="7"/>
  <c r="G57" i="7"/>
  <c r="D57" i="19" s="1"/>
  <c r="B57" i="7"/>
  <c r="G56" i="7"/>
  <c r="D56" i="19" s="1"/>
  <c r="B56" i="7"/>
  <c r="G55" i="7"/>
  <c r="D55" i="19" s="1"/>
  <c r="B55" i="7"/>
  <c r="G53" i="7"/>
  <c r="D53" i="19" s="1"/>
  <c r="B53" i="7"/>
  <c r="G52" i="7"/>
  <c r="D52" i="19" s="1"/>
  <c r="B52" i="7"/>
  <c r="G51" i="7"/>
  <c r="D51" i="19" s="1"/>
  <c r="B51" i="7"/>
  <c r="G50" i="7"/>
  <c r="D50" i="19" s="1"/>
  <c r="B50" i="7"/>
  <c r="G48" i="7"/>
  <c r="D48" i="19" s="1"/>
  <c r="B48" i="7"/>
  <c r="G47" i="7"/>
  <c r="D47" i="19" s="1"/>
  <c r="B47" i="7"/>
  <c r="G46" i="7"/>
  <c r="D46" i="19" s="1"/>
  <c r="B46" i="7"/>
  <c r="G45" i="7"/>
  <c r="D45" i="19" s="1"/>
  <c r="B45" i="7"/>
  <c r="G42" i="7"/>
  <c r="D42" i="19" s="1"/>
  <c r="B42" i="7"/>
  <c r="G41" i="7"/>
  <c r="D41" i="19" s="1"/>
  <c r="B41" i="7"/>
  <c r="G38" i="7"/>
  <c r="D38" i="19" s="1"/>
  <c r="G35" i="7"/>
  <c r="D35" i="19" s="1"/>
  <c r="B35" i="7"/>
  <c r="G33" i="7"/>
  <c r="D33" i="19" s="1"/>
  <c r="B33" i="7"/>
  <c r="G32" i="7"/>
  <c r="D32" i="19" s="1"/>
  <c r="B32" i="7"/>
  <c r="G30" i="7"/>
  <c r="D30" i="19" s="1"/>
  <c r="B30" i="7"/>
  <c r="G28" i="7"/>
  <c r="D28" i="19" s="1"/>
  <c r="B28" i="7"/>
  <c r="G27" i="7"/>
  <c r="D27" i="19" s="1"/>
  <c r="B27" i="7"/>
  <c r="G26" i="7"/>
  <c r="D26" i="19" s="1"/>
  <c r="B26" i="7"/>
  <c r="G25" i="7"/>
  <c r="D25" i="19" s="1"/>
  <c r="B25" i="7"/>
  <c r="G24" i="7"/>
  <c r="D24" i="19" s="1"/>
  <c r="B24" i="7"/>
  <c r="G23" i="7"/>
  <c r="D23" i="19" s="1"/>
  <c r="B23" i="7"/>
  <c r="G21" i="7"/>
  <c r="D21" i="19" s="1"/>
  <c r="B21" i="7"/>
  <c r="G20" i="7"/>
  <c r="D20" i="19" s="1"/>
  <c r="B20" i="7"/>
  <c r="G19" i="7"/>
  <c r="D19" i="19" s="1"/>
  <c r="B19" i="7"/>
  <c r="G18" i="7"/>
  <c r="D18" i="19" s="1"/>
  <c r="B18" i="7"/>
  <c r="G17" i="7"/>
  <c r="D17" i="19" s="1"/>
  <c r="B17" i="7"/>
  <c r="G16" i="7"/>
  <c r="D16" i="19" s="1"/>
  <c r="B16" i="7"/>
  <c r="G15" i="7"/>
  <c r="D15" i="19" s="1"/>
  <c r="B15" i="7"/>
  <c r="G13" i="7"/>
  <c r="D13" i="19" s="1"/>
  <c r="B13" i="7"/>
  <c r="G12" i="7"/>
  <c r="D12" i="19" s="1"/>
  <c r="B12" i="7"/>
  <c r="G10" i="7"/>
  <c r="D10" i="19" s="1"/>
  <c r="B10" i="7"/>
  <c r="G9" i="7"/>
  <c r="D9" i="19" s="1"/>
  <c r="B9" i="7"/>
  <c r="G7" i="7"/>
  <c r="D7" i="19" s="1"/>
  <c r="B7" i="7"/>
  <c r="G6" i="7"/>
  <c r="D6" i="19" s="1"/>
  <c r="D6" i="21"/>
  <c r="G74" i="6"/>
  <c r="C74" i="19" s="1"/>
  <c r="M74" i="6"/>
  <c r="G73" i="6"/>
  <c r="C73" i="19" s="1"/>
  <c r="G72" i="6"/>
  <c r="C72" i="19" s="1"/>
  <c r="M72" i="6"/>
  <c r="G71" i="6"/>
  <c r="C71" i="19" s="1"/>
  <c r="M71" i="6"/>
  <c r="G70" i="6"/>
  <c r="C70" i="19" s="1"/>
  <c r="G69" i="6"/>
  <c r="C69" i="19" s="1"/>
  <c r="G67" i="6"/>
  <c r="C67" i="19" s="1"/>
  <c r="G66" i="6"/>
  <c r="C66" i="19" s="1"/>
  <c r="G65" i="6"/>
  <c r="C65" i="19" s="1"/>
  <c r="G63" i="6"/>
  <c r="C63" i="19" s="1"/>
  <c r="G60" i="6"/>
  <c r="C60" i="19" s="1"/>
  <c r="G59" i="6"/>
  <c r="C59" i="19" s="1"/>
  <c r="M59" i="6"/>
  <c r="M69" i="6" s="1"/>
  <c r="G58" i="6"/>
  <c r="C58" i="19" s="1"/>
  <c r="G57" i="6"/>
  <c r="C57" i="19" s="1"/>
  <c r="G56" i="6"/>
  <c r="C56" i="19" s="1"/>
  <c r="G55" i="6"/>
  <c r="C55" i="19" s="1"/>
  <c r="G53" i="6"/>
  <c r="C53" i="19" s="1"/>
  <c r="M53" i="6"/>
  <c r="M63" i="6" s="1"/>
  <c r="M73" i="6" s="1"/>
  <c r="G52" i="6"/>
  <c r="C52" i="19" s="1"/>
  <c r="G51" i="6"/>
  <c r="C51" i="19" s="1"/>
  <c r="G50" i="6"/>
  <c r="C50" i="19" s="1"/>
  <c r="M50" i="6"/>
  <c r="M60" i="6" s="1"/>
  <c r="M70" i="6" s="1"/>
  <c r="G48" i="6"/>
  <c r="C48" i="19" s="1"/>
  <c r="G47" i="6"/>
  <c r="C47" i="19" s="1"/>
  <c r="M47" i="6"/>
  <c r="M57" i="6" s="1"/>
  <c r="M67" i="6" s="1"/>
  <c r="G46" i="6"/>
  <c r="C46" i="19" s="1"/>
  <c r="G45" i="6"/>
  <c r="C45" i="19" s="1"/>
  <c r="G42" i="6"/>
  <c r="C42" i="19" s="1"/>
  <c r="G41" i="6"/>
  <c r="C41" i="19" s="1"/>
  <c r="G38" i="6"/>
  <c r="C38" i="19" s="1"/>
  <c r="G35" i="6"/>
  <c r="C35" i="19" s="1"/>
  <c r="G33" i="6"/>
  <c r="C33" i="19" s="1"/>
  <c r="G32" i="6"/>
  <c r="C32" i="19" s="1"/>
  <c r="M32" i="6"/>
  <c r="M45" i="6" s="1"/>
  <c r="M55" i="6" s="1"/>
  <c r="M65" i="6" s="1"/>
  <c r="G30" i="6"/>
  <c r="C30" i="19" s="1"/>
  <c r="G28" i="6"/>
  <c r="C28" i="19" s="1"/>
  <c r="G27" i="6"/>
  <c r="C27" i="19" s="1"/>
  <c r="G26" i="6"/>
  <c r="C26" i="19" s="1"/>
  <c r="G25" i="6"/>
  <c r="C25" i="19" s="1"/>
  <c r="G24" i="6"/>
  <c r="C24" i="19" s="1"/>
  <c r="G23" i="6"/>
  <c r="C23" i="19" s="1"/>
  <c r="G21" i="6"/>
  <c r="C21" i="19" s="1"/>
  <c r="M21" i="6"/>
  <c r="G20" i="6"/>
  <c r="C20" i="19" s="1"/>
  <c r="M20" i="6"/>
  <c r="G19" i="6"/>
  <c r="C19" i="19" s="1"/>
  <c r="G18" i="6"/>
  <c r="C18" i="19" s="1"/>
  <c r="M18" i="6"/>
  <c r="M28" i="6" s="1"/>
  <c r="M41" i="6" s="1"/>
  <c r="M51" i="6" s="1"/>
  <c r="G17" i="6"/>
  <c r="C17" i="19" s="1"/>
  <c r="M17" i="6"/>
  <c r="M27" i="6" s="1"/>
  <c r="G16" i="6"/>
  <c r="C16" i="19" s="1"/>
  <c r="G15" i="6"/>
  <c r="C15" i="19" s="1"/>
  <c r="M15" i="6"/>
  <c r="M25" i="6" s="1"/>
  <c r="G13" i="6"/>
  <c r="C13" i="19" s="1"/>
  <c r="M13" i="6"/>
  <c r="G12" i="6"/>
  <c r="C12" i="19" s="1"/>
  <c r="G10" i="6"/>
  <c r="C10" i="19" s="1"/>
  <c r="M10" i="6"/>
  <c r="G9" i="6"/>
  <c r="C9" i="19" s="1"/>
  <c r="M9" i="6"/>
  <c r="G7" i="6"/>
  <c r="C7" i="19" s="1"/>
  <c r="G6" i="6"/>
  <c r="C6" i="19" s="1"/>
  <c r="M6" i="6"/>
  <c r="G74" i="5"/>
  <c r="B74" i="19" s="1"/>
  <c r="G73" i="5"/>
  <c r="B73" i="19" s="1"/>
  <c r="G72" i="5"/>
  <c r="B72" i="19" s="1"/>
  <c r="G71" i="5"/>
  <c r="B71" i="19" s="1"/>
  <c r="G70" i="5"/>
  <c r="B70" i="19" s="1"/>
  <c r="G69" i="5"/>
  <c r="B69" i="19" s="1"/>
  <c r="G67" i="5"/>
  <c r="B67" i="19" s="1"/>
  <c r="G66" i="5"/>
  <c r="B66" i="19" s="1"/>
  <c r="G65" i="5"/>
  <c r="B65" i="19" s="1"/>
  <c r="G63" i="5"/>
  <c r="B63" i="19" s="1"/>
  <c r="G60" i="5"/>
  <c r="B60" i="19" s="1"/>
  <c r="G59" i="5"/>
  <c r="B59" i="19" s="1"/>
  <c r="E59" i="5"/>
  <c r="G58" i="5"/>
  <c r="B58" i="19" s="1"/>
  <c r="G57" i="5"/>
  <c r="B57" i="19" s="1"/>
  <c r="G56" i="5"/>
  <c r="B56" i="19" s="1"/>
  <c r="G55" i="5"/>
  <c r="B55" i="19" s="1"/>
  <c r="G53" i="5"/>
  <c r="B53" i="19" s="1"/>
  <c r="G52" i="5"/>
  <c r="B52" i="19" s="1"/>
  <c r="G51" i="5"/>
  <c r="B51" i="19" s="1"/>
  <c r="G50" i="5"/>
  <c r="B50" i="19" s="1"/>
  <c r="G48" i="5"/>
  <c r="B48" i="19" s="1"/>
  <c r="G47" i="5"/>
  <c r="B47" i="19" s="1"/>
  <c r="G46" i="5"/>
  <c r="B46" i="19" s="1"/>
  <c r="G45" i="5"/>
  <c r="B45" i="19" s="1"/>
  <c r="G44" i="5"/>
  <c r="B44" i="19" s="1"/>
  <c r="G43" i="5"/>
  <c r="B43" i="19" s="1"/>
  <c r="G42" i="5"/>
  <c r="B42" i="19" s="1"/>
  <c r="G41" i="5"/>
  <c r="B41" i="19" s="1"/>
  <c r="G38" i="5"/>
  <c r="B38" i="19" s="1"/>
  <c r="G35" i="5"/>
  <c r="B35" i="19" s="1"/>
  <c r="G33" i="5"/>
  <c r="B33" i="19" s="1"/>
  <c r="G32" i="5"/>
  <c r="B32" i="19" s="1"/>
  <c r="G30" i="5"/>
  <c r="B30" i="19" s="1"/>
  <c r="G28" i="5"/>
  <c r="B28" i="19" s="1"/>
  <c r="G27" i="5"/>
  <c r="B27" i="19" s="1"/>
  <c r="G26" i="5"/>
  <c r="B26" i="19" s="1"/>
  <c r="G25" i="5"/>
  <c r="B25" i="19" s="1"/>
  <c r="G24" i="5"/>
  <c r="B24" i="19" s="1"/>
  <c r="G23" i="5"/>
  <c r="B23" i="19" s="1"/>
  <c r="G21" i="5"/>
  <c r="B21" i="19" s="1"/>
  <c r="G20" i="5"/>
  <c r="B20" i="19" s="1"/>
  <c r="G19" i="5"/>
  <c r="B19" i="19" s="1"/>
  <c r="G18" i="5"/>
  <c r="B18" i="19" s="1"/>
  <c r="G17" i="5"/>
  <c r="B17" i="19" s="1"/>
  <c r="G16" i="5"/>
  <c r="B16" i="19" s="1"/>
  <c r="G15" i="5"/>
  <c r="B15" i="19" s="1"/>
  <c r="G13" i="5"/>
  <c r="B13" i="19" s="1"/>
  <c r="G12" i="5"/>
  <c r="B12" i="19" s="1"/>
  <c r="G10" i="5"/>
  <c r="B10" i="19" s="1"/>
  <c r="G9" i="5"/>
  <c r="B9" i="19" s="1"/>
  <c r="G7" i="5"/>
  <c r="B7" i="19" s="1"/>
  <c r="O6" i="5"/>
  <c r="G6" i="5"/>
  <c r="B6" i="19" s="1"/>
  <c r="F89" i="4"/>
  <c r="H89" i="4" s="1"/>
  <c r="E527" i="3"/>
  <c r="K527" i="3" s="1"/>
  <c r="E526" i="3"/>
  <c r="K526" i="3" s="1"/>
  <c r="E525" i="3"/>
  <c r="K525" i="3" s="1"/>
  <c r="E524" i="3"/>
  <c r="K524" i="3" s="1"/>
  <c r="E523" i="3"/>
  <c r="K523" i="3" s="1"/>
  <c r="E522" i="3"/>
  <c r="K522" i="3" s="1"/>
  <c r="E521" i="3"/>
  <c r="K521" i="3" s="1"/>
  <c r="E520" i="3"/>
  <c r="K520" i="3" s="1"/>
  <c r="E519" i="3"/>
  <c r="K519" i="3" s="1"/>
  <c r="E518" i="3"/>
  <c r="K518" i="3" s="1"/>
  <c r="E517" i="3"/>
  <c r="K517" i="3" s="1"/>
  <c r="E516" i="3"/>
  <c r="K516" i="3" s="1"/>
  <c r="E515" i="3"/>
  <c r="K515" i="3" s="1"/>
  <c r="E514" i="3"/>
  <c r="K514" i="3" s="1"/>
  <c r="E512" i="3"/>
  <c r="K512" i="3" s="1"/>
  <c r="E511" i="3"/>
  <c r="K511" i="3" s="1"/>
  <c r="E510" i="3"/>
  <c r="K510" i="3" s="1"/>
  <c r="E509" i="3"/>
  <c r="K509" i="3" s="1"/>
  <c r="E508" i="3"/>
  <c r="K508" i="3" s="1"/>
  <c r="E507" i="3"/>
  <c r="K507" i="3" s="1"/>
  <c r="E506" i="3"/>
  <c r="K506" i="3" s="1"/>
  <c r="E505" i="3"/>
  <c r="K505" i="3" s="1"/>
  <c r="E504" i="3"/>
  <c r="K504" i="3" s="1"/>
  <c r="E503" i="3"/>
  <c r="K503" i="3" s="1"/>
  <c r="E502" i="3"/>
  <c r="K502" i="3" s="1"/>
  <c r="E501" i="3"/>
  <c r="K501" i="3" s="1"/>
  <c r="E500" i="3"/>
  <c r="K500" i="3" s="1"/>
  <c r="E499" i="3"/>
  <c r="K499" i="3" s="1"/>
  <c r="E498" i="3"/>
  <c r="K498" i="3" s="1"/>
  <c r="E497" i="3"/>
  <c r="K497" i="3" s="1"/>
  <c r="E496" i="3"/>
  <c r="K496" i="3" s="1"/>
  <c r="E495" i="3"/>
  <c r="K495" i="3" s="1"/>
  <c r="E494" i="3"/>
  <c r="K494" i="3" s="1"/>
  <c r="E493" i="3"/>
  <c r="K493" i="3" s="1"/>
  <c r="E492" i="3"/>
  <c r="K492" i="3" s="1"/>
  <c r="E491" i="3"/>
  <c r="K491" i="3" s="1"/>
  <c r="E490" i="3"/>
  <c r="K490" i="3" s="1"/>
  <c r="E489" i="3"/>
  <c r="K489" i="3" s="1"/>
  <c r="E487" i="3"/>
  <c r="K487" i="3" s="1"/>
  <c r="E486" i="3"/>
  <c r="K486" i="3" s="1"/>
  <c r="E485" i="3"/>
  <c r="K485" i="3" s="1"/>
  <c r="E484" i="3"/>
  <c r="K484" i="3" s="1"/>
  <c r="E482" i="3"/>
  <c r="K482" i="3" s="1"/>
  <c r="E481" i="3"/>
  <c r="K481" i="3" s="1"/>
  <c r="E480" i="3"/>
  <c r="K480" i="3" s="1"/>
  <c r="E479" i="3"/>
  <c r="K479" i="3" s="1"/>
  <c r="E478" i="3"/>
  <c r="K478" i="3" s="1"/>
  <c r="E477" i="3"/>
  <c r="K477" i="3" s="1"/>
  <c r="E476" i="3"/>
  <c r="K476" i="3" s="1"/>
  <c r="E475" i="3"/>
  <c r="K475" i="3" s="1"/>
  <c r="E474" i="3"/>
  <c r="K474" i="3" s="1"/>
  <c r="E473" i="3"/>
  <c r="K473" i="3" s="1"/>
  <c r="E472" i="3"/>
  <c r="K472" i="3" s="1"/>
  <c r="E470" i="3"/>
  <c r="K470" i="3" s="1"/>
  <c r="E467" i="3"/>
  <c r="K467" i="3" s="1"/>
  <c r="E465" i="3"/>
  <c r="K465" i="3" s="1"/>
  <c r="E464" i="3"/>
  <c r="K464" i="3" s="1"/>
  <c r="E463" i="3"/>
  <c r="K463" i="3" s="1"/>
  <c r="E461" i="3"/>
  <c r="K461" i="3" s="1"/>
  <c r="E460" i="3"/>
  <c r="K460" i="3" s="1"/>
  <c r="E459" i="3"/>
  <c r="K459" i="3" s="1"/>
  <c r="E455" i="3"/>
  <c r="K455" i="3" s="1"/>
  <c r="E454" i="3"/>
  <c r="K454" i="3" s="1"/>
  <c r="E453" i="3"/>
  <c r="K453" i="3" s="1"/>
  <c r="E452" i="3"/>
  <c r="K452" i="3" s="1"/>
  <c r="E450" i="3"/>
  <c r="K450" i="3" s="1"/>
  <c r="E449" i="3"/>
  <c r="K449" i="3" s="1"/>
  <c r="E448" i="3"/>
  <c r="K448" i="3" s="1"/>
  <c r="E447" i="3"/>
  <c r="K447" i="3" s="1"/>
  <c r="E445" i="3"/>
  <c r="K445" i="3" s="1"/>
  <c r="E444" i="3"/>
  <c r="K444" i="3" s="1"/>
  <c r="E443" i="3"/>
  <c r="K443" i="3" s="1"/>
  <c r="E442" i="3"/>
  <c r="K442" i="3" s="1"/>
  <c r="E441" i="3"/>
  <c r="K441" i="3" s="1"/>
  <c r="E440" i="3"/>
  <c r="K440" i="3" s="1"/>
  <c r="E439" i="3"/>
  <c r="K439" i="3" s="1"/>
  <c r="E438" i="3"/>
  <c r="K438" i="3" s="1"/>
  <c r="E437" i="3"/>
  <c r="K437" i="3" s="1"/>
  <c r="E436" i="3"/>
  <c r="K436" i="3" s="1"/>
  <c r="E435" i="3"/>
  <c r="K435" i="3" s="1"/>
  <c r="E430" i="3"/>
  <c r="K430" i="3" s="1"/>
  <c r="E429" i="3"/>
  <c r="K429" i="3" s="1"/>
  <c r="E428" i="3"/>
  <c r="K428" i="3" s="1"/>
  <c r="E426" i="3"/>
  <c r="K426" i="3" s="1"/>
  <c r="E425" i="3"/>
  <c r="K425" i="3" s="1"/>
  <c r="E424" i="3"/>
  <c r="K424" i="3" s="1"/>
  <c r="E422" i="3"/>
  <c r="K422" i="3" s="1"/>
  <c r="E421" i="3"/>
  <c r="K421" i="3" s="1"/>
  <c r="E420" i="3"/>
  <c r="K420" i="3" s="1"/>
  <c r="E419" i="3"/>
  <c r="K419" i="3" s="1"/>
  <c r="E418" i="3"/>
  <c r="K418" i="3" s="1"/>
  <c r="E417" i="3"/>
  <c r="K417" i="3" s="1"/>
  <c r="E416" i="3"/>
  <c r="K416" i="3" s="1"/>
  <c r="E415" i="3"/>
  <c r="K415" i="3" s="1"/>
  <c r="E414" i="3"/>
  <c r="K414" i="3" s="1"/>
  <c r="E413" i="3"/>
  <c r="K413" i="3" s="1"/>
  <c r="E411" i="3"/>
  <c r="K411" i="3" s="1"/>
  <c r="E409" i="3"/>
  <c r="K409" i="3" s="1"/>
  <c r="E408" i="3"/>
  <c r="K408" i="3" s="1"/>
  <c r="E407" i="3"/>
  <c r="K407" i="3" s="1"/>
  <c r="E406" i="3"/>
  <c r="K406" i="3" s="1"/>
  <c r="E405" i="3"/>
  <c r="K405" i="3" s="1"/>
  <c r="E404" i="3"/>
  <c r="K404" i="3" s="1"/>
  <c r="E403" i="3"/>
  <c r="K403" i="3" s="1"/>
  <c r="E402" i="3"/>
  <c r="K402" i="3" s="1"/>
  <c r="E401" i="3"/>
  <c r="K401" i="3" s="1"/>
  <c r="E400" i="3"/>
  <c r="K400" i="3" s="1"/>
  <c r="E398" i="3"/>
  <c r="K398" i="3" s="1"/>
  <c r="E397" i="3"/>
  <c r="K397" i="3" s="1"/>
  <c r="E396" i="3"/>
  <c r="K396" i="3" s="1"/>
  <c r="E395" i="3"/>
  <c r="K395" i="3" s="1"/>
  <c r="E394" i="3"/>
  <c r="K394" i="3" s="1"/>
  <c r="E393" i="3"/>
  <c r="K393" i="3" s="1"/>
  <c r="E392" i="3"/>
  <c r="K392" i="3" s="1"/>
  <c r="E390" i="3"/>
  <c r="K390" i="3" s="1"/>
  <c r="E389" i="3"/>
  <c r="K389" i="3" s="1"/>
  <c r="E388" i="3"/>
  <c r="K388" i="3" s="1"/>
  <c r="E387" i="3"/>
  <c r="K387" i="3" s="1"/>
  <c r="E386" i="3"/>
  <c r="K386" i="3" s="1"/>
  <c r="E385" i="3"/>
  <c r="K385" i="3" s="1"/>
  <c r="E384" i="3"/>
  <c r="K384" i="3" s="1"/>
  <c r="E382" i="3"/>
  <c r="K382" i="3" s="1"/>
  <c r="E381" i="3"/>
  <c r="K381" i="3" s="1"/>
  <c r="E379" i="3"/>
  <c r="K379" i="3" s="1"/>
  <c r="E378" i="3"/>
  <c r="K378" i="3" s="1"/>
  <c r="E377" i="3"/>
  <c r="K377" i="3" s="1"/>
  <c r="E376" i="3"/>
  <c r="K376" i="3" s="1"/>
  <c r="E375" i="3"/>
  <c r="K375" i="3" s="1"/>
  <c r="E374" i="3"/>
  <c r="K374" i="3" s="1"/>
  <c r="E373" i="3"/>
  <c r="K373" i="3" s="1"/>
  <c r="E371" i="3"/>
  <c r="K371" i="3" s="1"/>
  <c r="E370" i="3"/>
  <c r="K370" i="3" s="1"/>
  <c r="E369" i="3"/>
  <c r="K369" i="3" s="1"/>
  <c r="E368" i="3"/>
  <c r="K368" i="3" s="1"/>
  <c r="E367" i="3"/>
  <c r="K367" i="3" s="1"/>
  <c r="E366" i="3"/>
  <c r="K366" i="3" s="1"/>
  <c r="E364" i="3"/>
  <c r="K364" i="3" s="1"/>
  <c r="E363" i="3"/>
  <c r="K363" i="3" s="1"/>
  <c r="E359" i="3"/>
  <c r="K359" i="3" s="1"/>
  <c r="E357" i="3"/>
  <c r="K357" i="3" s="1"/>
  <c r="E354" i="3"/>
  <c r="K354" i="3" s="1"/>
  <c r="E353" i="3"/>
  <c r="K353" i="3" s="1"/>
  <c r="E352" i="3"/>
  <c r="K352" i="3" s="1"/>
  <c r="E351" i="3"/>
  <c r="K351" i="3" s="1"/>
  <c r="E350" i="3"/>
  <c r="K350" i="3" s="1"/>
  <c r="E348" i="3"/>
  <c r="K348" i="3" s="1"/>
  <c r="E347" i="3"/>
  <c r="K347" i="3" s="1"/>
  <c r="E346" i="3"/>
  <c r="K346" i="3" s="1"/>
  <c r="E345" i="3"/>
  <c r="K345" i="3" s="1"/>
  <c r="E344" i="3"/>
  <c r="K344" i="3" s="1"/>
  <c r="E343" i="3"/>
  <c r="K343" i="3" s="1"/>
  <c r="E342" i="3"/>
  <c r="K342" i="3" s="1"/>
  <c r="E341" i="3"/>
  <c r="K341" i="3" s="1"/>
  <c r="E340" i="3"/>
  <c r="K340" i="3" s="1"/>
  <c r="E339" i="3"/>
  <c r="K339" i="3" s="1"/>
  <c r="E338" i="3"/>
  <c r="K338" i="3" s="1"/>
  <c r="E337" i="3"/>
  <c r="K337" i="3" s="1"/>
  <c r="E336" i="3"/>
  <c r="K336" i="3" s="1"/>
  <c r="E335" i="3"/>
  <c r="K335" i="3" s="1"/>
  <c r="E334" i="3"/>
  <c r="K334" i="3" s="1"/>
  <c r="E333" i="3"/>
  <c r="K333" i="3" s="1"/>
  <c r="E332" i="3"/>
  <c r="K332" i="3" s="1"/>
  <c r="E331" i="3"/>
  <c r="K331" i="3" s="1"/>
  <c r="E330" i="3"/>
  <c r="K330" i="3" s="1"/>
  <c r="E329" i="3"/>
  <c r="K329" i="3" s="1"/>
  <c r="E328" i="3"/>
  <c r="K328" i="3" s="1"/>
  <c r="E327" i="3"/>
  <c r="K327" i="3" s="1"/>
  <c r="E324" i="3"/>
  <c r="K324" i="3" s="1"/>
  <c r="E323" i="3"/>
  <c r="K323" i="3" s="1"/>
  <c r="E322" i="3"/>
  <c r="K322" i="3" s="1"/>
  <c r="E321" i="3"/>
  <c r="K321" i="3" s="1"/>
  <c r="E320" i="3"/>
  <c r="K320" i="3" s="1"/>
  <c r="E319" i="3"/>
  <c r="K319" i="3" s="1"/>
  <c r="E318" i="3"/>
  <c r="K318" i="3" s="1"/>
  <c r="E317" i="3"/>
  <c r="K317" i="3" s="1"/>
  <c r="E316" i="3"/>
  <c r="K316" i="3" s="1"/>
  <c r="E315" i="3"/>
  <c r="K315" i="3" s="1"/>
  <c r="E314" i="3"/>
  <c r="K314" i="3" s="1"/>
  <c r="E313" i="3"/>
  <c r="K313" i="3" s="1"/>
  <c r="E312" i="3"/>
  <c r="K312" i="3" s="1"/>
  <c r="E311" i="3"/>
  <c r="K311" i="3" s="1"/>
  <c r="E310" i="3"/>
  <c r="K310" i="3" s="1"/>
  <c r="E309" i="3"/>
  <c r="K309" i="3" s="1"/>
  <c r="E306" i="3"/>
  <c r="K306" i="3" s="1"/>
  <c r="E305" i="3"/>
  <c r="K305" i="3" s="1"/>
  <c r="E304" i="3"/>
  <c r="K304" i="3" s="1"/>
  <c r="E303" i="3"/>
  <c r="K303" i="3" s="1"/>
  <c r="E302" i="3"/>
  <c r="K302" i="3" s="1"/>
  <c r="E301" i="3"/>
  <c r="K301" i="3" s="1"/>
  <c r="E300" i="3"/>
  <c r="K300" i="3" s="1"/>
  <c r="F813" i="2"/>
  <c r="C813" i="1" s="1"/>
  <c r="D813" i="1" s="1"/>
  <c r="M812" i="2"/>
  <c r="C812" i="1" s="1"/>
  <c r="D812" i="1" s="1"/>
  <c r="H808" i="2"/>
  <c r="C808" i="1" s="1"/>
  <c r="D808" i="1" s="1"/>
  <c r="F799" i="2"/>
  <c r="C799" i="1" s="1"/>
  <c r="D799" i="1" s="1"/>
  <c r="M797" i="2"/>
  <c r="C797" i="1" s="1"/>
  <c r="D797" i="1" s="1"/>
  <c r="E794" i="2"/>
  <c r="C794" i="1" s="1"/>
  <c r="D794" i="1" s="1"/>
  <c r="H793" i="2"/>
  <c r="C793" i="1" s="1"/>
  <c r="D793" i="1" s="1"/>
  <c r="F789" i="2"/>
  <c r="C789" i="1" s="1"/>
  <c r="D789" i="1" s="1"/>
  <c r="F783" i="2"/>
  <c r="C783" i="1" s="1"/>
  <c r="D783" i="1" s="1"/>
  <c r="F703" i="2"/>
  <c r="C703" i="1" s="1"/>
  <c r="D703" i="1" s="1"/>
  <c r="F702" i="2"/>
  <c r="C702" i="1" s="1"/>
  <c r="D702" i="1" s="1"/>
  <c r="F701" i="2"/>
  <c r="C701" i="1" s="1"/>
  <c r="D701" i="1" s="1"/>
  <c r="F700" i="2"/>
  <c r="C700" i="1" s="1"/>
  <c r="D700" i="1" s="1"/>
  <c r="F699" i="2"/>
  <c r="C699" i="1" s="1"/>
  <c r="D699" i="1" s="1"/>
  <c r="F698" i="2"/>
  <c r="C698" i="1" s="1"/>
  <c r="D698" i="1" s="1"/>
  <c r="M696" i="2"/>
  <c r="C696" i="1" s="1"/>
  <c r="D696" i="1" s="1"/>
  <c r="C688" i="1"/>
  <c r="D688" i="1" s="1"/>
  <c r="D682" i="2"/>
  <c r="C682" i="1" s="1"/>
  <c r="D682" i="1" s="1"/>
  <c r="H679" i="2"/>
  <c r="C679" i="1" s="1"/>
  <c r="D679" i="1" s="1"/>
  <c r="D615" i="2"/>
  <c r="C615" i="1" s="1"/>
  <c r="D615" i="1" s="1"/>
  <c r="D612" i="2"/>
  <c r="C612" i="1" s="1"/>
  <c r="D612" i="1" s="1"/>
  <c r="D611" i="2"/>
  <c r="C611" i="1" s="1"/>
  <c r="D611" i="1" s="1"/>
  <c r="D599" i="2"/>
  <c r="C599" i="1" s="1"/>
  <c r="D599" i="1" s="1"/>
  <c r="D591" i="2"/>
  <c r="C591" i="1" s="1"/>
  <c r="D591" i="1" s="1"/>
  <c r="F584" i="2"/>
  <c r="C584" i="1" s="1"/>
  <c r="D584" i="1" s="1"/>
  <c r="F580" i="2"/>
  <c r="C580" i="1" s="1"/>
  <c r="D580" i="1" s="1"/>
  <c r="H578" i="2"/>
  <c r="C578" i="1" s="1"/>
  <c r="D578" i="1" s="1"/>
  <c r="F575" i="2"/>
  <c r="C575" i="1" s="1"/>
  <c r="D575" i="1" s="1"/>
  <c r="D574" i="2"/>
  <c r="C574" i="1" s="1"/>
  <c r="D574" i="1" s="1"/>
  <c r="G567" i="2"/>
  <c r="C567" i="1" s="1"/>
  <c r="D567" i="1" s="1"/>
  <c r="H527" i="2"/>
  <c r="H526" i="2"/>
  <c r="H525" i="2"/>
  <c r="H524" i="2"/>
  <c r="H523" i="2"/>
  <c r="H522" i="2"/>
  <c r="H521" i="2"/>
  <c r="H520" i="2"/>
  <c r="H519" i="2"/>
  <c r="H518" i="2"/>
  <c r="H517" i="2"/>
  <c r="H516" i="2"/>
  <c r="M515" i="2"/>
  <c r="M514" i="2"/>
  <c r="G512" i="2"/>
  <c r="G511" i="2"/>
  <c r="G510" i="2"/>
  <c r="G508" i="2"/>
  <c r="G506" i="2"/>
  <c r="G502" i="2"/>
  <c r="G482" i="2"/>
  <c r="G476" i="2"/>
  <c r="F435" i="2"/>
  <c r="F430" i="2"/>
  <c r="F429" i="2"/>
  <c r="F428" i="2"/>
  <c r="F426" i="2"/>
  <c r="F425" i="2"/>
  <c r="F424" i="2"/>
  <c r="F422" i="2"/>
  <c r="F420" i="2"/>
  <c r="F419" i="2"/>
  <c r="F418" i="2"/>
  <c r="F417" i="2"/>
  <c r="F416" i="2"/>
  <c r="F415" i="2"/>
  <c r="F414" i="2"/>
  <c r="F413" i="2"/>
  <c r="F411" i="2"/>
  <c r="F410" i="2"/>
  <c r="C410" i="1" s="1"/>
  <c r="F409" i="2"/>
  <c r="F408" i="2"/>
  <c r="F407" i="2"/>
  <c r="F406" i="2"/>
  <c r="F405" i="2"/>
  <c r="F404" i="2"/>
  <c r="F403" i="2"/>
  <c r="F402" i="2"/>
  <c r="F398" i="2"/>
  <c r="F397" i="2"/>
  <c r="F396" i="2"/>
  <c r="F395" i="2"/>
  <c r="F394" i="2"/>
  <c r="F393" i="2"/>
  <c r="F390" i="2"/>
  <c r="F389" i="2"/>
  <c r="F388" i="2"/>
  <c r="F386" i="2"/>
  <c r="F385" i="2"/>
  <c r="F384" i="2"/>
  <c r="F379" i="2"/>
  <c r="F378" i="2"/>
  <c r="F376" i="2"/>
  <c r="F374" i="2"/>
  <c r="F373" i="2"/>
  <c r="E368" i="2"/>
  <c r="E364" i="2"/>
  <c r="E363" i="2"/>
  <c r="E359" i="2"/>
  <c r="E357" i="2"/>
  <c r="E354" i="2"/>
  <c r="E353" i="2"/>
  <c r="E351" i="2"/>
  <c r="E345" i="2"/>
  <c r="E336" i="2"/>
  <c r="E334" i="2"/>
  <c r="E331" i="2"/>
  <c r="E318" i="2"/>
  <c r="E316" i="2"/>
  <c r="E313" i="2"/>
  <c r="K308" i="2"/>
  <c r="C308" i="1" s="1"/>
  <c r="D308" i="1" s="1"/>
  <c r="K307" i="2"/>
  <c r="C307" i="1" s="1"/>
  <c r="D307" i="1" s="1"/>
  <c r="D306" i="2"/>
  <c r="D305" i="2"/>
  <c r="D304" i="2"/>
  <c r="D303" i="2"/>
  <c r="D302" i="2"/>
  <c r="D301" i="2"/>
  <c r="D300" i="2"/>
  <c r="F243" i="2"/>
  <c r="H236" i="2"/>
  <c r="C236" i="1" s="1"/>
  <c r="D236" i="1" s="1"/>
  <c r="C230" i="1"/>
  <c r="D230" i="1" s="1"/>
  <c r="G222" i="2"/>
  <c r="C222" i="1" s="1"/>
  <c r="D222" i="1" s="1"/>
  <c r="D216" i="1"/>
  <c r="D215" i="1"/>
  <c r="E213" i="2"/>
  <c r="C213" i="1" s="1"/>
  <c r="D213" i="1" s="1"/>
  <c r="F212" i="2"/>
  <c r="C212" i="1" s="1"/>
  <c r="D212" i="1" s="1"/>
  <c r="F210" i="2"/>
  <c r="C210" i="1" s="1"/>
  <c r="D210" i="1" s="1"/>
  <c r="G206" i="2"/>
  <c r="C206" i="1" s="1"/>
  <c r="D206" i="1" s="1"/>
  <c r="G205" i="2"/>
  <c r="C205" i="1" s="1"/>
  <c r="D205" i="1" s="1"/>
  <c r="H183" i="2"/>
  <c r="C183" i="1" s="1"/>
  <c r="D183" i="1" s="1"/>
  <c r="K181" i="2"/>
  <c r="C181" i="1" s="1"/>
  <c r="D181" i="1" s="1"/>
  <c r="K180" i="2"/>
  <c r="C180" i="1" s="1"/>
  <c r="D180" i="1" s="1"/>
  <c r="F178" i="2"/>
  <c r="C178" i="1" s="1"/>
  <c r="D178" i="1" s="1"/>
  <c r="G177" i="2"/>
  <c r="C177" i="1" s="1"/>
  <c r="D177" i="1" s="1"/>
  <c r="G176" i="2"/>
  <c r="C176" i="1" s="1"/>
  <c r="D176" i="1" s="1"/>
  <c r="F171" i="2"/>
  <c r="C171" i="1" s="1"/>
  <c r="D171" i="1" s="1"/>
  <c r="J168" i="2"/>
  <c r="C168" i="1" s="1"/>
  <c r="D168" i="1" s="1"/>
  <c r="J166" i="2"/>
  <c r="C166" i="1" s="1"/>
  <c r="D166" i="1" s="1"/>
  <c r="J165" i="2"/>
  <c r="C165" i="1" s="1"/>
  <c r="D165" i="1" s="1"/>
  <c r="J164" i="2"/>
  <c r="C164" i="1" s="1"/>
  <c r="D164" i="1" s="1"/>
  <c r="J163" i="2"/>
  <c r="C163" i="1" s="1"/>
  <c r="D163" i="1" s="1"/>
  <c r="J162" i="2"/>
  <c r="C162" i="1" s="1"/>
  <c r="D162" i="1" s="1"/>
  <c r="J160" i="2"/>
  <c r="C160" i="1" s="1"/>
  <c r="D160" i="1" s="1"/>
  <c r="J156" i="2"/>
  <c r="C156" i="1" s="1"/>
  <c r="D156" i="1" s="1"/>
  <c r="J155" i="2"/>
  <c r="C155" i="1" s="1"/>
  <c r="D155" i="1" s="1"/>
  <c r="C154" i="1"/>
  <c r="D154" i="1" s="1"/>
  <c r="J152" i="2"/>
  <c r="C152" i="1" s="1"/>
  <c r="D152" i="1" s="1"/>
  <c r="J151" i="2"/>
  <c r="C151" i="1" s="1"/>
  <c r="D151" i="1" s="1"/>
  <c r="J149" i="2"/>
  <c r="C149" i="1" s="1"/>
  <c r="D149" i="1" s="1"/>
  <c r="J148" i="2"/>
  <c r="C148" i="1" s="1"/>
  <c r="D148" i="1" s="1"/>
  <c r="J146" i="2"/>
  <c r="C146" i="1" s="1"/>
  <c r="D146" i="1" s="1"/>
  <c r="J145" i="2"/>
  <c r="C145" i="1" s="1"/>
  <c r="D145" i="1" s="1"/>
  <c r="J144" i="2"/>
  <c r="C144" i="1" s="1"/>
  <c r="D144" i="1" s="1"/>
  <c r="F136" i="2"/>
  <c r="E136" i="1" s="1"/>
  <c r="F136" i="1" s="1"/>
  <c r="F135" i="2"/>
  <c r="E135" i="1" s="1"/>
  <c r="F135" i="1" s="1"/>
  <c r="F133" i="2"/>
  <c r="C133" i="1" s="1"/>
  <c r="D133" i="1" s="1"/>
  <c r="F129" i="2"/>
  <c r="C129" i="1" s="1"/>
  <c r="D129" i="1" s="1"/>
  <c r="F128" i="2"/>
  <c r="C128" i="1" s="1"/>
  <c r="D128" i="1" s="1"/>
  <c r="F127" i="2"/>
  <c r="C127" i="1" s="1"/>
  <c r="D127" i="1" s="1"/>
  <c r="F126" i="2"/>
  <c r="C126" i="1" s="1"/>
  <c r="D126" i="1" s="1"/>
  <c r="F125" i="2"/>
  <c r="C125" i="1" s="1"/>
  <c r="D125" i="1" s="1"/>
  <c r="F124" i="2"/>
  <c r="C124" i="1" s="1"/>
  <c r="D124" i="1" s="1"/>
  <c r="F123" i="2"/>
  <c r="C123" i="1" s="1"/>
  <c r="D123" i="1" s="1"/>
  <c r="I121" i="2"/>
  <c r="C121" i="1" s="1"/>
  <c r="D121" i="1" s="1"/>
  <c r="I120" i="2"/>
  <c r="C120" i="1" s="1"/>
  <c r="D120" i="1" s="1"/>
  <c r="I119" i="2"/>
  <c r="C119" i="1" s="1"/>
  <c r="D119" i="1" s="1"/>
  <c r="I118" i="2"/>
  <c r="C118" i="1" s="1"/>
  <c r="D118" i="1" s="1"/>
  <c r="I117" i="2"/>
  <c r="C117" i="1" s="1"/>
  <c r="D117" i="1" s="1"/>
  <c r="I116" i="2"/>
  <c r="C116" i="1" s="1"/>
  <c r="D116" i="1" s="1"/>
  <c r="I115" i="2"/>
  <c r="C115" i="1" s="1"/>
  <c r="D115" i="1" s="1"/>
  <c r="I113" i="2"/>
  <c r="C113" i="1" s="1"/>
  <c r="D113" i="1" s="1"/>
  <c r="I112" i="2"/>
  <c r="C112" i="1" s="1"/>
  <c r="D112" i="1" s="1"/>
  <c r="I111" i="2"/>
  <c r="C111" i="1" s="1"/>
  <c r="D111" i="1" s="1"/>
  <c r="I110" i="2"/>
  <c r="C110" i="1" s="1"/>
  <c r="D110" i="1" s="1"/>
  <c r="I109" i="2"/>
  <c r="C109" i="1" s="1"/>
  <c r="D109" i="1" s="1"/>
  <c r="I108" i="2"/>
  <c r="C108" i="1" s="1"/>
  <c r="D108" i="1" s="1"/>
  <c r="I107" i="2"/>
  <c r="C107" i="1" s="1"/>
  <c r="D107" i="1" s="1"/>
  <c r="I106" i="2"/>
  <c r="C106" i="1" s="1"/>
  <c r="D106" i="1" s="1"/>
  <c r="I105" i="2"/>
  <c r="C105" i="1" s="1"/>
  <c r="D105" i="1" s="1"/>
  <c r="I104" i="2"/>
  <c r="C104" i="1" s="1"/>
  <c r="D104" i="1" s="1"/>
  <c r="I103" i="2"/>
  <c r="C103" i="1" s="1"/>
  <c r="D103" i="1" s="1"/>
  <c r="I102" i="2"/>
  <c r="C102" i="1" s="1"/>
  <c r="D102" i="1" s="1"/>
  <c r="I101" i="2"/>
  <c r="C101" i="1" s="1"/>
  <c r="D101" i="1" s="1"/>
  <c r="I100" i="2"/>
  <c r="C100" i="1" s="1"/>
  <c r="D100" i="1" s="1"/>
  <c r="I99" i="2"/>
  <c r="C99" i="1" s="1"/>
  <c r="D99" i="1" s="1"/>
  <c r="I98" i="2"/>
  <c r="C98" i="1" s="1"/>
  <c r="D98" i="1" s="1"/>
  <c r="I97" i="2"/>
  <c r="C97" i="1" s="1"/>
  <c r="D97" i="1" s="1"/>
  <c r="I96" i="2"/>
  <c r="C96" i="1" s="1"/>
  <c r="D96" i="1" s="1"/>
  <c r="I95" i="2"/>
  <c r="C95" i="1" s="1"/>
  <c r="D95" i="1" s="1"/>
  <c r="I94" i="2"/>
  <c r="C94" i="1" s="1"/>
  <c r="D94" i="1" s="1"/>
  <c r="I93" i="2"/>
  <c r="C93" i="1" s="1"/>
  <c r="D93" i="1" s="1"/>
  <c r="I92" i="2"/>
  <c r="C92" i="1" s="1"/>
  <c r="D92" i="1" s="1"/>
  <c r="I91" i="2"/>
  <c r="C91" i="1" s="1"/>
  <c r="D91" i="1" s="1"/>
  <c r="I90" i="2"/>
  <c r="C90" i="1" s="1"/>
  <c r="D90" i="1" s="1"/>
  <c r="I89" i="2"/>
  <c r="C89" i="1" s="1"/>
  <c r="D89" i="1" s="1"/>
  <c r="I88" i="2"/>
  <c r="C88" i="1" s="1"/>
  <c r="D88" i="1" s="1"/>
  <c r="I87" i="2"/>
  <c r="C87" i="1" s="1"/>
  <c r="D87" i="1" s="1"/>
  <c r="I82" i="2"/>
  <c r="C82" i="1" s="1"/>
  <c r="D82" i="1" s="1"/>
  <c r="I81" i="2"/>
  <c r="C81" i="1" s="1"/>
  <c r="D81" i="1" s="1"/>
  <c r="I80" i="2"/>
  <c r="C80" i="1" s="1"/>
  <c r="D80" i="1" s="1"/>
  <c r="I79" i="2"/>
  <c r="C79" i="1" s="1"/>
  <c r="D79" i="1" s="1"/>
  <c r="I78" i="2"/>
  <c r="C78" i="1" s="1"/>
  <c r="D78" i="1" s="1"/>
  <c r="I76" i="2"/>
  <c r="C76" i="1" s="1"/>
  <c r="D76" i="1" s="1"/>
  <c r="I75" i="2"/>
  <c r="C75" i="1" s="1"/>
  <c r="D75" i="1" s="1"/>
  <c r="I74" i="2"/>
  <c r="C74" i="1" s="1"/>
  <c r="D74" i="1" s="1"/>
  <c r="C73" i="1"/>
  <c r="D73" i="1" s="1"/>
  <c r="I72" i="2"/>
  <c r="C72" i="1" s="1"/>
  <c r="D72" i="1" s="1"/>
  <c r="I71" i="2"/>
  <c r="C71" i="1" s="1"/>
  <c r="D71" i="1" s="1"/>
  <c r="I69" i="2"/>
  <c r="C69" i="1" s="1"/>
  <c r="D69" i="1" s="1"/>
  <c r="I68" i="2"/>
  <c r="C68" i="1" s="1"/>
  <c r="D68" i="1" s="1"/>
  <c r="I67" i="2"/>
  <c r="C67" i="1" s="1"/>
  <c r="D67" i="1" s="1"/>
  <c r="I66" i="2"/>
  <c r="C66" i="1" s="1"/>
  <c r="D66" i="1" s="1"/>
  <c r="I65" i="2"/>
  <c r="C65" i="1" s="1"/>
  <c r="D65" i="1" s="1"/>
  <c r="I64" i="2"/>
  <c r="C64" i="1" s="1"/>
  <c r="D64" i="1" s="1"/>
  <c r="I63" i="2"/>
  <c r="C63" i="1" s="1"/>
  <c r="D63" i="1" s="1"/>
  <c r="I61" i="2"/>
  <c r="C61" i="1" s="1"/>
  <c r="D61" i="1" s="1"/>
  <c r="I60" i="2"/>
  <c r="C60" i="1" s="1"/>
  <c r="D60" i="1" s="1"/>
  <c r="I59" i="2"/>
  <c r="C59" i="1" s="1"/>
  <c r="D59" i="1" s="1"/>
  <c r="I58" i="2"/>
  <c r="C58" i="1" s="1"/>
  <c r="D58" i="1" s="1"/>
  <c r="I56" i="2"/>
  <c r="C56" i="1" s="1"/>
  <c r="D56" i="1" s="1"/>
  <c r="I55" i="2"/>
  <c r="C55" i="1" s="1"/>
  <c r="D55" i="1" s="1"/>
  <c r="C54" i="1"/>
  <c r="D54" i="1" s="1"/>
  <c r="I53" i="2"/>
  <c r="C53" i="1" s="1"/>
  <c r="D53" i="1" s="1"/>
  <c r="I52" i="2"/>
  <c r="C52" i="1" s="1"/>
  <c r="D52" i="1" s="1"/>
  <c r="I51" i="2"/>
  <c r="C51" i="1" s="1"/>
  <c r="D51" i="1" s="1"/>
  <c r="I50" i="2"/>
  <c r="C50" i="1" s="1"/>
  <c r="D50" i="1" s="1"/>
  <c r="I48" i="2"/>
  <c r="C48" i="1" s="1"/>
  <c r="D48" i="1" s="1"/>
  <c r="I47" i="2"/>
  <c r="C47" i="1" s="1"/>
  <c r="D47" i="1" s="1"/>
  <c r="I46" i="2"/>
  <c r="C46" i="1" s="1"/>
  <c r="D46" i="1" s="1"/>
  <c r="I45" i="2"/>
  <c r="C45" i="1" s="1"/>
  <c r="D45" i="1" s="1"/>
  <c r="I44" i="2"/>
  <c r="C44" i="1" s="1"/>
  <c r="D44" i="1" s="1"/>
  <c r="I43" i="2"/>
  <c r="C43" i="1" s="1"/>
  <c r="D43" i="1" s="1"/>
  <c r="I42" i="2"/>
  <c r="C42" i="1" s="1"/>
  <c r="D42" i="1" s="1"/>
  <c r="I41" i="2"/>
  <c r="C41" i="1" s="1"/>
  <c r="D41" i="1" s="1"/>
  <c r="I40" i="2"/>
  <c r="C40" i="1" s="1"/>
  <c r="D40" i="1" s="1"/>
  <c r="I39" i="2"/>
  <c r="C39" i="1" s="1"/>
  <c r="D39" i="1" s="1"/>
  <c r="I38" i="2"/>
  <c r="C38" i="1" s="1"/>
  <c r="D38" i="1" s="1"/>
  <c r="I37" i="2"/>
  <c r="C37" i="1" s="1"/>
  <c r="D37" i="1" s="1"/>
  <c r="I36" i="2"/>
  <c r="I34" i="2"/>
  <c r="C34" i="1" s="1"/>
  <c r="D34" i="1" s="1"/>
  <c r="I33" i="2"/>
  <c r="C33" i="1" s="1"/>
  <c r="D33" i="1" s="1"/>
  <c r="I32" i="2"/>
  <c r="C32" i="1" s="1"/>
  <c r="D32" i="1" s="1"/>
  <c r="I31" i="2"/>
  <c r="C31" i="1" s="1"/>
  <c r="D31" i="1" s="1"/>
  <c r="I30" i="2"/>
  <c r="C30" i="1" s="1"/>
  <c r="D30" i="1" s="1"/>
  <c r="I29" i="2"/>
  <c r="C29" i="1" s="1"/>
  <c r="D29" i="1" s="1"/>
  <c r="I28" i="2"/>
  <c r="C28" i="1" s="1"/>
  <c r="D28" i="1" s="1"/>
  <c r="I27" i="2"/>
  <c r="C27" i="1" s="1"/>
  <c r="D27" i="1" s="1"/>
  <c r="I26" i="2"/>
  <c r="C26" i="1" s="1"/>
  <c r="D26" i="1" s="1"/>
  <c r="I25" i="2"/>
  <c r="C25" i="1" s="1"/>
  <c r="D25" i="1" s="1"/>
  <c r="I24" i="2"/>
  <c r="C24" i="1" s="1"/>
  <c r="D24" i="1" s="1"/>
  <c r="I23" i="2"/>
  <c r="C23" i="1" s="1"/>
  <c r="D23" i="1" s="1"/>
  <c r="I22" i="2"/>
  <c r="C22" i="1" s="1"/>
  <c r="D22" i="1" s="1"/>
  <c r="I21" i="2"/>
  <c r="C21" i="1" s="1"/>
  <c r="D21" i="1" s="1"/>
  <c r="I19" i="2"/>
  <c r="C19" i="1" s="1"/>
  <c r="D19" i="1" s="1"/>
  <c r="I18" i="2"/>
  <c r="C18" i="1" s="1"/>
  <c r="D18" i="1" s="1"/>
  <c r="I17" i="2"/>
  <c r="C17" i="1" s="1"/>
  <c r="D17" i="1" s="1"/>
  <c r="I12" i="2"/>
  <c r="C12" i="1" s="1"/>
  <c r="D12" i="1" s="1"/>
  <c r="I11" i="2"/>
  <c r="C11" i="1" s="1"/>
  <c r="D11" i="1" s="1"/>
  <c r="I9" i="2"/>
  <c r="C9" i="1" s="1"/>
  <c r="D9" i="1" s="1"/>
  <c r="I8" i="2"/>
  <c r="C8" i="1" s="1"/>
  <c r="D8" i="1" s="1"/>
  <c r="I6" i="2"/>
  <c r="C6" i="1" s="1"/>
  <c r="D6" i="1" s="1"/>
  <c r="I4" i="2"/>
  <c r="C4" i="1" s="1"/>
  <c r="D4" i="1" s="1"/>
  <c r="I3" i="2"/>
  <c r="C3" i="1" s="1"/>
  <c r="D3" i="1" s="1"/>
  <c r="G819" i="1"/>
  <c r="H819" i="1" s="1"/>
  <c r="G818" i="1"/>
  <c r="H818" i="1" s="1"/>
  <c r="G817" i="1"/>
  <c r="H817" i="1" s="1"/>
  <c r="G816" i="1"/>
  <c r="H816" i="1" s="1"/>
  <c r="G815" i="1"/>
  <c r="H815" i="1" s="1"/>
  <c r="D815" i="1"/>
  <c r="G814" i="1"/>
  <c r="H814" i="1" s="1"/>
  <c r="C814" i="1"/>
  <c r="D814" i="1" s="1"/>
  <c r="G813" i="1"/>
  <c r="H813" i="1" s="1"/>
  <c r="E813" i="1"/>
  <c r="F813" i="1" s="1"/>
  <c r="G812" i="1"/>
  <c r="H812" i="1" s="1"/>
  <c r="E812" i="1"/>
  <c r="F812" i="1" s="1"/>
  <c r="G810" i="1"/>
  <c r="H810" i="1" s="1"/>
  <c r="H809" i="1"/>
  <c r="G808" i="1"/>
  <c r="H808" i="1" s="1"/>
  <c r="E808" i="1"/>
  <c r="F808" i="1" s="1"/>
  <c r="G799" i="1"/>
  <c r="H799" i="1" s="1"/>
  <c r="E799" i="1"/>
  <c r="F799" i="1" s="1"/>
  <c r="G798" i="1"/>
  <c r="H798" i="1" s="1"/>
  <c r="C798" i="1"/>
  <c r="D798" i="1" s="1"/>
  <c r="G797" i="1"/>
  <c r="H797" i="1" s="1"/>
  <c r="E797" i="1"/>
  <c r="F797" i="1" s="1"/>
  <c r="G796" i="1"/>
  <c r="H796" i="1" s="1"/>
  <c r="C796" i="1"/>
  <c r="D796" i="1" s="1"/>
  <c r="G795" i="1"/>
  <c r="H795" i="1" s="1"/>
  <c r="C795" i="1"/>
  <c r="D795" i="1" s="1"/>
  <c r="G794" i="1"/>
  <c r="H794" i="1" s="1"/>
  <c r="E794" i="1"/>
  <c r="F794" i="1" s="1"/>
  <c r="G793" i="1"/>
  <c r="H793" i="1" s="1"/>
  <c r="E793" i="1"/>
  <c r="F793" i="1" s="1"/>
  <c r="G791" i="1"/>
  <c r="H791" i="1" s="1"/>
  <c r="C791" i="1"/>
  <c r="D791" i="1" s="1"/>
  <c r="G790" i="1"/>
  <c r="H790" i="1" s="1"/>
  <c r="C790" i="1"/>
  <c r="D790" i="1" s="1"/>
  <c r="G789" i="1"/>
  <c r="H789" i="1" s="1"/>
  <c r="E789" i="1"/>
  <c r="F789" i="1" s="1"/>
  <c r="G787" i="1"/>
  <c r="H787" i="1" s="1"/>
  <c r="G785" i="1"/>
  <c r="H785" i="1" s="1"/>
  <c r="G784" i="1"/>
  <c r="H784" i="1" s="1"/>
  <c r="G783" i="1"/>
  <c r="H783" i="1" s="1"/>
  <c r="E783" i="1"/>
  <c r="F783" i="1" s="1"/>
  <c r="G782" i="1"/>
  <c r="H782" i="1" s="1"/>
  <c r="G781" i="1"/>
  <c r="H781" i="1" s="1"/>
  <c r="G780" i="1"/>
  <c r="H780" i="1" s="1"/>
  <c r="G779" i="1"/>
  <c r="H779" i="1" s="1"/>
  <c r="G706" i="1"/>
  <c r="H706" i="1" s="1"/>
  <c r="E706" i="1"/>
  <c r="F706" i="1" s="1"/>
  <c r="C706" i="1"/>
  <c r="D706" i="1" s="1"/>
  <c r="G703" i="1"/>
  <c r="H703" i="1" s="1"/>
  <c r="E703" i="1"/>
  <c r="F703" i="1" s="1"/>
  <c r="G702" i="1"/>
  <c r="H702" i="1" s="1"/>
  <c r="E702" i="1"/>
  <c r="F702" i="1" s="1"/>
  <c r="G701" i="1"/>
  <c r="H701" i="1" s="1"/>
  <c r="E701" i="1"/>
  <c r="F701" i="1" s="1"/>
  <c r="G700" i="1"/>
  <c r="H700" i="1" s="1"/>
  <c r="E700" i="1"/>
  <c r="F700" i="1" s="1"/>
  <c r="G699" i="1"/>
  <c r="H699" i="1" s="1"/>
  <c r="E699" i="1"/>
  <c r="F699" i="1" s="1"/>
  <c r="G698" i="1"/>
  <c r="H698" i="1" s="1"/>
  <c r="E698" i="1"/>
  <c r="F698" i="1" s="1"/>
  <c r="G696" i="1"/>
  <c r="H696" i="1" s="1"/>
  <c r="E696" i="1"/>
  <c r="F696" i="1" s="1"/>
  <c r="G693" i="1"/>
  <c r="H693" i="1" s="1"/>
  <c r="D693" i="1"/>
  <c r="G691" i="1"/>
  <c r="H691" i="1" s="1"/>
  <c r="G689" i="1"/>
  <c r="H689" i="1" s="1"/>
  <c r="G688" i="1"/>
  <c r="H688" i="1" s="1"/>
  <c r="G687" i="1"/>
  <c r="H687" i="1" s="1"/>
  <c r="G686" i="1"/>
  <c r="H686" i="1" s="1"/>
  <c r="G685" i="1"/>
  <c r="H685" i="1" s="1"/>
  <c r="F685" i="1"/>
  <c r="G684" i="1"/>
  <c r="H684" i="1" s="1"/>
  <c r="C684" i="1"/>
  <c r="D684" i="1" s="1"/>
  <c r="G683" i="1"/>
  <c r="H683" i="1" s="1"/>
  <c r="G682" i="1"/>
  <c r="H682" i="1" s="1"/>
  <c r="E682" i="1"/>
  <c r="F682" i="1" s="1"/>
  <c r="G681" i="1"/>
  <c r="H681" i="1" s="1"/>
  <c r="G680" i="1"/>
  <c r="H680" i="1" s="1"/>
  <c r="G679" i="1"/>
  <c r="H679" i="1" s="1"/>
  <c r="E679" i="1"/>
  <c r="F679" i="1" s="1"/>
  <c r="G678" i="1"/>
  <c r="H678" i="1" s="1"/>
  <c r="C678" i="1"/>
  <c r="D678" i="1" s="1"/>
  <c r="G677" i="1"/>
  <c r="H677" i="1" s="1"/>
  <c r="G676" i="1"/>
  <c r="H676" i="1" s="1"/>
  <c r="G675" i="1"/>
  <c r="H675" i="1" s="1"/>
  <c r="G674" i="1"/>
  <c r="H674" i="1" s="1"/>
  <c r="G644" i="1"/>
  <c r="H644" i="1" s="1"/>
  <c r="C644" i="1"/>
  <c r="D644" i="1" s="1"/>
  <c r="G643" i="1"/>
  <c r="H643" i="1" s="1"/>
  <c r="G642" i="1"/>
  <c r="H642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C635" i="1"/>
  <c r="D635" i="1" s="1"/>
  <c r="G634" i="1"/>
  <c r="H634" i="1" s="1"/>
  <c r="C634" i="1"/>
  <c r="D634" i="1" s="1"/>
  <c r="G633" i="1"/>
  <c r="H633" i="1" s="1"/>
  <c r="G632" i="1"/>
  <c r="H632" i="1" s="1"/>
  <c r="C632" i="1"/>
  <c r="D632" i="1" s="1"/>
  <c r="G631" i="1"/>
  <c r="H631" i="1" s="1"/>
  <c r="G630" i="1"/>
  <c r="H630" i="1" s="1"/>
  <c r="G629" i="1"/>
  <c r="H629" i="1" s="1"/>
  <c r="G628" i="1"/>
  <c r="H628" i="1" s="1"/>
  <c r="G627" i="1"/>
  <c r="H627" i="1" s="1"/>
  <c r="C627" i="1"/>
  <c r="D627" i="1" s="1"/>
  <c r="G626" i="1"/>
  <c r="H626" i="1" s="1"/>
  <c r="D626" i="1"/>
  <c r="G625" i="1"/>
  <c r="H625" i="1" s="1"/>
  <c r="C625" i="1"/>
  <c r="D625" i="1" s="1"/>
  <c r="G624" i="1"/>
  <c r="H624" i="1" s="1"/>
  <c r="G623" i="1"/>
  <c r="H623" i="1" s="1"/>
  <c r="G622" i="1"/>
  <c r="H622" i="1" s="1"/>
  <c r="G621" i="1"/>
  <c r="H621" i="1" s="1"/>
  <c r="G620" i="1"/>
  <c r="H620" i="1" s="1"/>
  <c r="C620" i="1"/>
  <c r="D620" i="1" s="1"/>
  <c r="G619" i="1"/>
  <c r="H619" i="1" s="1"/>
  <c r="C619" i="1"/>
  <c r="D619" i="1" s="1"/>
  <c r="G618" i="1"/>
  <c r="H618" i="1" s="1"/>
  <c r="C618" i="1"/>
  <c r="D618" i="1" s="1"/>
  <c r="G617" i="1"/>
  <c r="H617" i="1" s="1"/>
  <c r="C617" i="1"/>
  <c r="D617" i="1" s="1"/>
  <c r="G616" i="1"/>
  <c r="H616" i="1" s="1"/>
  <c r="G615" i="1"/>
  <c r="H615" i="1" s="1"/>
  <c r="E615" i="1"/>
  <c r="F615" i="1" s="1"/>
  <c r="H614" i="1"/>
  <c r="G613" i="1"/>
  <c r="H613" i="1" s="1"/>
  <c r="C613" i="1"/>
  <c r="D613" i="1" s="1"/>
  <c r="G612" i="1"/>
  <c r="H612" i="1" s="1"/>
  <c r="E612" i="1"/>
  <c r="F612" i="1" s="1"/>
  <c r="G611" i="1"/>
  <c r="H611" i="1" s="1"/>
  <c r="E611" i="1"/>
  <c r="F611" i="1" s="1"/>
  <c r="G610" i="1"/>
  <c r="H610" i="1" s="1"/>
  <c r="C610" i="1"/>
  <c r="D610" i="1" s="1"/>
  <c r="G609" i="1"/>
  <c r="H609" i="1" s="1"/>
  <c r="G608" i="1"/>
  <c r="H608" i="1" s="1"/>
  <c r="C608" i="1"/>
  <c r="D608" i="1" s="1"/>
  <c r="G607" i="1"/>
  <c r="H607" i="1" s="1"/>
  <c r="C607" i="1"/>
  <c r="D607" i="1" s="1"/>
  <c r="G606" i="1"/>
  <c r="H606" i="1" s="1"/>
  <c r="C606" i="1"/>
  <c r="D606" i="1" s="1"/>
  <c r="G605" i="1"/>
  <c r="H605" i="1" s="1"/>
  <c r="C605" i="1"/>
  <c r="D605" i="1" s="1"/>
  <c r="G604" i="1"/>
  <c r="H604" i="1" s="1"/>
  <c r="C604" i="1"/>
  <c r="D604" i="1" s="1"/>
  <c r="G603" i="1"/>
  <c r="H603" i="1" s="1"/>
  <c r="G602" i="1"/>
  <c r="H602" i="1" s="1"/>
  <c r="G601" i="1"/>
  <c r="H601" i="1" s="1"/>
  <c r="G600" i="1"/>
  <c r="H600" i="1" s="1"/>
  <c r="G599" i="1"/>
  <c r="H599" i="1" s="1"/>
  <c r="E599" i="1"/>
  <c r="F599" i="1" s="1"/>
  <c r="G595" i="1"/>
  <c r="H595" i="1" s="1"/>
  <c r="C595" i="1"/>
  <c r="D595" i="1" s="1"/>
  <c r="G594" i="1"/>
  <c r="H594" i="1" s="1"/>
  <c r="C594" i="1"/>
  <c r="D594" i="1" s="1"/>
  <c r="G593" i="1"/>
  <c r="H593" i="1" s="1"/>
  <c r="C593" i="1"/>
  <c r="D593" i="1" s="1"/>
  <c r="G591" i="1"/>
  <c r="H591" i="1" s="1"/>
  <c r="E591" i="1"/>
  <c r="F591" i="1" s="1"/>
  <c r="G588" i="1"/>
  <c r="H588" i="1" s="1"/>
  <c r="C588" i="1"/>
  <c r="D588" i="1" s="1"/>
  <c r="G587" i="1"/>
  <c r="H587" i="1" s="1"/>
  <c r="G584" i="1"/>
  <c r="H584" i="1" s="1"/>
  <c r="E584" i="1"/>
  <c r="F584" i="1" s="1"/>
  <c r="G583" i="1"/>
  <c r="H583" i="1" s="1"/>
  <c r="C583" i="1"/>
  <c r="D583" i="1" s="1"/>
  <c r="G582" i="1"/>
  <c r="H582" i="1" s="1"/>
  <c r="C582" i="1"/>
  <c r="D582" i="1" s="1"/>
  <c r="G580" i="1"/>
  <c r="H580" i="1" s="1"/>
  <c r="E580" i="1"/>
  <c r="F580" i="1" s="1"/>
  <c r="G579" i="1"/>
  <c r="H579" i="1" s="1"/>
  <c r="C579" i="1"/>
  <c r="D579" i="1" s="1"/>
  <c r="G578" i="1"/>
  <c r="H578" i="1" s="1"/>
  <c r="E578" i="1"/>
  <c r="F578" i="1" s="1"/>
  <c r="G576" i="1"/>
  <c r="H576" i="1" s="1"/>
  <c r="C576" i="1"/>
  <c r="D576" i="1" s="1"/>
  <c r="G575" i="1"/>
  <c r="H575" i="1" s="1"/>
  <c r="E575" i="1"/>
  <c r="F575" i="1" s="1"/>
  <c r="G574" i="1"/>
  <c r="H574" i="1" s="1"/>
  <c r="E574" i="1"/>
  <c r="F574" i="1" s="1"/>
  <c r="G572" i="1"/>
  <c r="H572" i="1" s="1"/>
  <c r="C572" i="1"/>
  <c r="D572" i="1" s="1"/>
  <c r="H571" i="1"/>
  <c r="G570" i="1"/>
  <c r="H570" i="1" s="1"/>
  <c r="C570" i="1"/>
  <c r="D570" i="1" s="1"/>
  <c r="G569" i="1"/>
  <c r="H569" i="1" s="1"/>
  <c r="G567" i="1"/>
  <c r="H567" i="1" s="1"/>
  <c r="E567" i="1"/>
  <c r="F567" i="1" s="1"/>
  <c r="G564" i="1"/>
  <c r="H564" i="1" s="1"/>
  <c r="D564" i="1"/>
  <c r="G563" i="1"/>
  <c r="H563" i="1" s="1"/>
  <c r="D563" i="1"/>
  <c r="G561" i="1"/>
  <c r="H561" i="1" s="1"/>
  <c r="C561" i="1"/>
  <c r="D561" i="1" s="1"/>
  <c r="G559" i="1"/>
  <c r="H559" i="1" s="1"/>
  <c r="G557" i="1"/>
  <c r="H557" i="1" s="1"/>
  <c r="C557" i="1"/>
  <c r="D557" i="1" s="1"/>
  <c r="G556" i="1"/>
  <c r="H556" i="1" s="1"/>
  <c r="G555" i="1"/>
  <c r="H555" i="1" s="1"/>
  <c r="C555" i="1"/>
  <c r="D555" i="1" s="1"/>
  <c r="G554" i="1"/>
  <c r="H554" i="1" s="1"/>
  <c r="C554" i="1"/>
  <c r="D554" i="1" s="1"/>
  <c r="G553" i="1"/>
  <c r="H553" i="1" s="1"/>
  <c r="G552" i="1"/>
  <c r="H552" i="1" s="1"/>
  <c r="G551" i="1"/>
  <c r="H551" i="1" s="1"/>
  <c r="C551" i="1"/>
  <c r="D551" i="1" s="1"/>
  <c r="G550" i="1"/>
  <c r="H550" i="1" s="1"/>
  <c r="C550" i="1"/>
  <c r="D550" i="1" s="1"/>
  <c r="G549" i="1"/>
  <c r="H549" i="1" s="1"/>
  <c r="C549" i="1"/>
  <c r="D549" i="1" s="1"/>
  <c r="G547" i="1"/>
  <c r="H547" i="1" s="1"/>
  <c r="C547" i="1"/>
  <c r="D547" i="1" s="1"/>
  <c r="G546" i="1"/>
  <c r="H546" i="1" s="1"/>
  <c r="C546" i="1"/>
  <c r="D546" i="1" s="1"/>
  <c r="G545" i="1"/>
  <c r="H545" i="1" s="1"/>
  <c r="C545" i="1"/>
  <c r="D545" i="1" s="1"/>
  <c r="G543" i="1"/>
  <c r="H543" i="1" s="1"/>
  <c r="G542" i="1"/>
  <c r="H542" i="1" s="1"/>
  <c r="G541" i="1"/>
  <c r="H541" i="1" s="1"/>
  <c r="C541" i="1"/>
  <c r="D541" i="1" s="1"/>
  <c r="G540" i="1"/>
  <c r="H540" i="1" s="1"/>
  <c r="C540" i="1"/>
  <c r="D540" i="1" s="1"/>
  <c r="G536" i="1"/>
  <c r="H536" i="1" s="1"/>
  <c r="C536" i="1"/>
  <c r="D536" i="1" s="1"/>
  <c r="G535" i="1"/>
  <c r="H535" i="1" s="1"/>
  <c r="D535" i="1"/>
  <c r="H534" i="1"/>
  <c r="D534" i="1"/>
  <c r="G308" i="1"/>
  <c r="H308" i="1" s="1"/>
  <c r="E308" i="1"/>
  <c r="F308" i="1" s="1"/>
  <c r="G307" i="1"/>
  <c r="H307" i="1" s="1"/>
  <c r="E307" i="1"/>
  <c r="F307" i="1" s="1"/>
  <c r="H243" i="1"/>
  <c r="F243" i="1"/>
  <c r="G242" i="1"/>
  <c r="H242" i="1" s="1"/>
  <c r="C242" i="1"/>
  <c r="D242" i="1" s="1"/>
  <c r="H241" i="1"/>
  <c r="D241" i="1"/>
  <c r="G240" i="1"/>
  <c r="H240" i="1" s="1"/>
  <c r="C240" i="1"/>
  <c r="D240" i="1" s="1"/>
  <c r="H239" i="1"/>
  <c r="D239" i="1"/>
  <c r="H238" i="1"/>
  <c r="G237" i="1"/>
  <c r="H237" i="1" s="1"/>
  <c r="G236" i="1"/>
  <c r="H236" i="1" s="1"/>
  <c r="E236" i="1"/>
  <c r="F236" i="1" s="1"/>
  <c r="G235" i="1"/>
  <c r="H235" i="1" s="1"/>
  <c r="G234" i="1"/>
  <c r="H234" i="1" s="1"/>
  <c r="G233" i="1"/>
  <c r="H233" i="1" s="1"/>
  <c r="G232" i="1"/>
  <c r="H232" i="1" s="1"/>
  <c r="G230" i="1"/>
  <c r="H230" i="1" s="1"/>
  <c r="G229" i="1"/>
  <c r="H229" i="1" s="1"/>
  <c r="G228" i="1"/>
  <c r="H228" i="1" s="1"/>
  <c r="G227" i="1"/>
  <c r="H227" i="1" s="1"/>
  <c r="G226" i="1"/>
  <c r="H226" i="1" s="1"/>
  <c r="C226" i="1"/>
  <c r="D226" i="1" s="1"/>
  <c r="G225" i="1"/>
  <c r="H225" i="1" s="1"/>
  <c r="H224" i="1"/>
  <c r="D224" i="1"/>
  <c r="G223" i="1"/>
  <c r="H223" i="1" s="1"/>
  <c r="E223" i="1"/>
  <c r="F223" i="1" s="1"/>
  <c r="C223" i="1"/>
  <c r="D223" i="1" s="1"/>
  <c r="G222" i="1"/>
  <c r="H222" i="1" s="1"/>
  <c r="E222" i="1"/>
  <c r="F222" i="1" s="1"/>
  <c r="G221" i="1"/>
  <c r="H221" i="1" s="1"/>
  <c r="F221" i="1"/>
  <c r="H216" i="1"/>
  <c r="F216" i="1"/>
  <c r="H215" i="1"/>
  <c r="F215" i="1"/>
  <c r="G213" i="1"/>
  <c r="H213" i="1" s="1"/>
  <c r="E213" i="1"/>
  <c r="F213" i="1" s="1"/>
  <c r="G212" i="1"/>
  <c r="H212" i="1" s="1"/>
  <c r="E212" i="1"/>
  <c r="F212" i="1" s="1"/>
  <c r="G210" i="1"/>
  <c r="H210" i="1" s="1"/>
  <c r="E210" i="1"/>
  <c r="F210" i="1" s="1"/>
  <c r="G209" i="1"/>
  <c r="H209" i="1" s="1"/>
  <c r="E209" i="1"/>
  <c r="F209" i="1" s="1"/>
  <c r="C209" i="1"/>
  <c r="D209" i="1" s="1"/>
  <c r="G208" i="1"/>
  <c r="H208" i="1" s="1"/>
  <c r="E208" i="1"/>
  <c r="F208" i="1" s="1"/>
  <c r="G207" i="1"/>
  <c r="H207" i="1" s="1"/>
  <c r="E207" i="1"/>
  <c r="F207" i="1" s="1"/>
  <c r="G206" i="1"/>
  <c r="H206" i="1" s="1"/>
  <c r="E206" i="1"/>
  <c r="F206" i="1" s="1"/>
  <c r="G205" i="1"/>
  <c r="H205" i="1" s="1"/>
  <c r="E205" i="1"/>
  <c r="F205" i="1" s="1"/>
  <c r="G204" i="1"/>
  <c r="H204" i="1" s="1"/>
  <c r="C204" i="1"/>
  <c r="D204" i="1" s="1"/>
  <c r="G203" i="1"/>
  <c r="H203" i="1" s="1"/>
  <c r="C203" i="1"/>
  <c r="D203" i="1" s="1"/>
  <c r="G202" i="1"/>
  <c r="H202" i="1" s="1"/>
  <c r="C202" i="1"/>
  <c r="D202" i="1" s="1"/>
  <c r="G201" i="1"/>
  <c r="H201" i="1" s="1"/>
  <c r="C201" i="1"/>
  <c r="D201" i="1" s="1"/>
  <c r="G200" i="1"/>
  <c r="H200" i="1" s="1"/>
  <c r="C200" i="1"/>
  <c r="D200" i="1" s="1"/>
  <c r="G199" i="1"/>
  <c r="H199" i="1" s="1"/>
  <c r="E199" i="1"/>
  <c r="F199" i="1" s="1"/>
  <c r="G198" i="1"/>
  <c r="H198" i="1" s="1"/>
  <c r="E198" i="1"/>
  <c r="F198" i="1" s="1"/>
  <c r="G197" i="1"/>
  <c r="H197" i="1" s="1"/>
  <c r="E197" i="1"/>
  <c r="F197" i="1" s="1"/>
  <c r="G185" i="1"/>
  <c r="H185" i="1" s="1"/>
  <c r="E185" i="1"/>
  <c r="F185" i="1" s="1"/>
  <c r="G183" i="1"/>
  <c r="H183" i="1" s="1"/>
  <c r="E183" i="1"/>
  <c r="F183" i="1" s="1"/>
  <c r="G182" i="1"/>
  <c r="H182" i="1" s="1"/>
  <c r="E182" i="1"/>
  <c r="F182" i="1" s="1"/>
  <c r="C182" i="1"/>
  <c r="D182" i="1" s="1"/>
  <c r="G181" i="1"/>
  <c r="H181" i="1" s="1"/>
  <c r="E181" i="1"/>
  <c r="F181" i="1" s="1"/>
  <c r="G180" i="1"/>
  <c r="H180" i="1" s="1"/>
  <c r="E180" i="1"/>
  <c r="F180" i="1" s="1"/>
  <c r="G179" i="1"/>
  <c r="H179" i="1" s="1"/>
  <c r="E179" i="1"/>
  <c r="F179" i="1" s="1"/>
  <c r="C179" i="1"/>
  <c r="D179" i="1" s="1"/>
  <c r="G178" i="1"/>
  <c r="H178" i="1" s="1"/>
  <c r="E178" i="1"/>
  <c r="F178" i="1" s="1"/>
  <c r="G177" i="1"/>
  <c r="H177" i="1" s="1"/>
  <c r="E177" i="1"/>
  <c r="F177" i="1" s="1"/>
  <c r="G176" i="1"/>
  <c r="H176" i="1" s="1"/>
  <c r="E176" i="1"/>
  <c r="F176" i="1" s="1"/>
  <c r="G175" i="1"/>
  <c r="H175" i="1" s="1"/>
  <c r="C175" i="1"/>
  <c r="D175" i="1" s="1"/>
  <c r="G174" i="1"/>
  <c r="H174" i="1" s="1"/>
  <c r="C174" i="1"/>
  <c r="D174" i="1" s="1"/>
  <c r="G173" i="1"/>
  <c r="H173" i="1" s="1"/>
  <c r="C173" i="1"/>
  <c r="D173" i="1" s="1"/>
  <c r="G172" i="1"/>
  <c r="H172" i="1" s="1"/>
  <c r="C172" i="1"/>
  <c r="D172" i="1" s="1"/>
  <c r="G171" i="1"/>
  <c r="H171" i="1" s="1"/>
  <c r="E171" i="1"/>
  <c r="F171" i="1" s="1"/>
  <c r="G170" i="1"/>
  <c r="H170" i="1" s="1"/>
  <c r="G169" i="1"/>
  <c r="H169" i="1" s="1"/>
  <c r="E169" i="1"/>
  <c r="F169" i="1" s="1"/>
  <c r="C169" i="1"/>
  <c r="D169" i="1" s="1"/>
  <c r="E168" i="1"/>
  <c r="G168" i="1" s="1"/>
  <c r="H168" i="1" s="1"/>
  <c r="E166" i="1"/>
  <c r="G166" i="1" s="1"/>
  <c r="H166" i="1" s="1"/>
  <c r="E165" i="1"/>
  <c r="G165" i="1" s="1"/>
  <c r="H165" i="1" s="1"/>
  <c r="E164" i="1"/>
  <c r="G164" i="1" s="1"/>
  <c r="H164" i="1" s="1"/>
  <c r="E163" i="1"/>
  <c r="G163" i="1" s="1"/>
  <c r="H163" i="1" s="1"/>
  <c r="E162" i="1"/>
  <c r="G162" i="1" s="1"/>
  <c r="H162" i="1" s="1"/>
  <c r="E160" i="1"/>
  <c r="G160" i="1" s="1"/>
  <c r="H160" i="1" s="1"/>
  <c r="E156" i="1"/>
  <c r="G156" i="1" s="1"/>
  <c r="H156" i="1" s="1"/>
  <c r="E155" i="1"/>
  <c r="G155" i="1" s="1"/>
  <c r="H155" i="1" s="1"/>
  <c r="E154" i="1"/>
  <c r="G154" i="1" s="1"/>
  <c r="H154" i="1" s="1"/>
  <c r="E152" i="1"/>
  <c r="G152" i="1" s="1"/>
  <c r="H152" i="1" s="1"/>
  <c r="E151" i="1"/>
  <c r="G151" i="1" s="1"/>
  <c r="H151" i="1" s="1"/>
  <c r="E149" i="1"/>
  <c r="G149" i="1" s="1"/>
  <c r="H149" i="1" s="1"/>
  <c r="E148" i="1"/>
  <c r="G148" i="1" s="1"/>
  <c r="H148" i="1" s="1"/>
  <c r="E146" i="1"/>
  <c r="G146" i="1" s="1"/>
  <c r="H146" i="1" s="1"/>
  <c r="E145" i="1"/>
  <c r="G145" i="1" s="1"/>
  <c r="H145" i="1" s="1"/>
  <c r="E144" i="1"/>
  <c r="G144" i="1" s="1"/>
  <c r="H144" i="1" s="1"/>
  <c r="G136" i="1"/>
  <c r="H136" i="1" s="1"/>
  <c r="G135" i="1"/>
  <c r="H135" i="1" s="1"/>
  <c r="G133" i="1"/>
  <c r="H133" i="1" s="1"/>
  <c r="G129" i="1"/>
  <c r="H129" i="1" s="1"/>
  <c r="E129" i="1"/>
  <c r="F129" i="1" s="1"/>
  <c r="G128" i="1"/>
  <c r="H128" i="1" s="1"/>
  <c r="E128" i="1"/>
  <c r="F128" i="1" s="1"/>
  <c r="G127" i="1"/>
  <c r="H127" i="1" s="1"/>
  <c r="E127" i="1"/>
  <c r="F127" i="1" s="1"/>
  <c r="G126" i="1"/>
  <c r="H126" i="1" s="1"/>
  <c r="E126" i="1"/>
  <c r="F126" i="1" s="1"/>
  <c r="G125" i="1"/>
  <c r="H125" i="1" s="1"/>
  <c r="E125" i="1"/>
  <c r="F125" i="1" s="1"/>
  <c r="G124" i="1"/>
  <c r="H124" i="1" s="1"/>
  <c r="E124" i="1"/>
  <c r="F124" i="1" s="1"/>
  <c r="G123" i="1"/>
  <c r="H123" i="1" s="1"/>
  <c r="E123" i="1"/>
  <c r="F123" i="1" s="1"/>
  <c r="E121" i="1"/>
  <c r="E120" i="1"/>
  <c r="E119" i="1"/>
  <c r="E118" i="1"/>
  <c r="E117" i="1"/>
  <c r="E116" i="1"/>
  <c r="E115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2" i="1"/>
  <c r="E81" i="1"/>
  <c r="E80" i="1"/>
  <c r="E79" i="1"/>
  <c r="E78" i="1"/>
  <c r="E77" i="1"/>
  <c r="C77" i="1"/>
  <c r="D77" i="1" s="1"/>
  <c r="E76" i="1"/>
  <c r="E75" i="1"/>
  <c r="E74" i="1"/>
  <c r="E73" i="1"/>
  <c r="E72" i="1"/>
  <c r="E71" i="1"/>
  <c r="E69" i="1"/>
  <c r="E68" i="1"/>
  <c r="E67" i="1"/>
  <c r="E66" i="1"/>
  <c r="E65" i="1"/>
  <c r="E64" i="1"/>
  <c r="E63" i="1"/>
  <c r="E61" i="1"/>
  <c r="E60" i="1"/>
  <c r="E59" i="1"/>
  <c r="E58" i="1"/>
  <c r="E57" i="1"/>
  <c r="C57" i="1"/>
  <c r="D57" i="1" s="1"/>
  <c r="E56" i="1"/>
  <c r="E55" i="1"/>
  <c r="E54" i="1"/>
  <c r="E53" i="1"/>
  <c r="E52" i="1"/>
  <c r="E51" i="1"/>
  <c r="E50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G22" i="1" s="1"/>
  <c r="E21" i="1"/>
  <c r="E19" i="1"/>
  <c r="E18" i="1"/>
  <c r="E17" i="1"/>
  <c r="E12" i="1"/>
  <c r="E11" i="1"/>
  <c r="E9" i="1"/>
  <c r="E8" i="1"/>
  <c r="E6" i="1"/>
  <c r="E4" i="1"/>
  <c r="E3" i="1"/>
  <c r="C36" i="1" l="1"/>
  <c r="D36" i="1" s="1"/>
  <c r="H6" i="22"/>
  <c r="I6" i="22" s="1"/>
  <c r="N6" i="31"/>
  <c r="H15" i="22"/>
  <c r="I15" i="22" s="1"/>
  <c r="N15" i="31"/>
  <c r="H42" i="22"/>
  <c r="I42" i="22" s="1"/>
  <c r="N42" i="31"/>
  <c r="H51" i="22"/>
  <c r="I51" i="22" s="1"/>
  <c r="N51" i="31"/>
  <c r="H58" i="22"/>
  <c r="I58" i="22" s="1"/>
  <c r="N58" i="31"/>
  <c r="H67" i="22"/>
  <c r="I67" i="22" s="1"/>
  <c r="N67" i="31"/>
  <c r="H74" i="22"/>
  <c r="I74" i="22" s="1"/>
  <c r="N74" i="31"/>
  <c r="H45" i="22"/>
  <c r="I45" i="22" s="1"/>
  <c r="N45" i="31"/>
  <c r="H52" i="22"/>
  <c r="I52" i="22" s="1"/>
  <c r="N52" i="31"/>
  <c r="H59" i="22"/>
  <c r="I59" i="22" s="1"/>
  <c r="N59" i="31"/>
  <c r="H69" i="22"/>
  <c r="I69" i="22" s="1"/>
  <c r="N69" i="31"/>
  <c r="H23" i="22"/>
  <c r="I23" i="22" s="1"/>
  <c r="N23" i="31"/>
  <c r="H7" i="22"/>
  <c r="I7" i="22" s="1"/>
  <c r="N7" i="31"/>
  <c r="H30" i="22"/>
  <c r="I30" i="22" s="1"/>
  <c r="N30" i="31"/>
  <c r="H9" i="22"/>
  <c r="I9" i="22" s="1"/>
  <c r="N9" i="31"/>
  <c r="H17" i="22"/>
  <c r="I17" i="22" s="1"/>
  <c r="N17" i="31"/>
  <c r="H24" i="22"/>
  <c r="I24" i="22" s="1"/>
  <c r="N24" i="31"/>
  <c r="H32" i="22"/>
  <c r="I32" i="22" s="1"/>
  <c r="N32" i="31"/>
  <c r="H46" i="22"/>
  <c r="I46" i="22" s="1"/>
  <c r="N46" i="31"/>
  <c r="H53" i="22"/>
  <c r="I53" i="22" s="1"/>
  <c r="N53" i="31"/>
  <c r="H60" i="22"/>
  <c r="I60" i="22" s="1"/>
  <c r="N60" i="31"/>
  <c r="H70" i="22"/>
  <c r="I70" i="22" s="1"/>
  <c r="N70" i="31"/>
  <c r="H10" i="22"/>
  <c r="I10" i="22" s="1"/>
  <c r="N10" i="31"/>
  <c r="H18" i="22"/>
  <c r="I18" i="22" s="1"/>
  <c r="N18" i="31"/>
  <c r="H25" i="22"/>
  <c r="I25" i="22" s="1"/>
  <c r="N25" i="31"/>
  <c r="H33" i="22"/>
  <c r="I33" i="22" s="1"/>
  <c r="N33" i="31"/>
  <c r="H16" i="22"/>
  <c r="I16" i="22" s="1"/>
  <c r="N16" i="31"/>
  <c r="H47" i="22"/>
  <c r="I47" i="22" s="1"/>
  <c r="N47" i="31"/>
  <c r="H55" i="22"/>
  <c r="I55" i="22" s="1"/>
  <c r="N55" i="31"/>
  <c r="H63" i="22"/>
  <c r="I63" i="22" s="1"/>
  <c r="N63" i="31"/>
  <c r="H71" i="22"/>
  <c r="I71" i="22" s="1"/>
  <c r="N71" i="31"/>
  <c r="H35" i="22"/>
  <c r="I35" i="22" s="1"/>
  <c r="N35" i="31"/>
  <c r="H48" i="22"/>
  <c r="I48" i="22" s="1"/>
  <c r="N48" i="31"/>
  <c r="H56" i="22"/>
  <c r="I56" i="22" s="1"/>
  <c r="N56" i="31"/>
  <c r="H65" i="22"/>
  <c r="I65" i="22" s="1"/>
  <c r="N65" i="31"/>
  <c r="H72" i="22"/>
  <c r="I72" i="22" s="1"/>
  <c r="N72" i="31"/>
  <c r="E72" i="29"/>
  <c r="C72" i="29" s="1"/>
  <c r="E72" i="33"/>
  <c r="C72" i="33" s="1"/>
  <c r="E72" i="32"/>
  <c r="C72" i="32" s="1"/>
  <c r="E72" i="31"/>
  <c r="C72" i="31" s="1"/>
  <c r="I72" i="31" s="1"/>
  <c r="I72" i="20" s="1"/>
  <c r="H26" i="22"/>
  <c r="I26" i="22" s="1"/>
  <c r="N26" i="31"/>
  <c r="H13" i="22"/>
  <c r="I13" i="22" s="1"/>
  <c r="N13" i="31"/>
  <c r="H20" i="22"/>
  <c r="I20" i="22" s="1"/>
  <c r="N20" i="31"/>
  <c r="H27" i="22"/>
  <c r="I27" i="22" s="1"/>
  <c r="N27" i="31"/>
  <c r="E74" i="33"/>
  <c r="C74" i="33" s="1"/>
  <c r="E74" i="32"/>
  <c r="C74" i="32" s="1"/>
  <c r="E74" i="31"/>
  <c r="C74" i="31" s="1"/>
  <c r="I74" i="31" s="1"/>
  <c r="I74" i="20" s="1"/>
  <c r="E74" i="29"/>
  <c r="C74" i="29" s="1"/>
  <c r="H12" i="22"/>
  <c r="I12" i="22" s="1"/>
  <c r="N12" i="31"/>
  <c r="G59" i="28"/>
  <c r="E59" i="28" s="1"/>
  <c r="J59" i="19" s="1"/>
  <c r="E59" i="33"/>
  <c r="C59" i="33" s="1"/>
  <c r="E59" i="32"/>
  <c r="C59" i="32" s="1"/>
  <c r="E59" i="31"/>
  <c r="C59" i="31" s="1"/>
  <c r="E59" i="29"/>
  <c r="C59" i="29" s="1"/>
  <c r="H41" i="22"/>
  <c r="I41" i="22" s="1"/>
  <c r="N41" i="31"/>
  <c r="H50" i="22"/>
  <c r="I50" i="22" s="1"/>
  <c r="N50" i="31"/>
  <c r="H57" i="22"/>
  <c r="I57" i="22" s="1"/>
  <c r="N57" i="31"/>
  <c r="H66" i="22"/>
  <c r="I66" i="22" s="1"/>
  <c r="N66" i="31"/>
  <c r="H73" i="22"/>
  <c r="I73" i="22" s="1"/>
  <c r="N73" i="31"/>
  <c r="E73" i="33"/>
  <c r="C73" i="33" s="1"/>
  <c r="E73" i="32"/>
  <c r="C73" i="32" s="1"/>
  <c r="E73" i="31"/>
  <c r="C73" i="31" s="1"/>
  <c r="E73" i="29"/>
  <c r="C73" i="29" s="1"/>
  <c r="H19" i="22"/>
  <c r="I19" i="22" s="1"/>
  <c r="N19" i="31"/>
  <c r="H21" i="22"/>
  <c r="I21" i="22" s="1"/>
  <c r="N21" i="31"/>
  <c r="H28" i="22"/>
  <c r="I28" i="22" s="1"/>
  <c r="N28" i="31"/>
  <c r="E72" i="14"/>
  <c r="C72" i="14" s="1"/>
  <c r="G72" i="28"/>
  <c r="G74" i="28"/>
  <c r="G73" i="28"/>
  <c r="I21" i="23"/>
  <c r="E72" i="10"/>
  <c r="C72" i="10" s="1"/>
  <c r="E72" i="7"/>
  <c r="C72" i="7" s="1"/>
  <c r="I25" i="23"/>
  <c r="C325" i="1"/>
  <c r="D325" i="1" s="1"/>
  <c r="E325" i="1"/>
  <c r="F325" i="1" s="1"/>
  <c r="E72" i="17"/>
  <c r="C72" i="17" s="1"/>
  <c r="E73" i="14"/>
  <c r="C73" i="14" s="1"/>
  <c r="E72" i="6"/>
  <c r="C72" i="6" s="1"/>
  <c r="E73" i="6"/>
  <c r="C73" i="6" s="1"/>
  <c r="E73" i="10"/>
  <c r="C73" i="10" s="1"/>
  <c r="E73" i="8"/>
  <c r="C73" i="8" s="1"/>
  <c r="E73" i="18"/>
  <c r="C73" i="18" s="1"/>
  <c r="E73" i="17"/>
  <c r="C73" i="17" s="1"/>
  <c r="E74" i="18"/>
  <c r="C74" i="18" s="1"/>
  <c r="E72" i="8"/>
  <c r="C72" i="8" s="1"/>
  <c r="E72" i="18"/>
  <c r="C72" i="18" s="1"/>
  <c r="E72" i="9"/>
  <c r="C72" i="9" s="1"/>
  <c r="E73" i="7"/>
  <c r="C73" i="7" s="1"/>
  <c r="E74" i="9"/>
  <c r="C74" i="9" s="1"/>
  <c r="E74" i="17"/>
  <c r="C74" i="17" s="1"/>
  <c r="E74" i="8"/>
  <c r="C74" i="8" s="1"/>
  <c r="E74" i="7"/>
  <c r="C74" i="7" s="1"/>
  <c r="E73" i="9"/>
  <c r="C73" i="9" s="1"/>
  <c r="E74" i="10"/>
  <c r="C74" i="10" s="1"/>
  <c r="E74" i="14"/>
  <c r="C74" i="14" s="1"/>
  <c r="E74" i="6"/>
  <c r="C74" i="6" s="1"/>
  <c r="B13" i="8"/>
  <c r="B27" i="8"/>
  <c r="B48" i="8"/>
  <c r="B65" i="8"/>
  <c r="B72" i="8"/>
  <c r="B74" i="8"/>
  <c r="B9" i="10"/>
  <c r="B15" i="10"/>
  <c r="B17" i="10"/>
  <c r="B35" i="10"/>
  <c r="B69" i="8"/>
  <c r="B7" i="10"/>
  <c r="F7" i="22" s="1"/>
  <c r="G7" i="22" s="1"/>
  <c r="B10" i="10"/>
  <c r="B18" i="10"/>
  <c r="B20" i="10"/>
  <c r="B25" i="10"/>
  <c r="B33" i="10"/>
  <c r="B46" i="10"/>
  <c r="B53" i="10"/>
  <c r="B60" i="10"/>
  <c r="B67" i="10"/>
  <c r="F67" i="22" s="1"/>
  <c r="G67" i="22" s="1"/>
  <c r="B70" i="10"/>
  <c r="C243" i="1"/>
  <c r="D243" i="1" s="1"/>
  <c r="C300" i="3"/>
  <c r="G300" i="1" s="1"/>
  <c r="H300" i="1" s="1"/>
  <c r="C306" i="3"/>
  <c r="G306" i="1" s="1"/>
  <c r="H306" i="1" s="1"/>
  <c r="C305" i="3"/>
  <c r="G305" i="1" s="1"/>
  <c r="H305" i="1" s="1"/>
  <c r="C304" i="3"/>
  <c r="G304" i="1" s="1"/>
  <c r="H304" i="1" s="1"/>
  <c r="C303" i="3"/>
  <c r="G303" i="1" s="1"/>
  <c r="H303" i="1" s="1"/>
  <c r="C302" i="3"/>
  <c r="G302" i="1" s="1"/>
  <c r="H302" i="1" s="1"/>
  <c r="C301" i="3"/>
  <c r="G301" i="1" s="1"/>
  <c r="H301" i="1" s="1"/>
  <c r="E372" i="1"/>
  <c r="F372" i="1" s="1"/>
  <c r="G372" i="1"/>
  <c r="H372" i="1" s="1"/>
  <c r="C372" i="1"/>
  <c r="D372" i="1" s="1"/>
  <c r="E412" i="1"/>
  <c r="F412" i="1" s="1"/>
  <c r="G412" i="1"/>
  <c r="H412" i="1" s="1"/>
  <c r="C412" i="1"/>
  <c r="D412" i="1" s="1"/>
  <c r="G325" i="1"/>
  <c r="H325" i="1" s="1"/>
  <c r="C451" i="1"/>
  <c r="D451" i="1" s="1"/>
  <c r="G451" i="1"/>
  <c r="H451" i="1" s="1"/>
  <c r="G356" i="1"/>
  <c r="H356" i="1" s="1"/>
  <c r="C356" i="1"/>
  <c r="D356" i="1" s="1"/>
  <c r="C349" i="1"/>
  <c r="D349" i="1" s="1"/>
  <c r="G349" i="1"/>
  <c r="H349" i="1" s="1"/>
  <c r="C399" i="1"/>
  <c r="D399" i="1" s="1"/>
  <c r="E399" i="1"/>
  <c r="F399" i="1" s="1"/>
  <c r="G399" i="1"/>
  <c r="H399" i="1" s="1"/>
  <c r="C466" i="1"/>
  <c r="D466" i="1" s="1"/>
  <c r="G466" i="1"/>
  <c r="H466" i="1" s="1"/>
  <c r="F8" i="1"/>
  <c r="G8" i="1"/>
  <c r="H8" i="1" s="1"/>
  <c r="F43" i="1"/>
  <c r="G43" i="1"/>
  <c r="H43" i="1" s="1"/>
  <c r="F59" i="1"/>
  <c r="G59" i="1"/>
  <c r="H59" i="1" s="1"/>
  <c r="F101" i="1"/>
  <c r="G101" i="1"/>
  <c r="H101" i="1" s="1"/>
  <c r="F117" i="1"/>
  <c r="G117" i="1"/>
  <c r="H117" i="1" s="1"/>
  <c r="F102" i="1"/>
  <c r="G102" i="1"/>
  <c r="H102" i="1" s="1"/>
  <c r="F118" i="1"/>
  <c r="G118" i="1"/>
  <c r="H118" i="1" s="1"/>
  <c r="F11" i="1"/>
  <c r="G11" i="1"/>
  <c r="H11" i="1" s="1"/>
  <c r="F23" i="1"/>
  <c r="G23" i="1"/>
  <c r="H23" i="1" s="1"/>
  <c r="F31" i="1"/>
  <c r="G31" i="1"/>
  <c r="H31" i="1" s="1"/>
  <c r="F37" i="1"/>
  <c r="G37" i="1"/>
  <c r="H37" i="1" s="1"/>
  <c r="F45" i="1"/>
  <c r="G45" i="1"/>
  <c r="H45" i="1" s="1"/>
  <c r="F54" i="1"/>
  <c r="G54" i="1"/>
  <c r="H54" i="1" s="1"/>
  <c r="F61" i="1"/>
  <c r="G61" i="1"/>
  <c r="H61" i="1" s="1"/>
  <c r="F71" i="1"/>
  <c r="G71" i="1"/>
  <c r="H71" i="1" s="1"/>
  <c r="F77" i="1"/>
  <c r="G77" i="1"/>
  <c r="H77" i="1" s="1"/>
  <c r="F89" i="1"/>
  <c r="G89" i="1"/>
  <c r="H89" i="1" s="1"/>
  <c r="F96" i="1"/>
  <c r="G96" i="1"/>
  <c r="H96" i="1" s="1"/>
  <c r="F103" i="1"/>
  <c r="G103" i="1"/>
  <c r="H103" i="1" s="1"/>
  <c r="F110" i="1"/>
  <c r="G110" i="1"/>
  <c r="H110" i="1" s="1"/>
  <c r="F119" i="1"/>
  <c r="G119" i="1"/>
  <c r="H119" i="1" s="1"/>
  <c r="F9" i="1"/>
  <c r="G9" i="1"/>
  <c r="H9" i="1" s="1"/>
  <c r="F53" i="1"/>
  <c r="G53" i="1"/>
  <c r="H53" i="1" s="1"/>
  <c r="F24" i="1"/>
  <c r="G24" i="1"/>
  <c r="H24" i="1" s="1"/>
  <c r="F78" i="1"/>
  <c r="G78" i="1"/>
  <c r="H78" i="1" s="1"/>
  <c r="F90" i="1"/>
  <c r="G90" i="1"/>
  <c r="H90" i="1" s="1"/>
  <c r="F97" i="1"/>
  <c r="G97" i="1"/>
  <c r="H97" i="1" s="1"/>
  <c r="F104" i="1"/>
  <c r="G104" i="1"/>
  <c r="H104" i="1" s="1"/>
  <c r="F111" i="1"/>
  <c r="G111" i="1"/>
  <c r="H111" i="1" s="1"/>
  <c r="F120" i="1"/>
  <c r="G120" i="1"/>
  <c r="H120" i="1" s="1"/>
  <c r="F94" i="1"/>
  <c r="G94" i="1"/>
  <c r="H94" i="1" s="1"/>
  <c r="F36" i="1"/>
  <c r="G36" i="1"/>
  <c r="H36" i="1" s="1"/>
  <c r="F95" i="1"/>
  <c r="G95" i="1"/>
  <c r="H95" i="1" s="1"/>
  <c r="F32" i="1"/>
  <c r="G32" i="1"/>
  <c r="H32" i="1" s="1"/>
  <c r="F46" i="1"/>
  <c r="G46" i="1"/>
  <c r="H46" i="1" s="1"/>
  <c r="F55" i="1"/>
  <c r="G55" i="1"/>
  <c r="H55" i="1" s="1"/>
  <c r="F25" i="1"/>
  <c r="G25" i="1"/>
  <c r="H25" i="1" s="1"/>
  <c r="F33" i="1"/>
  <c r="G33" i="1"/>
  <c r="H33" i="1" s="1"/>
  <c r="F39" i="1"/>
  <c r="G39" i="1"/>
  <c r="H39" i="1" s="1"/>
  <c r="F47" i="1"/>
  <c r="G47" i="1"/>
  <c r="H47" i="1" s="1"/>
  <c r="F56" i="1"/>
  <c r="G56" i="1"/>
  <c r="H56" i="1" s="1"/>
  <c r="F64" i="1"/>
  <c r="G64" i="1"/>
  <c r="H64" i="1" s="1"/>
  <c r="F72" i="1"/>
  <c r="G72" i="1"/>
  <c r="H72" i="1" s="1"/>
  <c r="F79" i="1"/>
  <c r="G79" i="1"/>
  <c r="H79" i="1" s="1"/>
  <c r="F98" i="1"/>
  <c r="G98" i="1"/>
  <c r="H98" i="1" s="1"/>
  <c r="F105" i="1"/>
  <c r="G105" i="1"/>
  <c r="H105" i="1" s="1"/>
  <c r="F112" i="1"/>
  <c r="G112" i="1"/>
  <c r="H112" i="1" s="1"/>
  <c r="F121" i="1"/>
  <c r="G121" i="1"/>
  <c r="H121" i="1" s="1"/>
  <c r="F29" i="1"/>
  <c r="G29" i="1"/>
  <c r="H29" i="1" s="1"/>
  <c r="F76" i="1"/>
  <c r="G76" i="1"/>
  <c r="H76" i="1" s="1"/>
  <c r="F30" i="1"/>
  <c r="G30" i="1"/>
  <c r="H30" i="1" s="1"/>
  <c r="F69" i="1"/>
  <c r="G69" i="1"/>
  <c r="H69" i="1" s="1"/>
  <c r="F109" i="1"/>
  <c r="G109" i="1"/>
  <c r="H109" i="1" s="1"/>
  <c r="F12" i="1"/>
  <c r="H12" i="1"/>
  <c r="F38" i="1"/>
  <c r="G38" i="1"/>
  <c r="H38" i="1" s="1"/>
  <c r="F63" i="1"/>
  <c r="G63" i="1"/>
  <c r="H63" i="1" s="1"/>
  <c r="F17" i="1"/>
  <c r="G17" i="1"/>
  <c r="H17" i="1" s="1"/>
  <c r="F3" i="1"/>
  <c r="G3" i="1"/>
  <c r="H3" i="1" s="1"/>
  <c r="F18" i="1"/>
  <c r="G18" i="1"/>
  <c r="H18" i="1" s="1"/>
  <c r="F26" i="1"/>
  <c r="G26" i="1"/>
  <c r="H26" i="1" s="1"/>
  <c r="F34" i="1"/>
  <c r="G34" i="1"/>
  <c r="H34" i="1" s="1"/>
  <c r="F40" i="1"/>
  <c r="G40" i="1"/>
  <c r="H40" i="1" s="1"/>
  <c r="F48" i="1"/>
  <c r="G48" i="1"/>
  <c r="H48" i="1" s="1"/>
  <c r="F65" i="1"/>
  <c r="G65" i="1"/>
  <c r="H65" i="1" s="1"/>
  <c r="F73" i="1"/>
  <c r="G73" i="1"/>
  <c r="H73" i="1" s="1"/>
  <c r="F80" i="1"/>
  <c r="G80" i="1"/>
  <c r="H80" i="1" s="1"/>
  <c r="F91" i="1"/>
  <c r="G91" i="1"/>
  <c r="H91" i="1" s="1"/>
  <c r="F99" i="1"/>
  <c r="G99" i="1"/>
  <c r="H99" i="1" s="1"/>
  <c r="F106" i="1"/>
  <c r="G106" i="1"/>
  <c r="H106" i="1" s="1"/>
  <c r="F113" i="1"/>
  <c r="G113" i="1"/>
  <c r="H113" i="1" s="1"/>
  <c r="F52" i="1"/>
  <c r="G52" i="1"/>
  <c r="H52" i="1" s="1"/>
  <c r="F87" i="1"/>
  <c r="G87" i="1"/>
  <c r="H87" i="1" s="1"/>
  <c r="F60" i="1"/>
  <c r="G60" i="1"/>
  <c r="H60" i="1" s="1"/>
  <c r="F19" i="1"/>
  <c r="G19" i="1"/>
  <c r="H19" i="1" s="1"/>
  <c r="F50" i="1"/>
  <c r="G50" i="1"/>
  <c r="H50" i="1" s="1"/>
  <c r="F66" i="1"/>
  <c r="G66" i="1"/>
  <c r="H66" i="1" s="1"/>
  <c r="F81" i="1"/>
  <c r="G81" i="1"/>
  <c r="H81" i="1" s="1"/>
  <c r="F100" i="1"/>
  <c r="G100" i="1"/>
  <c r="H100" i="1" s="1"/>
  <c r="F115" i="1"/>
  <c r="G115" i="1"/>
  <c r="H115" i="1" s="1"/>
  <c r="F22" i="1"/>
  <c r="H22" i="1"/>
  <c r="F68" i="1"/>
  <c r="G68" i="1"/>
  <c r="H68" i="1" s="1"/>
  <c r="F44" i="1"/>
  <c r="G44" i="1"/>
  <c r="H44" i="1" s="1"/>
  <c r="F88" i="1"/>
  <c r="G88" i="1"/>
  <c r="H88" i="1" s="1"/>
  <c r="F4" i="1"/>
  <c r="G4" i="1"/>
  <c r="H4" i="1" s="1"/>
  <c r="F27" i="1"/>
  <c r="G27" i="1"/>
  <c r="H27" i="1" s="1"/>
  <c r="F41" i="1"/>
  <c r="G41" i="1"/>
  <c r="H41" i="1" s="1"/>
  <c r="F57" i="1"/>
  <c r="G57" i="1"/>
  <c r="H57" i="1" s="1"/>
  <c r="F74" i="1"/>
  <c r="G74" i="1"/>
  <c r="H74" i="1" s="1"/>
  <c r="F92" i="1"/>
  <c r="G92" i="1"/>
  <c r="H92" i="1" s="1"/>
  <c r="F107" i="1"/>
  <c r="G107" i="1"/>
  <c r="H107" i="1" s="1"/>
  <c r="F6" i="1"/>
  <c r="G6" i="1"/>
  <c r="H6" i="1" s="1"/>
  <c r="F21" i="1"/>
  <c r="G21" i="1"/>
  <c r="H21" i="1" s="1"/>
  <c r="F28" i="1"/>
  <c r="G28" i="1"/>
  <c r="H28" i="1" s="1"/>
  <c r="F42" i="1"/>
  <c r="G42" i="1"/>
  <c r="H42" i="1" s="1"/>
  <c r="F51" i="1"/>
  <c r="G51" i="1"/>
  <c r="H51" i="1" s="1"/>
  <c r="F58" i="1"/>
  <c r="G58" i="1"/>
  <c r="H58" i="1" s="1"/>
  <c r="F67" i="1"/>
  <c r="G67" i="1"/>
  <c r="H67" i="1" s="1"/>
  <c r="F75" i="1"/>
  <c r="G75" i="1"/>
  <c r="H75" i="1" s="1"/>
  <c r="F82" i="1"/>
  <c r="G82" i="1"/>
  <c r="H82" i="1" s="1"/>
  <c r="F93" i="1"/>
  <c r="G93" i="1"/>
  <c r="H93" i="1" s="1"/>
  <c r="F108" i="1"/>
  <c r="G108" i="1"/>
  <c r="H108" i="1" s="1"/>
  <c r="F116" i="1"/>
  <c r="G116" i="1"/>
  <c r="H116" i="1" s="1"/>
  <c r="E133" i="1"/>
  <c r="F133" i="1" s="1"/>
  <c r="F93" i="4"/>
  <c r="H93" i="4" s="1"/>
  <c r="C343" i="3"/>
  <c r="E65" i="4" s="1"/>
  <c r="C319" i="3"/>
  <c r="C328" i="3"/>
  <c r="C344" i="3"/>
  <c r="G344" i="1" s="1"/>
  <c r="H344" i="1" s="1"/>
  <c r="C353" i="3"/>
  <c r="E353" i="1" s="1"/>
  <c r="F353" i="1" s="1"/>
  <c r="C367" i="3"/>
  <c r="C367" i="1" s="1"/>
  <c r="D367" i="1" s="1"/>
  <c r="C419" i="3"/>
  <c r="C419" i="1" s="1"/>
  <c r="D419" i="1" s="1"/>
  <c r="C439" i="3"/>
  <c r="C448" i="3"/>
  <c r="G448" i="1" s="1"/>
  <c r="H448" i="1" s="1"/>
  <c r="C491" i="3"/>
  <c r="E59" i="8"/>
  <c r="C59" i="8" s="1"/>
  <c r="E59" i="7"/>
  <c r="C59" i="7" s="1"/>
  <c r="J59" i="7" s="1"/>
  <c r="K59" i="7" s="1"/>
  <c r="E59" i="14"/>
  <c r="C59" i="14" s="1"/>
  <c r="E59" i="6"/>
  <c r="C59" i="6" s="1"/>
  <c r="E59" i="18"/>
  <c r="C59" i="18" s="1"/>
  <c r="E59" i="10"/>
  <c r="C59" i="10" s="1"/>
  <c r="E59" i="9"/>
  <c r="C59" i="9" s="1"/>
  <c r="I59" i="9" s="1"/>
  <c r="F59" i="20" s="1"/>
  <c r="E59" i="17"/>
  <c r="C59" i="17" s="1"/>
  <c r="J59" i="17" s="1"/>
  <c r="K59" i="17" s="1"/>
  <c r="C327" i="3"/>
  <c r="C329" i="3"/>
  <c r="D41" i="4" s="1"/>
  <c r="C337" i="3"/>
  <c r="C337" i="1" s="1"/>
  <c r="D337" i="1" s="1"/>
  <c r="C354" i="3"/>
  <c r="C411" i="3"/>
  <c r="G411" i="1" s="1"/>
  <c r="H411" i="1" s="1"/>
  <c r="C420" i="3"/>
  <c r="C420" i="1" s="1"/>
  <c r="D420" i="1" s="1"/>
  <c r="C440" i="3"/>
  <c r="C449" i="3"/>
  <c r="B43" i="4" s="1"/>
  <c r="F43" i="4" s="1"/>
  <c r="H43" i="4" s="1"/>
  <c r="C461" i="3"/>
  <c r="G461" i="1" s="1"/>
  <c r="H461" i="1" s="1"/>
  <c r="C500" i="3"/>
  <c r="C500" i="1" s="1"/>
  <c r="D500" i="1" s="1"/>
  <c r="C508" i="3"/>
  <c r="B23" i="4" s="1"/>
  <c r="C472" i="3"/>
  <c r="B19" i="4" s="1"/>
  <c r="F19" i="4" s="1"/>
  <c r="H19" i="4" s="1"/>
  <c r="C330" i="3"/>
  <c r="E41" i="4" s="1"/>
  <c r="C357" i="3"/>
  <c r="G357" i="1" s="1"/>
  <c r="H357" i="1" s="1"/>
  <c r="C421" i="3"/>
  <c r="D75" i="4" s="1"/>
  <c r="C441" i="3"/>
  <c r="C463" i="3"/>
  <c r="C463" i="1" s="1"/>
  <c r="D463" i="1" s="1"/>
  <c r="C484" i="3"/>
  <c r="G484" i="1" s="1"/>
  <c r="H484" i="1" s="1"/>
  <c r="C493" i="3"/>
  <c r="C509" i="3"/>
  <c r="G509" i="1" s="1"/>
  <c r="H509" i="1" s="1"/>
  <c r="C506" i="3"/>
  <c r="G506" i="1" s="1"/>
  <c r="H506" i="1" s="1"/>
  <c r="C347" i="3"/>
  <c r="C370" i="3"/>
  <c r="G370" i="1" s="1"/>
  <c r="H370" i="1" s="1"/>
  <c r="C442" i="3"/>
  <c r="C485" i="3"/>
  <c r="C485" i="1" s="1"/>
  <c r="D485" i="1" s="1"/>
  <c r="C494" i="3"/>
  <c r="B91" i="4" s="1"/>
  <c r="C335" i="3"/>
  <c r="D13" i="4" s="1"/>
  <c r="C315" i="3"/>
  <c r="C322" i="3"/>
  <c r="C332" i="3"/>
  <c r="C340" i="3"/>
  <c r="G340" i="1" s="1"/>
  <c r="H340" i="1" s="1"/>
  <c r="C407" i="3"/>
  <c r="C407" i="1" s="1"/>
  <c r="D407" i="1" s="1"/>
  <c r="C443" i="3"/>
  <c r="C465" i="3"/>
  <c r="B71" i="4" s="1"/>
  <c r="C495" i="3"/>
  <c r="G495" i="1" s="1"/>
  <c r="H495" i="1" s="1"/>
  <c r="C498" i="3"/>
  <c r="B25" i="4" s="1"/>
  <c r="C316" i="3"/>
  <c r="G316" i="1" s="1"/>
  <c r="H316" i="1" s="1"/>
  <c r="C341" i="3"/>
  <c r="D83" i="4" s="1"/>
  <c r="C350" i="3"/>
  <c r="D25" i="4" s="1"/>
  <c r="C408" i="3"/>
  <c r="C408" i="1" s="1"/>
  <c r="D408" i="1" s="1"/>
  <c r="C444" i="3"/>
  <c r="B29" i="4" s="1"/>
  <c r="C478" i="3"/>
  <c r="C478" i="1" s="1"/>
  <c r="D478" i="1" s="1"/>
  <c r="C487" i="3"/>
  <c r="C504" i="3"/>
  <c r="C504" i="1" s="1"/>
  <c r="D504" i="1" s="1"/>
  <c r="C366" i="3"/>
  <c r="C309" i="3"/>
  <c r="C309" i="1" s="1"/>
  <c r="D309" i="1" s="1"/>
  <c r="C342" i="3"/>
  <c r="G342" i="1" s="1"/>
  <c r="H342" i="1" s="1"/>
  <c r="C351" i="3"/>
  <c r="C351" i="1" s="1"/>
  <c r="D351" i="1" s="1"/>
  <c r="C401" i="3"/>
  <c r="C445" i="3"/>
  <c r="C455" i="3"/>
  <c r="C470" i="3"/>
  <c r="G470" i="1" s="1"/>
  <c r="H470" i="1" s="1"/>
  <c r="F35" i="4"/>
  <c r="H35" i="4" s="1"/>
  <c r="C527" i="3"/>
  <c r="C526" i="3"/>
  <c r="G526" i="1" s="1"/>
  <c r="H526" i="1" s="1"/>
  <c r="C525" i="3"/>
  <c r="E525" i="1" s="1"/>
  <c r="F525" i="1" s="1"/>
  <c r="C524" i="3"/>
  <c r="E524" i="1" s="1"/>
  <c r="F524" i="1" s="1"/>
  <c r="C523" i="3"/>
  <c r="C523" i="1" s="1"/>
  <c r="D523" i="1" s="1"/>
  <c r="C522" i="3"/>
  <c r="C522" i="1" s="1"/>
  <c r="D522" i="1" s="1"/>
  <c r="C521" i="3"/>
  <c r="C521" i="1" s="1"/>
  <c r="D521" i="1" s="1"/>
  <c r="C520" i="3"/>
  <c r="C520" i="1" s="1"/>
  <c r="D520" i="1" s="1"/>
  <c r="C519" i="3"/>
  <c r="G519" i="1" s="1"/>
  <c r="H519" i="1" s="1"/>
  <c r="C518" i="3"/>
  <c r="E518" i="1" s="1"/>
  <c r="F518" i="1" s="1"/>
  <c r="E517" i="1"/>
  <c r="F517" i="1" s="1"/>
  <c r="C516" i="3"/>
  <c r="E516" i="1" s="1"/>
  <c r="F516" i="1" s="1"/>
  <c r="C512" i="3"/>
  <c r="G512" i="1" s="1"/>
  <c r="H512" i="1" s="1"/>
  <c r="C511" i="3"/>
  <c r="C511" i="1" s="1"/>
  <c r="D511" i="1" s="1"/>
  <c r="C510" i="3"/>
  <c r="G510" i="1" s="1"/>
  <c r="H510" i="1" s="1"/>
  <c r="C507" i="3"/>
  <c r="C507" i="1" s="1"/>
  <c r="D507" i="1" s="1"/>
  <c r="C505" i="3"/>
  <c r="C503" i="3"/>
  <c r="G503" i="1" s="1"/>
  <c r="H503" i="1" s="1"/>
  <c r="C502" i="3"/>
  <c r="C502" i="1" s="1"/>
  <c r="D502" i="1" s="1"/>
  <c r="C501" i="3"/>
  <c r="G501" i="1" s="1"/>
  <c r="H501" i="1" s="1"/>
  <c r="C499" i="3"/>
  <c r="G499" i="1" s="1"/>
  <c r="H499" i="1" s="1"/>
  <c r="C497" i="3"/>
  <c r="C497" i="1" s="1"/>
  <c r="D497" i="1" s="1"/>
  <c r="C496" i="3"/>
  <c r="G496" i="1" s="1"/>
  <c r="H496" i="1" s="1"/>
  <c r="C492" i="3"/>
  <c r="C490" i="3"/>
  <c r="C490" i="1" s="1"/>
  <c r="D490" i="1" s="1"/>
  <c r="C489" i="3"/>
  <c r="G489" i="1" s="1"/>
  <c r="H489" i="1" s="1"/>
  <c r="C482" i="3"/>
  <c r="G482" i="1" s="1"/>
  <c r="H482" i="1" s="1"/>
  <c r="C481" i="3"/>
  <c r="C481" i="1" s="1"/>
  <c r="D481" i="1" s="1"/>
  <c r="C480" i="3"/>
  <c r="C479" i="3"/>
  <c r="C477" i="3"/>
  <c r="C476" i="3"/>
  <c r="C475" i="3"/>
  <c r="C474" i="3"/>
  <c r="C473" i="3"/>
  <c r="G473" i="1" s="1"/>
  <c r="H473" i="1" s="1"/>
  <c r="C467" i="3"/>
  <c r="C464" i="3"/>
  <c r="C460" i="3"/>
  <c r="C460" i="1" s="1"/>
  <c r="D460" i="1" s="1"/>
  <c r="C459" i="3"/>
  <c r="C454" i="3"/>
  <c r="C453" i="3"/>
  <c r="C452" i="3"/>
  <c r="C452" i="1" s="1"/>
  <c r="D452" i="1" s="1"/>
  <c r="C450" i="3"/>
  <c r="C447" i="3"/>
  <c r="G447" i="1" s="1"/>
  <c r="H447" i="1" s="1"/>
  <c r="C438" i="3"/>
  <c r="C437" i="3"/>
  <c r="C436" i="3"/>
  <c r="C435" i="3"/>
  <c r="C435" i="1" s="1"/>
  <c r="D435" i="1" s="1"/>
  <c r="C430" i="3"/>
  <c r="C429" i="3"/>
  <c r="E429" i="1" s="1"/>
  <c r="F429" i="1" s="1"/>
  <c r="C428" i="3"/>
  <c r="G428" i="1" s="1"/>
  <c r="H428" i="1" s="1"/>
  <c r="C426" i="3"/>
  <c r="C426" i="1" s="1"/>
  <c r="D426" i="1" s="1"/>
  <c r="C425" i="3"/>
  <c r="G425" i="1" s="1"/>
  <c r="H425" i="1" s="1"/>
  <c r="C424" i="3"/>
  <c r="C424" i="1" s="1"/>
  <c r="D424" i="1" s="1"/>
  <c r="C422" i="3"/>
  <c r="C422" i="1" s="1"/>
  <c r="D422" i="1" s="1"/>
  <c r="C418" i="3"/>
  <c r="G418" i="1" s="1"/>
  <c r="H418" i="1" s="1"/>
  <c r="C417" i="3"/>
  <c r="C417" i="1" s="1"/>
  <c r="D417" i="1" s="1"/>
  <c r="C416" i="3"/>
  <c r="C416" i="1" s="1"/>
  <c r="D416" i="1" s="1"/>
  <c r="C415" i="3"/>
  <c r="C415" i="1" s="1"/>
  <c r="D415" i="1" s="1"/>
  <c r="C414" i="3"/>
  <c r="G414" i="1" s="1"/>
  <c r="H414" i="1" s="1"/>
  <c r="C413" i="3"/>
  <c r="C413" i="1" s="1"/>
  <c r="D413" i="1" s="1"/>
  <c r="C409" i="3"/>
  <c r="C409" i="1" s="1"/>
  <c r="D409" i="1" s="1"/>
  <c r="C406" i="3"/>
  <c r="G406" i="1" s="1"/>
  <c r="H406" i="1" s="1"/>
  <c r="C405" i="3"/>
  <c r="G405" i="1" s="1"/>
  <c r="H405" i="1" s="1"/>
  <c r="C404" i="3"/>
  <c r="C403" i="3"/>
  <c r="G403" i="1" s="1"/>
  <c r="H403" i="1" s="1"/>
  <c r="C402" i="3"/>
  <c r="G402" i="1" s="1"/>
  <c r="H402" i="1" s="1"/>
  <c r="C400" i="3"/>
  <c r="G400" i="1" s="1"/>
  <c r="H400" i="1" s="1"/>
  <c r="C398" i="3"/>
  <c r="C398" i="1" s="1"/>
  <c r="D398" i="1" s="1"/>
  <c r="C397" i="3"/>
  <c r="C397" i="1" s="1"/>
  <c r="D397" i="1" s="1"/>
  <c r="C396" i="3"/>
  <c r="C396" i="1" s="1"/>
  <c r="D396" i="1" s="1"/>
  <c r="C395" i="3"/>
  <c r="G395" i="1" s="1"/>
  <c r="H395" i="1" s="1"/>
  <c r="C394" i="3"/>
  <c r="C394" i="1" s="1"/>
  <c r="D394" i="1" s="1"/>
  <c r="C393" i="3"/>
  <c r="C393" i="1" s="1"/>
  <c r="D393" i="1" s="1"/>
  <c r="C392" i="3"/>
  <c r="C392" i="1" s="1"/>
  <c r="D392" i="1" s="1"/>
  <c r="C390" i="3"/>
  <c r="C389" i="3"/>
  <c r="E389" i="1" s="1"/>
  <c r="F389" i="1" s="1"/>
  <c r="C388" i="3"/>
  <c r="G388" i="1" s="1"/>
  <c r="H388" i="1" s="1"/>
  <c r="C387" i="3"/>
  <c r="C386" i="3"/>
  <c r="G386" i="1" s="1"/>
  <c r="H386" i="1" s="1"/>
  <c r="C385" i="3"/>
  <c r="E385" i="1" s="1"/>
  <c r="F385" i="1" s="1"/>
  <c r="C384" i="3"/>
  <c r="G384" i="1" s="1"/>
  <c r="H384" i="1" s="1"/>
  <c r="C382" i="3"/>
  <c r="C382" i="1" s="1"/>
  <c r="D382" i="1" s="1"/>
  <c r="C381" i="3"/>
  <c r="C379" i="3"/>
  <c r="C378" i="3"/>
  <c r="G378" i="1" s="1"/>
  <c r="H378" i="1" s="1"/>
  <c r="C377" i="3"/>
  <c r="G377" i="1" s="1"/>
  <c r="H377" i="1" s="1"/>
  <c r="C376" i="3"/>
  <c r="G376" i="1" s="1"/>
  <c r="H376" i="1" s="1"/>
  <c r="C375" i="3"/>
  <c r="E375" i="1" s="1"/>
  <c r="F375" i="1" s="1"/>
  <c r="C374" i="3"/>
  <c r="G374" i="1" s="1"/>
  <c r="H374" i="1" s="1"/>
  <c r="C373" i="3"/>
  <c r="C373" i="1" s="1"/>
  <c r="D373" i="1" s="1"/>
  <c r="C371" i="3"/>
  <c r="C369" i="3"/>
  <c r="C369" i="1" s="1"/>
  <c r="D369" i="1" s="1"/>
  <c r="C368" i="3"/>
  <c r="G368" i="1" s="1"/>
  <c r="H368" i="1" s="1"/>
  <c r="C364" i="3"/>
  <c r="C364" i="1" s="1"/>
  <c r="D364" i="1" s="1"/>
  <c r="C363" i="3"/>
  <c r="G363" i="1" s="1"/>
  <c r="H363" i="1" s="1"/>
  <c r="C359" i="3"/>
  <c r="C359" i="1" s="1"/>
  <c r="D359" i="1" s="1"/>
  <c r="C348" i="3"/>
  <c r="G348" i="1" s="1"/>
  <c r="H348" i="1" s="1"/>
  <c r="C346" i="3"/>
  <c r="G346" i="1" s="1"/>
  <c r="H346" i="1" s="1"/>
  <c r="C345" i="3"/>
  <c r="C345" i="1" s="1"/>
  <c r="D345" i="1" s="1"/>
  <c r="C339" i="3"/>
  <c r="C338" i="3"/>
  <c r="G338" i="1" s="1"/>
  <c r="H338" i="1" s="1"/>
  <c r="C336" i="3"/>
  <c r="C334" i="3"/>
  <c r="G334" i="1" s="1"/>
  <c r="H334" i="1" s="1"/>
  <c r="C333" i="3"/>
  <c r="C331" i="3"/>
  <c r="G331" i="1" s="1"/>
  <c r="H331" i="1" s="1"/>
  <c r="C324" i="3"/>
  <c r="C324" i="1" s="1"/>
  <c r="D324" i="1" s="1"/>
  <c r="C323" i="3"/>
  <c r="G323" i="1" s="1"/>
  <c r="H323" i="1" s="1"/>
  <c r="C321" i="3"/>
  <c r="G321" i="1" s="1"/>
  <c r="H321" i="1" s="1"/>
  <c r="C320" i="3"/>
  <c r="C318" i="3"/>
  <c r="C317" i="3"/>
  <c r="C317" i="1" s="1"/>
  <c r="D317" i="1" s="1"/>
  <c r="C314" i="3"/>
  <c r="C313" i="3"/>
  <c r="G313" i="1" s="1"/>
  <c r="H313" i="1" s="1"/>
  <c r="C311" i="3"/>
  <c r="C310" i="3"/>
  <c r="C515" i="3"/>
  <c r="G515" i="1" s="1"/>
  <c r="H515" i="1" s="1"/>
  <c r="C514" i="3"/>
  <c r="E514" i="1" s="1"/>
  <c r="F514" i="1" s="1"/>
  <c r="C352" i="3"/>
  <c r="C312" i="3"/>
  <c r="C312" i="1" s="1"/>
  <c r="D312" i="1" s="1"/>
  <c r="F69" i="4"/>
  <c r="H69" i="4" s="1"/>
  <c r="C486" i="3"/>
  <c r="K14" i="23"/>
  <c r="L14" i="23" s="1"/>
  <c r="J14" i="23"/>
  <c r="K7" i="23"/>
  <c r="L7" i="23" s="1"/>
  <c r="J7" i="23"/>
  <c r="K8" i="23"/>
  <c r="L8" i="23" s="1"/>
  <c r="J8" i="23"/>
  <c r="K12" i="23"/>
  <c r="L12" i="23" s="1"/>
  <c r="J12" i="23"/>
  <c r="K28" i="23"/>
  <c r="L28" i="23" s="1"/>
  <c r="J28" i="23"/>
  <c r="K11" i="23"/>
  <c r="L11" i="23" s="1"/>
  <c r="J11" i="23"/>
  <c r="K20" i="23"/>
  <c r="L20" i="23" s="1"/>
  <c r="J20" i="23"/>
  <c r="K19" i="23"/>
  <c r="L19" i="23" s="1"/>
  <c r="J19" i="23"/>
  <c r="K13" i="23"/>
  <c r="L13" i="23" s="1"/>
  <c r="J13" i="23"/>
  <c r="K24" i="23"/>
  <c r="L24" i="23" s="1"/>
  <c r="J24" i="23"/>
  <c r="K15" i="23"/>
  <c r="L15" i="23" s="1"/>
  <c r="J15" i="23"/>
  <c r="K29" i="23"/>
  <c r="L29" i="23" s="1"/>
  <c r="J29" i="23"/>
  <c r="D26" i="21"/>
  <c r="B26" i="8"/>
  <c r="F21" i="21"/>
  <c r="B21" i="10"/>
  <c r="F50" i="21"/>
  <c r="B50" i="10"/>
  <c r="D63" i="21"/>
  <c r="B63" i="8"/>
  <c r="D71" i="21"/>
  <c r="B71" i="8"/>
  <c r="N71" i="8" s="1"/>
  <c r="F66" i="21"/>
  <c r="B66" i="10"/>
  <c r="F73" i="21"/>
  <c r="B73" i="10"/>
  <c r="D47" i="21"/>
  <c r="B47" i="8"/>
  <c r="F6" i="21"/>
  <c r="B6" i="10"/>
  <c r="F42" i="21"/>
  <c r="B42" i="10"/>
  <c r="F74" i="21"/>
  <c r="B74" i="10"/>
  <c r="D12" i="21"/>
  <c r="B12" i="8"/>
  <c r="F41" i="21"/>
  <c r="B41" i="10"/>
  <c r="F16" i="21"/>
  <c r="B16" i="10"/>
  <c r="D15" i="21"/>
  <c r="B15" i="8"/>
  <c r="D21" i="21"/>
  <c r="B21" i="8"/>
  <c r="D28" i="21"/>
  <c r="B28" i="8"/>
  <c r="D41" i="21"/>
  <c r="B41" i="8"/>
  <c r="D50" i="21"/>
  <c r="B50" i="8"/>
  <c r="D57" i="21"/>
  <c r="B57" i="8"/>
  <c r="F24" i="21"/>
  <c r="B24" i="10"/>
  <c r="F32" i="21"/>
  <c r="B32" i="10"/>
  <c r="F45" i="21"/>
  <c r="B45" i="10"/>
  <c r="F52" i="21"/>
  <c r="B52" i="10"/>
  <c r="F59" i="21"/>
  <c r="B59" i="10"/>
  <c r="D19" i="21"/>
  <c r="B19" i="8"/>
  <c r="D66" i="21"/>
  <c r="B66" i="8"/>
  <c r="D66" i="22" s="1"/>
  <c r="E66" i="22" s="1"/>
  <c r="D73" i="21"/>
  <c r="B73" i="8"/>
  <c r="F69" i="21"/>
  <c r="B69" i="10"/>
  <c r="D56" i="21"/>
  <c r="B56" i="8"/>
  <c r="F58" i="21"/>
  <c r="B58" i="10"/>
  <c r="F58" i="22" s="1"/>
  <c r="G58" i="22" s="1"/>
  <c r="D7" i="21"/>
  <c r="B7" i="8"/>
  <c r="D16" i="21"/>
  <c r="B16" i="8"/>
  <c r="D23" i="21"/>
  <c r="B23" i="8"/>
  <c r="D30" i="21"/>
  <c r="B30" i="8"/>
  <c r="D42" i="21"/>
  <c r="B42" i="8"/>
  <c r="D51" i="21"/>
  <c r="B51" i="8"/>
  <c r="D58" i="21"/>
  <c r="B58" i="8"/>
  <c r="F57" i="21"/>
  <c r="B57" i="10"/>
  <c r="D20" i="21"/>
  <c r="B20" i="8"/>
  <c r="F23" i="21"/>
  <c r="B23" i="10"/>
  <c r="D67" i="21"/>
  <c r="B67" i="8"/>
  <c r="D35" i="21"/>
  <c r="B35" i="8"/>
  <c r="D9" i="21"/>
  <c r="B9" i="8"/>
  <c r="D17" i="21"/>
  <c r="B17" i="8"/>
  <c r="D24" i="21"/>
  <c r="B24" i="8"/>
  <c r="D32" i="21"/>
  <c r="B32" i="8"/>
  <c r="D45" i="21"/>
  <c r="B45" i="8"/>
  <c r="D52" i="21"/>
  <c r="B52" i="8"/>
  <c r="D59" i="21"/>
  <c r="B59" i="8"/>
  <c r="F12" i="21"/>
  <c r="B12" i="10"/>
  <c r="G12" i="21" s="1"/>
  <c r="F19" i="21"/>
  <c r="B19" i="10"/>
  <c r="G19" i="21" s="1"/>
  <c r="F26" i="21"/>
  <c r="B26" i="10"/>
  <c r="F26" i="22" s="1"/>
  <c r="G26" i="22" s="1"/>
  <c r="F47" i="21"/>
  <c r="B47" i="10"/>
  <c r="F47" i="22" s="1"/>
  <c r="G47" i="22" s="1"/>
  <c r="F55" i="21"/>
  <c r="B55" i="10"/>
  <c r="D38" i="21"/>
  <c r="F30" i="21"/>
  <c r="B30" i="10"/>
  <c r="N30" i="10" s="1"/>
  <c r="F63" i="21"/>
  <c r="B63" i="10"/>
  <c r="G63" i="21" s="1"/>
  <c r="F71" i="21"/>
  <c r="B71" i="10"/>
  <c r="N71" i="10" s="1"/>
  <c r="F28" i="21"/>
  <c r="B28" i="10"/>
  <c r="F51" i="21"/>
  <c r="B51" i="10"/>
  <c r="F51" i="22" s="1"/>
  <c r="G51" i="22" s="1"/>
  <c r="D10" i="21"/>
  <c r="B10" i="8"/>
  <c r="D18" i="21"/>
  <c r="B18" i="8"/>
  <c r="D25" i="21"/>
  <c r="B25" i="8"/>
  <c r="D33" i="21"/>
  <c r="B33" i="8"/>
  <c r="D46" i="21"/>
  <c r="B46" i="8"/>
  <c r="D53" i="21"/>
  <c r="B53" i="8"/>
  <c r="F13" i="21"/>
  <c r="B13" i="10"/>
  <c r="F27" i="21"/>
  <c r="B27" i="10"/>
  <c r="F48" i="21"/>
  <c r="B48" i="10"/>
  <c r="F56" i="21"/>
  <c r="B56" i="10"/>
  <c r="D55" i="21"/>
  <c r="B55" i="8"/>
  <c r="D60" i="21"/>
  <c r="B60" i="8"/>
  <c r="D70" i="21"/>
  <c r="B70" i="8"/>
  <c r="E70" i="21" s="1"/>
  <c r="F65" i="21"/>
  <c r="B65" i="10"/>
  <c r="F72" i="21"/>
  <c r="B72" i="10"/>
  <c r="F73" i="4"/>
  <c r="H73" i="4" s="1"/>
  <c r="F87" i="4"/>
  <c r="H87" i="4" s="1"/>
  <c r="N52" i="22"/>
  <c r="O52" i="22" s="1"/>
  <c r="B52" i="18"/>
  <c r="P52" i="22" s="1"/>
  <c r="Q52" i="22" s="1"/>
  <c r="N69" i="22"/>
  <c r="O69" i="22" s="1"/>
  <c r="B69" i="18"/>
  <c r="P69" i="22" s="1"/>
  <c r="Q69" i="22" s="1"/>
  <c r="L7" i="21"/>
  <c r="B7" i="18"/>
  <c r="N7" i="18" s="1"/>
  <c r="N23" i="22"/>
  <c r="O23" i="22" s="1"/>
  <c r="B23" i="18"/>
  <c r="N16" i="22"/>
  <c r="O16" i="22" s="1"/>
  <c r="B16" i="18"/>
  <c r="M16" i="21" s="1"/>
  <c r="F67" i="4"/>
  <c r="F81" i="4"/>
  <c r="H81" i="4" s="1"/>
  <c r="C59" i="5"/>
  <c r="K6" i="23"/>
  <c r="L6" i="23" s="1"/>
  <c r="F63" i="4"/>
  <c r="L16" i="21"/>
  <c r="L52" i="21"/>
  <c r="F77" i="4"/>
  <c r="H77" i="4" s="1"/>
  <c r="F33" i="4"/>
  <c r="H33" i="4" s="1"/>
  <c r="F37" i="4"/>
  <c r="H37" i="4" s="1"/>
  <c r="F7" i="4"/>
  <c r="H7" i="4" s="1"/>
  <c r="F11" i="4"/>
  <c r="H11" i="4" s="1"/>
  <c r="F15" i="4"/>
  <c r="H15" i="4" s="1"/>
  <c r="C136" i="1"/>
  <c r="D136" i="1" s="1"/>
  <c r="C135" i="1"/>
  <c r="D135" i="1" s="1"/>
  <c r="M24" i="6"/>
  <c r="F144" i="1"/>
  <c r="F146" i="1"/>
  <c r="F152" i="1"/>
  <c r="F155" i="1"/>
  <c r="F160" i="1"/>
  <c r="F163" i="1"/>
  <c r="F165" i="1"/>
  <c r="F168" i="1"/>
  <c r="F149" i="1"/>
  <c r="F145" i="1"/>
  <c r="F148" i="1"/>
  <c r="F151" i="1"/>
  <c r="F154" i="1"/>
  <c r="F156" i="1"/>
  <c r="F162" i="1"/>
  <c r="F164" i="1"/>
  <c r="F166" i="1"/>
  <c r="C73" i="5"/>
  <c r="F70" i="21"/>
  <c r="C74" i="5"/>
  <c r="D65" i="21"/>
  <c r="D27" i="21"/>
  <c r="D13" i="21"/>
  <c r="F9" i="21"/>
  <c r="F15" i="21"/>
  <c r="D48" i="21"/>
  <c r="C72" i="5"/>
  <c r="B45" i="22"/>
  <c r="C45" i="22" s="1"/>
  <c r="C45" i="21"/>
  <c r="B59" i="22"/>
  <c r="C59" i="22" s="1"/>
  <c r="C59" i="21"/>
  <c r="B65" i="22"/>
  <c r="C65" i="22" s="1"/>
  <c r="C65" i="21"/>
  <c r="B69" i="22"/>
  <c r="C69" i="22" s="1"/>
  <c r="C69" i="21"/>
  <c r="C72" i="21"/>
  <c r="B72" i="22"/>
  <c r="C72" i="22" s="1"/>
  <c r="F67" i="21"/>
  <c r="K74" i="21"/>
  <c r="L74" i="22"/>
  <c r="M74" i="22" s="1"/>
  <c r="M71" i="21"/>
  <c r="P71" i="22"/>
  <c r="Q71" i="22" s="1"/>
  <c r="N71" i="18"/>
  <c r="F17" i="21"/>
  <c r="F35" i="21"/>
  <c r="K32" i="22"/>
  <c r="W32" i="22" s="1"/>
  <c r="N33" i="22"/>
  <c r="O33" i="22" s="1"/>
  <c r="L33" i="21"/>
  <c r="B7" i="22"/>
  <c r="C7" i="22" s="1"/>
  <c r="C7" i="21"/>
  <c r="B16" i="22"/>
  <c r="C16" i="22" s="1"/>
  <c r="C16" i="21"/>
  <c r="B19" i="22"/>
  <c r="C19" i="22" s="1"/>
  <c r="C19" i="21"/>
  <c r="B23" i="22"/>
  <c r="C23" i="22" s="1"/>
  <c r="C23" i="21"/>
  <c r="C30" i="21"/>
  <c r="B30" i="22"/>
  <c r="C30" i="22" s="1"/>
  <c r="C35" i="21"/>
  <c r="B35" i="22"/>
  <c r="C35" i="22" s="1"/>
  <c r="B42" i="22"/>
  <c r="C42" i="22" s="1"/>
  <c r="C42" i="21"/>
  <c r="K72" i="22"/>
  <c r="W72" i="22" s="1"/>
  <c r="K46" i="21"/>
  <c r="L46" i="22"/>
  <c r="M46" i="22" s="1"/>
  <c r="B47" i="22"/>
  <c r="C47" i="22" s="1"/>
  <c r="C47" i="21"/>
  <c r="C51" i="21"/>
  <c r="B51" i="22"/>
  <c r="C51" i="22" s="1"/>
  <c r="C55" i="21"/>
  <c r="B55" i="22"/>
  <c r="C55" i="22" s="1"/>
  <c r="B63" i="22"/>
  <c r="C63" i="22" s="1"/>
  <c r="C63" i="21"/>
  <c r="C67" i="21"/>
  <c r="B67" i="22"/>
  <c r="C67" i="22" s="1"/>
  <c r="C71" i="21"/>
  <c r="B71" i="22"/>
  <c r="C71" i="22" s="1"/>
  <c r="B74" i="22"/>
  <c r="C74" i="22" s="1"/>
  <c r="C74" i="21"/>
  <c r="F60" i="21"/>
  <c r="K7" i="22"/>
  <c r="W7" i="22" s="1"/>
  <c r="K60" i="21"/>
  <c r="L60" i="22"/>
  <c r="M60" i="22" s="1"/>
  <c r="D72" i="21"/>
  <c r="F10" i="21"/>
  <c r="F38" i="21"/>
  <c r="F46" i="21"/>
  <c r="F53" i="21"/>
  <c r="B6" i="22"/>
  <c r="C6" i="22" s="1"/>
  <c r="C6" i="21"/>
  <c r="B10" i="22"/>
  <c r="C10" i="22" s="1"/>
  <c r="C10" i="21"/>
  <c r="B15" i="22"/>
  <c r="C15" i="22" s="1"/>
  <c r="C15" i="21"/>
  <c r="B18" i="22"/>
  <c r="C18" i="22" s="1"/>
  <c r="C18" i="21"/>
  <c r="C21" i="21"/>
  <c r="B21" i="22"/>
  <c r="C21" i="22" s="1"/>
  <c r="B25" i="22"/>
  <c r="C25" i="22" s="1"/>
  <c r="C25" i="21"/>
  <c r="B28" i="22"/>
  <c r="C28" i="22" s="1"/>
  <c r="C28" i="21"/>
  <c r="C41" i="21"/>
  <c r="B41" i="22"/>
  <c r="C41" i="22" s="1"/>
  <c r="F7" i="21"/>
  <c r="D74" i="21"/>
  <c r="F20" i="21"/>
  <c r="C50" i="21"/>
  <c r="B50" i="22"/>
  <c r="C50" i="22" s="1"/>
  <c r="B53" i="22"/>
  <c r="C53" i="22" s="1"/>
  <c r="C53" i="21"/>
  <c r="C57" i="21"/>
  <c r="B57" i="22"/>
  <c r="C57" i="22" s="1"/>
  <c r="B60" i="22"/>
  <c r="C60" i="22" s="1"/>
  <c r="C60" i="21"/>
  <c r="B70" i="22"/>
  <c r="C70" i="22" s="1"/>
  <c r="C70" i="21"/>
  <c r="C73" i="21"/>
  <c r="B73" i="22"/>
  <c r="C73" i="22" s="1"/>
  <c r="D69" i="21"/>
  <c r="F18" i="21"/>
  <c r="F33" i="21"/>
  <c r="M7" i="6"/>
  <c r="M16" i="6"/>
  <c r="B26" i="22" s="1"/>
  <c r="C26" i="22" s="1"/>
  <c r="M19" i="6"/>
  <c r="M23" i="6"/>
  <c r="M33" i="6" s="1"/>
  <c r="M46" i="6" s="1"/>
  <c r="M56" i="6" s="1"/>
  <c r="M66" i="6" s="1"/>
  <c r="M30" i="6"/>
  <c r="M35" i="6"/>
  <c r="M48" i="6" s="1"/>
  <c r="M58" i="6" s="1"/>
  <c r="M42" i="6"/>
  <c r="M52" i="6" s="1"/>
  <c r="F25" i="21"/>
  <c r="L21" i="22"/>
  <c r="M21" i="22" s="1"/>
  <c r="K21" i="21"/>
  <c r="B9" i="22"/>
  <c r="C9" i="22" s="1"/>
  <c r="C9" i="21"/>
  <c r="B13" i="22"/>
  <c r="C13" i="22" s="1"/>
  <c r="C13" i="21"/>
  <c r="B17" i="22"/>
  <c r="C17" i="22" s="1"/>
  <c r="C17" i="21"/>
  <c r="B20" i="22"/>
  <c r="C20" i="22" s="1"/>
  <c r="C20" i="21"/>
  <c r="B24" i="22"/>
  <c r="C24" i="22" s="1"/>
  <c r="C24" i="21"/>
  <c r="B27" i="22"/>
  <c r="C27" i="22" s="1"/>
  <c r="C27" i="21"/>
  <c r="C32" i="21"/>
  <c r="B32" i="22"/>
  <c r="C32" i="22" s="1"/>
  <c r="K10" i="22"/>
  <c r="W10" i="22" s="1"/>
  <c r="K35" i="22"/>
  <c r="W35" i="22" s="1"/>
  <c r="K66" i="21"/>
  <c r="L66" i="22"/>
  <c r="M66" i="22" s="1"/>
  <c r="K20" i="22"/>
  <c r="W20" i="22" s="1"/>
  <c r="K45" i="22"/>
  <c r="W45" i="22" s="1"/>
  <c r="K52" i="22"/>
  <c r="W52" i="22" s="1"/>
  <c r="K55" i="22"/>
  <c r="W55" i="22" s="1"/>
  <c r="K59" i="22"/>
  <c r="W59" i="22" s="1"/>
  <c r="K70" i="21"/>
  <c r="L70" i="22"/>
  <c r="M70" i="22" s="1"/>
  <c r="L74" i="21"/>
  <c r="N74" i="22"/>
  <c r="O74" i="22" s="1"/>
  <c r="K6" i="22"/>
  <c r="W6" i="22" s="1"/>
  <c r="K23" i="22"/>
  <c r="W23" i="22" s="1"/>
  <c r="K67" i="22"/>
  <c r="W67" i="22" s="1"/>
  <c r="P26" i="22"/>
  <c r="Q26" i="22" s="1"/>
  <c r="M26" i="21"/>
  <c r="N26" i="18"/>
  <c r="P42" i="22"/>
  <c r="Q42" i="22" s="1"/>
  <c r="M42" i="21"/>
  <c r="N42" i="18"/>
  <c r="N63" i="22"/>
  <c r="O63" i="22" s="1"/>
  <c r="L63" i="21"/>
  <c r="K9" i="22"/>
  <c r="W9" i="22" s="1"/>
  <c r="K12" i="22"/>
  <c r="W12" i="22" s="1"/>
  <c r="K25" i="22"/>
  <c r="W25" i="22" s="1"/>
  <c r="K15" i="21"/>
  <c r="L15" i="22"/>
  <c r="M15" i="22" s="1"/>
  <c r="K50" i="21"/>
  <c r="L50" i="22"/>
  <c r="M50" i="22" s="1"/>
  <c r="K17" i="22"/>
  <c r="W17" i="22" s="1"/>
  <c r="K27" i="22"/>
  <c r="W27" i="22" s="1"/>
  <c r="K38" i="22"/>
  <c r="W38" i="22" s="1"/>
  <c r="L6" i="22"/>
  <c r="M6" i="22" s="1"/>
  <c r="K6" i="21"/>
  <c r="K53" i="21"/>
  <c r="L53" i="22"/>
  <c r="M53" i="22" s="1"/>
  <c r="L73" i="22"/>
  <c r="M73" i="22" s="1"/>
  <c r="K73" i="21"/>
  <c r="K19" i="22"/>
  <c r="W19" i="22" s="1"/>
  <c r="K30" i="22"/>
  <c r="W30" i="22" s="1"/>
  <c r="K42" i="22"/>
  <c r="W42" i="22" s="1"/>
  <c r="K46" i="22"/>
  <c r="W46" i="22" s="1"/>
  <c r="K56" i="22"/>
  <c r="W56" i="22" s="1"/>
  <c r="N55" i="22"/>
  <c r="O55" i="22" s="1"/>
  <c r="L55" i="21"/>
  <c r="K21" i="22"/>
  <c r="W21" i="22" s="1"/>
  <c r="K51" i="22"/>
  <c r="W51" i="22" s="1"/>
  <c r="K60" i="22"/>
  <c r="W60" i="22" s="1"/>
  <c r="K69" i="22"/>
  <c r="W69" i="22" s="1"/>
  <c r="L18" i="22"/>
  <c r="M18" i="22" s="1"/>
  <c r="K18" i="21"/>
  <c r="K28" i="21"/>
  <c r="L28" i="22"/>
  <c r="M28" i="22" s="1"/>
  <c r="L41" i="22"/>
  <c r="M41" i="22" s="1"/>
  <c r="K41" i="21"/>
  <c r="L57" i="22"/>
  <c r="M57" i="22" s="1"/>
  <c r="K57" i="21"/>
  <c r="P20" i="22"/>
  <c r="Q20" i="22" s="1"/>
  <c r="M20" i="21"/>
  <c r="N20" i="18"/>
  <c r="M48" i="21"/>
  <c r="P48" i="22"/>
  <c r="Q48" i="22" s="1"/>
  <c r="N48" i="18"/>
  <c r="L33" i="22"/>
  <c r="M33" i="22" s="1"/>
  <c r="K33" i="21"/>
  <c r="K13" i="22"/>
  <c r="W13" i="22" s="1"/>
  <c r="K24" i="22"/>
  <c r="W24" i="22" s="1"/>
  <c r="K16" i="22"/>
  <c r="W16" i="22" s="1"/>
  <c r="K26" i="22"/>
  <c r="W26" i="22" s="1"/>
  <c r="N57" i="22"/>
  <c r="O57" i="22" s="1"/>
  <c r="L57" i="21"/>
  <c r="P9" i="22"/>
  <c r="Q9" i="22" s="1"/>
  <c r="M9" i="21"/>
  <c r="N9" i="18"/>
  <c r="M32" i="21"/>
  <c r="P32" i="22"/>
  <c r="Q32" i="22" s="1"/>
  <c r="N32" i="18"/>
  <c r="P59" i="22"/>
  <c r="Q59" i="22" s="1"/>
  <c r="M59" i="21"/>
  <c r="N59" i="18"/>
  <c r="K71" i="22"/>
  <c r="W71" i="22" s="1"/>
  <c r="L18" i="21"/>
  <c r="N18" i="22"/>
  <c r="O18" i="22" s="1"/>
  <c r="P25" i="22"/>
  <c r="Q25" i="22" s="1"/>
  <c r="M25" i="21"/>
  <c r="N25" i="18"/>
  <c r="L70" i="21"/>
  <c r="N70" i="22"/>
  <c r="O70" i="22" s="1"/>
  <c r="K48" i="22"/>
  <c r="W48" i="22" s="1"/>
  <c r="K65" i="22"/>
  <c r="W65" i="22" s="1"/>
  <c r="N6" i="22"/>
  <c r="O6" i="22" s="1"/>
  <c r="L6" i="21"/>
  <c r="N47" i="22"/>
  <c r="O47" i="22" s="1"/>
  <c r="L47" i="21"/>
  <c r="L50" i="21"/>
  <c r="N50" i="22"/>
  <c r="O50" i="22" s="1"/>
  <c r="P13" i="22"/>
  <c r="Q13" i="22" s="1"/>
  <c r="M13" i="21"/>
  <c r="N13" i="18"/>
  <c r="P38" i="22"/>
  <c r="Q38" i="22" s="1"/>
  <c r="M38" i="21"/>
  <c r="N38" i="18"/>
  <c r="M67" i="21"/>
  <c r="P67" i="22"/>
  <c r="Q67" i="22" s="1"/>
  <c r="N67" i="18"/>
  <c r="K41" i="22"/>
  <c r="W41" i="22" s="1"/>
  <c r="K57" i="22"/>
  <c r="W57" i="22" s="1"/>
  <c r="K73" i="22"/>
  <c r="W73" i="22" s="1"/>
  <c r="N41" i="22"/>
  <c r="O41" i="22" s="1"/>
  <c r="L41" i="21"/>
  <c r="N35" i="22"/>
  <c r="O35" i="22" s="1"/>
  <c r="L35" i="21"/>
  <c r="P24" i="22"/>
  <c r="Q24" i="22" s="1"/>
  <c r="M24" i="21"/>
  <c r="N24" i="18"/>
  <c r="M65" i="21"/>
  <c r="P65" i="22"/>
  <c r="Q65" i="22" s="1"/>
  <c r="N65" i="18"/>
  <c r="L23" i="21"/>
  <c r="P10" i="22"/>
  <c r="Q10" i="22" s="1"/>
  <c r="M10" i="21"/>
  <c r="N10" i="18"/>
  <c r="L58" i="21"/>
  <c r="N58" i="22"/>
  <c r="O58" i="22" s="1"/>
  <c r="P60" i="22"/>
  <c r="Q60" i="22" s="1"/>
  <c r="M60" i="21"/>
  <c r="N60" i="18"/>
  <c r="P19" i="22"/>
  <c r="Q19" i="22" s="1"/>
  <c r="M19" i="21"/>
  <c r="N19" i="18"/>
  <c r="P47" i="22"/>
  <c r="Q47" i="22" s="1"/>
  <c r="M47" i="21"/>
  <c r="N47" i="18"/>
  <c r="K18" i="22"/>
  <c r="W18" i="22" s="1"/>
  <c r="K33" i="22"/>
  <c r="W33" i="22" s="1"/>
  <c r="K53" i="22"/>
  <c r="W53" i="22" s="1"/>
  <c r="K70" i="22"/>
  <c r="W70" i="22" s="1"/>
  <c r="N7" i="22"/>
  <c r="O7" i="22" s="1"/>
  <c r="N71" i="22"/>
  <c r="O71" i="22" s="1"/>
  <c r="L71" i="21"/>
  <c r="N73" i="22"/>
  <c r="O73" i="22" s="1"/>
  <c r="L73" i="21"/>
  <c r="P17" i="22"/>
  <c r="Q17" i="22" s="1"/>
  <c r="M17" i="21"/>
  <c r="N17" i="18"/>
  <c r="P45" i="22"/>
  <c r="Q45" i="22" s="1"/>
  <c r="M45" i="21"/>
  <c r="N45" i="18"/>
  <c r="K47" i="22"/>
  <c r="W47" i="22" s="1"/>
  <c r="K63" i="22"/>
  <c r="W63" i="22" s="1"/>
  <c r="N15" i="22"/>
  <c r="O15" i="22" s="1"/>
  <c r="L15" i="21"/>
  <c r="N19" i="22"/>
  <c r="O19" i="22" s="1"/>
  <c r="L19" i="21"/>
  <c r="N26" i="22"/>
  <c r="O26" i="22" s="1"/>
  <c r="L26" i="21"/>
  <c r="N28" i="22"/>
  <c r="O28" i="22" s="1"/>
  <c r="L28" i="21"/>
  <c r="L53" i="21"/>
  <c r="N53" i="22"/>
  <c r="O53" i="22" s="1"/>
  <c r="P56" i="22"/>
  <c r="Q56" i="22" s="1"/>
  <c r="M56" i="21"/>
  <c r="N56" i="18"/>
  <c r="N21" i="22"/>
  <c r="O21" i="22" s="1"/>
  <c r="L21" i="21"/>
  <c r="N42" i="22"/>
  <c r="O42" i="22" s="1"/>
  <c r="L42" i="21"/>
  <c r="P46" i="22"/>
  <c r="Q46" i="22" s="1"/>
  <c r="M46" i="21"/>
  <c r="N46" i="18"/>
  <c r="M30" i="21"/>
  <c r="P30" i="22"/>
  <c r="Q30" i="22" s="1"/>
  <c r="N30" i="18"/>
  <c r="K15" i="22"/>
  <c r="W15" i="22" s="1"/>
  <c r="K28" i="22"/>
  <c r="W28" i="22" s="1"/>
  <c r="K50" i="22"/>
  <c r="W50" i="22" s="1"/>
  <c r="K66" i="22"/>
  <c r="W66" i="22" s="1"/>
  <c r="N12" i="22"/>
  <c r="O12" i="22" s="1"/>
  <c r="L12" i="21"/>
  <c r="L66" i="21"/>
  <c r="N66" i="22"/>
  <c r="O66" i="22" s="1"/>
  <c r="P27" i="22"/>
  <c r="Q27" i="22" s="1"/>
  <c r="M27" i="21"/>
  <c r="N27" i="18"/>
  <c r="K58" i="22"/>
  <c r="W58" i="22" s="1"/>
  <c r="K74" i="22"/>
  <c r="W74" i="22" s="1"/>
  <c r="M51" i="21"/>
  <c r="P51" i="22"/>
  <c r="Q51" i="22" s="1"/>
  <c r="N51" i="18"/>
  <c r="P72" i="22"/>
  <c r="Q72" i="22" s="1"/>
  <c r="M72" i="21"/>
  <c r="N72" i="18"/>
  <c r="N13" i="22"/>
  <c r="O13" i="22" s="1"/>
  <c r="L13" i="21"/>
  <c r="N27" i="22"/>
  <c r="O27" i="22" s="1"/>
  <c r="L27" i="21"/>
  <c r="L48" i="21"/>
  <c r="N48" i="22"/>
  <c r="O48" i="22" s="1"/>
  <c r="L65" i="21"/>
  <c r="N65" i="22"/>
  <c r="O65" i="22" s="1"/>
  <c r="N30" i="22"/>
  <c r="O30" i="22" s="1"/>
  <c r="L30" i="21"/>
  <c r="L51" i="21"/>
  <c r="N51" i="22"/>
  <c r="O51" i="22" s="1"/>
  <c r="L67" i="21"/>
  <c r="N67" i="22"/>
  <c r="O67" i="22" s="1"/>
  <c r="N9" i="22"/>
  <c r="O9" i="22" s="1"/>
  <c r="L9" i="21"/>
  <c r="N24" i="22"/>
  <c r="O24" i="22" s="1"/>
  <c r="L24" i="21"/>
  <c r="N45" i="22"/>
  <c r="O45" i="22" s="1"/>
  <c r="L45" i="21"/>
  <c r="N59" i="22"/>
  <c r="O59" i="22" s="1"/>
  <c r="L59" i="21"/>
  <c r="N20" i="22"/>
  <c r="O20" i="22" s="1"/>
  <c r="L20" i="21"/>
  <c r="N38" i="22"/>
  <c r="O38" i="22" s="1"/>
  <c r="L38" i="21"/>
  <c r="N56" i="22"/>
  <c r="O56" i="22" s="1"/>
  <c r="L56" i="21"/>
  <c r="N72" i="22"/>
  <c r="O72" i="22" s="1"/>
  <c r="L72" i="21"/>
  <c r="N17" i="22"/>
  <c r="O17" i="22" s="1"/>
  <c r="L17" i="21"/>
  <c r="N32" i="22"/>
  <c r="O32" i="22" s="1"/>
  <c r="L32" i="21"/>
  <c r="L69" i="21"/>
  <c r="N10" i="22"/>
  <c r="O10" i="22" s="1"/>
  <c r="L10" i="21"/>
  <c r="N25" i="22"/>
  <c r="O25" i="22" s="1"/>
  <c r="L25" i="21"/>
  <c r="N46" i="22"/>
  <c r="O46" i="22" s="1"/>
  <c r="L46" i="21"/>
  <c r="N60" i="22"/>
  <c r="O60" i="22" s="1"/>
  <c r="L60" i="21"/>
  <c r="F59" i="28" l="1"/>
  <c r="O72" i="8"/>
  <c r="G467" i="1"/>
  <c r="H467" i="1" s="1"/>
  <c r="B55" i="4"/>
  <c r="F55" i="4" s="1"/>
  <c r="E37" i="5" s="1"/>
  <c r="J59" i="31"/>
  <c r="K59" i="31" s="1"/>
  <c r="I59" i="31"/>
  <c r="I59" i="20" s="1"/>
  <c r="O74" i="10"/>
  <c r="J59" i="32"/>
  <c r="K59" i="32" s="1"/>
  <c r="I59" i="32"/>
  <c r="N59" i="20" s="1"/>
  <c r="N59" i="6"/>
  <c r="J73" i="32"/>
  <c r="K73" i="32" s="1"/>
  <c r="I73" i="32"/>
  <c r="N73" i="20" s="1"/>
  <c r="O59" i="33"/>
  <c r="J59" i="33"/>
  <c r="K59" i="33" s="1"/>
  <c r="I59" i="33"/>
  <c r="O59" i="20" s="1"/>
  <c r="I72" i="29"/>
  <c r="H72" i="20" s="1"/>
  <c r="J72" i="29"/>
  <c r="K72" i="29" s="1"/>
  <c r="O73" i="31"/>
  <c r="J73" i="31"/>
  <c r="K73" i="31" s="1"/>
  <c r="O72" i="33"/>
  <c r="J72" i="33"/>
  <c r="K72" i="33" s="1"/>
  <c r="I72" i="33"/>
  <c r="O72" i="20" s="1"/>
  <c r="O72" i="18"/>
  <c r="O73" i="33"/>
  <c r="J73" i="33"/>
  <c r="K73" i="33" s="1"/>
  <c r="I73" i="33"/>
  <c r="O73" i="20" s="1"/>
  <c r="N74" i="6"/>
  <c r="I73" i="31"/>
  <c r="I73" i="20" s="1"/>
  <c r="I74" i="29"/>
  <c r="H74" i="20" s="1"/>
  <c r="J74" i="29"/>
  <c r="K74" i="29" s="1"/>
  <c r="O74" i="31"/>
  <c r="J74" i="31"/>
  <c r="K74" i="31" s="1"/>
  <c r="J74" i="32"/>
  <c r="K74" i="32" s="1"/>
  <c r="I74" i="32"/>
  <c r="N74" i="20" s="1"/>
  <c r="N73" i="6"/>
  <c r="J74" i="33"/>
  <c r="K74" i="33" s="1"/>
  <c r="O74" i="33"/>
  <c r="I74" i="33"/>
  <c r="O74" i="20" s="1"/>
  <c r="N72" i="6"/>
  <c r="J59" i="29"/>
  <c r="K59" i="29" s="1"/>
  <c r="I59" i="29"/>
  <c r="H59" i="20" s="1"/>
  <c r="O72" i="31"/>
  <c r="J72" i="31"/>
  <c r="K72" i="31" s="1"/>
  <c r="I73" i="29"/>
  <c r="H73" i="20" s="1"/>
  <c r="J73" i="29"/>
  <c r="K73" i="29" s="1"/>
  <c r="O59" i="31"/>
  <c r="J72" i="32"/>
  <c r="K72" i="32" s="1"/>
  <c r="I72" i="32"/>
  <c r="N72" i="20" s="1"/>
  <c r="O73" i="8"/>
  <c r="O74" i="8"/>
  <c r="O59" i="8"/>
  <c r="O72" i="10"/>
  <c r="O73" i="10"/>
  <c r="O73" i="18"/>
  <c r="O74" i="18"/>
  <c r="O59" i="10"/>
  <c r="I59" i="14"/>
  <c r="K59" i="20" s="1"/>
  <c r="O59" i="14"/>
  <c r="J59" i="18"/>
  <c r="K59" i="18" s="1"/>
  <c r="O59" i="18"/>
  <c r="N67" i="10"/>
  <c r="F73" i="28"/>
  <c r="E73" i="28"/>
  <c r="F74" i="28"/>
  <c r="E74" i="28"/>
  <c r="F72" i="28"/>
  <c r="E72" i="28"/>
  <c r="N59" i="28"/>
  <c r="P59" i="28" s="1"/>
  <c r="L59" i="28"/>
  <c r="J59" i="20" s="1"/>
  <c r="O59" i="28"/>
  <c r="Q59" i="28" s="1"/>
  <c r="M59" i="28"/>
  <c r="E315" i="1"/>
  <c r="F315" i="1" s="1"/>
  <c r="C315" i="1"/>
  <c r="D315" i="1" s="1"/>
  <c r="B95" i="4"/>
  <c r="E320" i="1"/>
  <c r="F320" i="1" s="1"/>
  <c r="G333" i="1"/>
  <c r="H333" i="1" s="1"/>
  <c r="C333" i="1"/>
  <c r="D333" i="1" s="1"/>
  <c r="E333" i="1"/>
  <c r="F333" i="1" s="1"/>
  <c r="E99" i="4"/>
  <c r="E61" i="4"/>
  <c r="G315" i="1"/>
  <c r="H315" i="1" s="1"/>
  <c r="D29" i="4"/>
  <c r="F29" i="4" s="1"/>
  <c r="H29" i="4" s="1"/>
  <c r="C442" i="1"/>
  <c r="G442" i="1"/>
  <c r="H442" i="1" s="1"/>
  <c r="E442" i="1"/>
  <c r="F442" i="1" s="1"/>
  <c r="D49" i="4"/>
  <c r="F49" i="4" s="1"/>
  <c r="H49" i="4" s="1"/>
  <c r="G441" i="1"/>
  <c r="H441" i="1" s="1"/>
  <c r="E441" i="1"/>
  <c r="C441" i="1"/>
  <c r="D441" i="1" s="1"/>
  <c r="C436" i="1"/>
  <c r="G436" i="1"/>
  <c r="H436" i="1" s="1"/>
  <c r="E436" i="1"/>
  <c r="G439" i="1"/>
  <c r="H439" i="1" s="1"/>
  <c r="E439" i="1"/>
  <c r="C439" i="1"/>
  <c r="C443" i="1"/>
  <c r="G443" i="1"/>
  <c r="H443" i="1" s="1"/>
  <c r="E443" i="1"/>
  <c r="G437" i="1"/>
  <c r="H437" i="1" s="1"/>
  <c r="E437" i="1"/>
  <c r="C437" i="1"/>
  <c r="D437" i="1" s="1"/>
  <c r="G438" i="1"/>
  <c r="H438" i="1" s="1"/>
  <c r="E438" i="1"/>
  <c r="F438" i="1" s="1"/>
  <c r="C438" i="1"/>
  <c r="G440" i="1"/>
  <c r="H440" i="1" s="1"/>
  <c r="C440" i="1"/>
  <c r="D440" i="1" s="1"/>
  <c r="E440" i="1"/>
  <c r="F440" i="1" s="1"/>
  <c r="H67" i="4"/>
  <c r="E48" i="5"/>
  <c r="H63" i="4"/>
  <c r="E44" i="5"/>
  <c r="E306" i="1"/>
  <c r="F306" i="1" s="1"/>
  <c r="E24" i="5"/>
  <c r="E47" i="5"/>
  <c r="E28" i="5"/>
  <c r="E65" i="5"/>
  <c r="E52" i="5"/>
  <c r="E57" i="5"/>
  <c r="E50" i="5"/>
  <c r="G320" i="1"/>
  <c r="H320" i="1" s="1"/>
  <c r="N7" i="10"/>
  <c r="G7" i="21"/>
  <c r="G67" i="21"/>
  <c r="C300" i="1"/>
  <c r="D300" i="1" s="1"/>
  <c r="E300" i="1"/>
  <c r="F300" i="1" s="1"/>
  <c r="G381" i="1"/>
  <c r="H381" i="1" s="1"/>
  <c r="E381" i="1"/>
  <c r="F381" i="1" s="1"/>
  <c r="E301" i="1"/>
  <c r="F301" i="1" s="1"/>
  <c r="C301" i="1"/>
  <c r="D301" i="1" s="1"/>
  <c r="C306" i="1"/>
  <c r="D306" i="1" s="1"/>
  <c r="G481" i="1"/>
  <c r="H481" i="1" s="1"/>
  <c r="C464" i="1"/>
  <c r="D464" i="1" s="1"/>
  <c r="E464" i="1"/>
  <c r="F464" i="1" s="1"/>
  <c r="C475" i="1"/>
  <c r="D475" i="1" s="1"/>
  <c r="E475" i="1"/>
  <c r="F475" i="1" s="1"/>
  <c r="C476" i="1"/>
  <c r="D476" i="1" s="1"/>
  <c r="E476" i="1"/>
  <c r="F476" i="1" s="1"/>
  <c r="C305" i="1"/>
  <c r="D305" i="1" s="1"/>
  <c r="E302" i="1"/>
  <c r="F302" i="1" s="1"/>
  <c r="C421" i="1"/>
  <c r="D421" i="1" s="1"/>
  <c r="E305" i="1"/>
  <c r="F305" i="1" s="1"/>
  <c r="C304" i="1"/>
  <c r="D304" i="1" s="1"/>
  <c r="E304" i="1"/>
  <c r="F304" i="1" s="1"/>
  <c r="E303" i="1"/>
  <c r="F303" i="1" s="1"/>
  <c r="C303" i="1"/>
  <c r="D303" i="1" s="1"/>
  <c r="C302" i="1"/>
  <c r="D302" i="1" s="1"/>
  <c r="C387" i="1"/>
  <c r="D387" i="1" s="1"/>
  <c r="E387" i="1"/>
  <c r="F387" i="1" s="1"/>
  <c r="C493" i="1"/>
  <c r="D493" i="1" s="1"/>
  <c r="C449" i="1"/>
  <c r="D449" i="1" s="1"/>
  <c r="G520" i="1"/>
  <c r="H520" i="1" s="1"/>
  <c r="E316" i="1"/>
  <c r="F316" i="1" s="1"/>
  <c r="E520" i="1"/>
  <c r="F520" i="1" s="1"/>
  <c r="B27" i="4"/>
  <c r="F27" i="4" s="1"/>
  <c r="H27" i="4" s="1"/>
  <c r="C316" i="1"/>
  <c r="D316" i="1" s="1"/>
  <c r="C501" i="1"/>
  <c r="D501" i="1" s="1"/>
  <c r="E378" i="1"/>
  <c r="F378" i="1" s="1"/>
  <c r="F30" i="22"/>
  <c r="G30" i="22" s="1"/>
  <c r="F47" i="4"/>
  <c r="H47" i="4" s="1"/>
  <c r="G367" i="1"/>
  <c r="H367" i="1" s="1"/>
  <c r="D71" i="4"/>
  <c r="F71" i="4" s="1"/>
  <c r="H71" i="4" s="1"/>
  <c r="C370" i="1"/>
  <c r="D370" i="1" s="1"/>
  <c r="E402" i="1"/>
  <c r="F402" i="1" s="1"/>
  <c r="H7" i="25"/>
  <c r="E371" i="1"/>
  <c r="F371" i="1" s="1"/>
  <c r="G524" i="1"/>
  <c r="H524" i="1" s="1"/>
  <c r="C524" i="1"/>
  <c r="D524" i="1" s="1"/>
  <c r="G507" i="1"/>
  <c r="H507" i="1" s="1"/>
  <c r="N58" i="10"/>
  <c r="K63" i="21"/>
  <c r="I59" i="6"/>
  <c r="J59" i="6"/>
  <c r="K59" i="6" s="1"/>
  <c r="G516" i="1"/>
  <c r="H516" i="1" s="1"/>
  <c r="B51" i="4"/>
  <c r="E66" i="21"/>
  <c r="B31" i="4"/>
  <c r="F31" i="4" s="1"/>
  <c r="H31" i="4" s="1"/>
  <c r="G347" i="1"/>
  <c r="H347" i="1" s="1"/>
  <c r="C516" i="1"/>
  <c r="D516" i="1" s="1"/>
  <c r="H410" i="1"/>
  <c r="C461" i="1"/>
  <c r="D461" i="1" s="1"/>
  <c r="N52" i="18"/>
  <c r="M52" i="21"/>
  <c r="G30" i="21"/>
  <c r="N69" i="18"/>
  <c r="M69" i="21"/>
  <c r="I59" i="8"/>
  <c r="E59" i="20" s="1"/>
  <c r="E417" i="1"/>
  <c r="F417" i="1" s="1"/>
  <c r="D61" i="4"/>
  <c r="C465" i="1"/>
  <c r="D465" i="1" s="1"/>
  <c r="G465" i="1"/>
  <c r="H465" i="1" s="1"/>
  <c r="C347" i="1"/>
  <c r="D347" i="1" s="1"/>
  <c r="C494" i="1"/>
  <c r="D494" i="1" s="1"/>
  <c r="C509" i="1"/>
  <c r="D509" i="1" s="1"/>
  <c r="G523" i="1"/>
  <c r="H523" i="1" s="1"/>
  <c r="D99" i="4"/>
  <c r="B97" i="4"/>
  <c r="G491" i="1"/>
  <c r="H491" i="1" s="1"/>
  <c r="G494" i="1"/>
  <c r="H494" i="1" s="1"/>
  <c r="G508" i="1"/>
  <c r="H508" i="1" s="1"/>
  <c r="G417" i="1"/>
  <c r="H417" i="1" s="1"/>
  <c r="C491" i="1"/>
  <c r="D491" i="1" s="1"/>
  <c r="H12" i="25"/>
  <c r="E392" i="1"/>
  <c r="F392" i="1" s="1"/>
  <c r="E411" i="1"/>
  <c r="F411" i="1" s="1"/>
  <c r="C411" i="1"/>
  <c r="D411" i="1" s="1"/>
  <c r="E370" i="1"/>
  <c r="F370" i="1" s="1"/>
  <c r="F57" i="4"/>
  <c r="H57" i="4" s="1"/>
  <c r="G493" i="1"/>
  <c r="H493" i="1" s="1"/>
  <c r="G504" i="1"/>
  <c r="H504" i="1" s="1"/>
  <c r="C482" i="1"/>
  <c r="D482" i="1" s="1"/>
  <c r="G490" i="1"/>
  <c r="H490" i="1" s="1"/>
  <c r="C506" i="1"/>
  <c r="D506" i="1" s="1"/>
  <c r="G328" i="1"/>
  <c r="H328" i="1" s="1"/>
  <c r="B9" i="4"/>
  <c r="G449" i="1"/>
  <c r="H449" i="1" s="1"/>
  <c r="G517" i="1"/>
  <c r="H517" i="1" s="1"/>
  <c r="C525" i="1"/>
  <c r="D525" i="1" s="1"/>
  <c r="C328" i="1"/>
  <c r="D328" i="1" s="1"/>
  <c r="G421" i="1"/>
  <c r="H421" i="1" s="1"/>
  <c r="C378" i="1"/>
  <c r="D378" i="1" s="1"/>
  <c r="G392" i="1"/>
  <c r="H392" i="1" s="1"/>
  <c r="C334" i="1"/>
  <c r="D334" i="1" s="1"/>
  <c r="G485" i="1"/>
  <c r="H485" i="1" s="1"/>
  <c r="G514" i="1"/>
  <c r="H514" i="1" s="1"/>
  <c r="H6" i="25"/>
  <c r="B45" i="4"/>
  <c r="F45" i="4" s="1"/>
  <c r="H45" i="4" s="1"/>
  <c r="C340" i="1"/>
  <c r="D340" i="1" s="1"/>
  <c r="G389" i="1"/>
  <c r="H389" i="1" s="1"/>
  <c r="E403" i="1"/>
  <c r="F403" i="1" s="1"/>
  <c r="E368" i="1"/>
  <c r="F368" i="1" s="1"/>
  <c r="E334" i="1"/>
  <c r="F334" i="1" s="1"/>
  <c r="E394" i="1"/>
  <c r="F394" i="1" s="1"/>
  <c r="C320" i="1"/>
  <c r="D320" i="1" s="1"/>
  <c r="E374" i="1"/>
  <c r="F374" i="1" s="1"/>
  <c r="C363" i="1"/>
  <c r="D363" i="1" s="1"/>
  <c r="C348" i="1"/>
  <c r="D348" i="1" s="1"/>
  <c r="G371" i="1"/>
  <c r="H371" i="1" s="1"/>
  <c r="C514" i="1"/>
  <c r="D514" i="1" s="1"/>
  <c r="E428" i="1"/>
  <c r="F428" i="1" s="1"/>
  <c r="C376" i="1"/>
  <c r="D376" i="1" s="1"/>
  <c r="G317" i="1"/>
  <c r="H317" i="1" s="1"/>
  <c r="E376" i="1"/>
  <c r="F376" i="1" s="1"/>
  <c r="C344" i="1"/>
  <c r="D344" i="1" s="1"/>
  <c r="H13" i="25"/>
  <c r="C323" i="1"/>
  <c r="D323" i="1" s="1"/>
  <c r="G394" i="1"/>
  <c r="H394" i="1" s="1"/>
  <c r="G387" i="1"/>
  <c r="H387" i="1" s="1"/>
  <c r="C389" i="1"/>
  <c r="D389" i="1" s="1"/>
  <c r="C371" i="1"/>
  <c r="D371" i="1" s="1"/>
  <c r="C338" i="1"/>
  <c r="D338" i="1" s="1"/>
  <c r="C374" i="1"/>
  <c r="D374" i="1" s="1"/>
  <c r="C517" i="1"/>
  <c r="D517" i="1" s="1"/>
  <c r="C403" i="1"/>
  <c r="D403" i="1" s="1"/>
  <c r="C510" i="1"/>
  <c r="D510" i="1" s="1"/>
  <c r="E510" i="1"/>
  <c r="F510" i="1" s="1"/>
  <c r="G422" i="1"/>
  <c r="H422" i="1" s="1"/>
  <c r="G525" i="1"/>
  <c r="H525" i="1" s="1"/>
  <c r="B17" i="4"/>
  <c r="C496" i="1"/>
  <c r="D496" i="1" s="1"/>
  <c r="C473" i="1"/>
  <c r="D473" i="1" s="1"/>
  <c r="C470" i="1"/>
  <c r="D470" i="1" s="1"/>
  <c r="G353" i="1"/>
  <c r="H353" i="1" s="1"/>
  <c r="E422" i="1"/>
  <c r="F422" i="1" s="1"/>
  <c r="C353" i="1"/>
  <c r="D353" i="1" s="1"/>
  <c r="B13" i="4"/>
  <c r="F13" i="4" s="1"/>
  <c r="H13" i="4" s="1"/>
  <c r="E482" i="1"/>
  <c r="F482" i="1" s="1"/>
  <c r="B75" i="4"/>
  <c r="F75" i="4" s="1"/>
  <c r="H75" i="4" s="1"/>
  <c r="C428" i="1"/>
  <c r="D428" i="1" s="1"/>
  <c r="G475" i="1"/>
  <c r="H475" i="1" s="1"/>
  <c r="E309" i="1"/>
  <c r="F309" i="1" s="1"/>
  <c r="E395" i="1"/>
  <c r="F395" i="1" s="1"/>
  <c r="C499" i="1"/>
  <c r="D499" i="1" s="1"/>
  <c r="E512" i="1"/>
  <c r="F512" i="1" s="1"/>
  <c r="E425" i="1"/>
  <c r="F425" i="1" s="1"/>
  <c r="G464" i="1"/>
  <c r="H464" i="1" s="1"/>
  <c r="C425" i="1"/>
  <c r="D425" i="1" s="1"/>
  <c r="E526" i="1"/>
  <c r="F526" i="1" s="1"/>
  <c r="E508" i="1"/>
  <c r="F508" i="1" s="1"/>
  <c r="C41" i="4"/>
  <c r="C487" i="1"/>
  <c r="D487" i="1" s="1"/>
  <c r="E398" i="1"/>
  <c r="F398" i="1" s="1"/>
  <c r="C400" i="1"/>
  <c r="D400" i="1" s="1"/>
  <c r="C455" i="1"/>
  <c r="D455" i="1" s="1"/>
  <c r="G452" i="1"/>
  <c r="H452" i="1" s="1"/>
  <c r="G487" i="1"/>
  <c r="H487" i="1" s="1"/>
  <c r="D17" i="4"/>
  <c r="E522" i="1"/>
  <c r="F522" i="1" s="1"/>
  <c r="C526" i="1"/>
  <c r="D526" i="1" s="1"/>
  <c r="C489" i="1"/>
  <c r="D489" i="1" s="1"/>
  <c r="E357" i="1"/>
  <c r="F357" i="1" s="1"/>
  <c r="D65" i="4"/>
  <c r="G522" i="1"/>
  <c r="H522" i="1" s="1"/>
  <c r="E386" i="1"/>
  <c r="F386" i="1" s="1"/>
  <c r="E511" i="1"/>
  <c r="F511" i="1" s="1"/>
  <c r="G497" i="1"/>
  <c r="H497" i="1" s="1"/>
  <c r="F410" i="1"/>
  <c r="G337" i="1"/>
  <c r="H337" i="1" s="1"/>
  <c r="C518" i="1"/>
  <c r="D518" i="1" s="1"/>
  <c r="D410" i="1"/>
  <c r="G511" i="1"/>
  <c r="H511" i="1" s="1"/>
  <c r="D9" i="4"/>
  <c r="G518" i="1"/>
  <c r="H518" i="1" s="1"/>
  <c r="D79" i="4"/>
  <c r="G324" i="1"/>
  <c r="H324" i="1" s="1"/>
  <c r="G460" i="1"/>
  <c r="H460" i="1" s="1"/>
  <c r="C342" i="1"/>
  <c r="D342" i="1" s="1"/>
  <c r="C395" i="1"/>
  <c r="D395" i="1" s="1"/>
  <c r="D97" i="4"/>
  <c r="G455" i="1"/>
  <c r="H455" i="1" s="1"/>
  <c r="C386" i="1"/>
  <c r="D386" i="1" s="1"/>
  <c r="C377" i="1"/>
  <c r="D377" i="1" s="1"/>
  <c r="C503" i="1"/>
  <c r="D503" i="1" s="1"/>
  <c r="E405" i="1"/>
  <c r="F405" i="1" s="1"/>
  <c r="C484" i="1"/>
  <c r="D484" i="1" s="1"/>
  <c r="G398" i="1"/>
  <c r="H398" i="1" s="1"/>
  <c r="C508" i="1"/>
  <c r="D508" i="1" s="1"/>
  <c r="C357" i="1"/>
  <c r="D357" i="1" s="1"/>
  <c r="B41" i="4"/>
  <c r="C346" i="1"/>
  <c r="D346" i="1" s="1"/>
  <c r="C331" i="1"/>
  <c r="D331" i="1" s="1"/>
  <c r="E523" i="1"/>
  <c r="F523" i="1" s="1"/>
  <c r="B65" i="4"/>
  <c r="G309" i="1"/>
  <c r="H309" i="1" s="1"/>
  <c r="E506" i="1"/>
  <c r="F506" i="1" s="1"/>
  <c r="C341" i="1"/>
  <c r="D341" i="1" s="1"/>
  <c r="C329" i="1"/>
  <c r="D329" i="1" s="1"/>
  <c r="C402" i="1"/>
  <c r="D402" i="1" s="1"/>
  <c r="G330" i="1"/>
  <c r="H330" i="1" s="1"/>
  <c r="D91" i="4"/>
  <c r="F91" i="4" s="1"/>
  <c r="H91" i="4" s="1"/>
  <c r="G332" i="1"/>
  <c r="H332" i="1" s="1"/>
  <c r="C332" i="1"/>
  <c r="D332" i="1" s="1"/>
  <c r="G419" i="1"/>
  <c r="H419" i="1" s="1"/>
  <c r="E419" i="1"/>
  <c r="F419" i="1" s="1"/>
  <c r="E406" i="1"/>
  <c r="F406" i="1" s="1"/>
  <c r="B21" i="4"/>
  <c r="F21" i="4" s="1"/>
  <c r="H21" i="4" s="1"/>
  <c r="E519" i="1"/>
  <c r="F519" i="1" s="1"/>
  <c r="C65" i="4"/>
  <c r="N66" i="8"/>
  <c r="G329" i="1"/>
  <c r="H329" i="1" s="1"/>
  <c r="C388" i="1"/>
  <c r="D388" i="1" s="1"/>
  <c r="D51" i="4"/>
  <c r="G401" i="1"/>
  <c r="H401" i="1" s="1"/>
  <c r="C401" i="1"/>
  <c r="D401" i="1" s="1"/>
  <c r="D39" i="4"/>
  <c r="C366" i="1"/>
  <c r="D366" i="1" s="1"/>
  <c r="G366" i="1"/>
  <c r="H366" i="1" s="1"/>
  <c r="G444" i="1"/>
  <c r="H444" i="1" s="1"/>
  <c r="C444" i="1"/>
  <c r="D444" i="1" s="1"/>
  <c r="C384" i="1"/>
  <c r="D384" i="1" s="1"/>
  <c r="G478" i="1"/>
  <c r="H478" i="1" s="1"/>
  <c r="C519" i="1"/>
  <c r="D519" i="1" s="1"/>
  <c r="E418" i="1"/>
  <c r="F418" i="1" s="1"/>
  <c r="C512" i="1"/>
  <c r="D512" i="1" s="1"/>
  <c r="G369" i="1"/>
  <c r="H369" i="1" s="1"/>
  <c r="E515" i="1"/>
  <c r="F515" i="1" s="1"/>
  <c r="G463" i="1"/>
  <c r="H463" i="1" s="1"/>
  <c r="C313" i="1"/>
  <c r="D313" i="1" s="1"/>
  <c r="C322" i="1"/>
  <c r="D322" i="1" s="1"/>
  <c r="G322" i="1"/>
  <c r="H322" i="1" s="1"/>
  <c r="C418" i="1"/>
  <c r="D418" i="1" s="1"/>
  <c r="C447" i="1"/>
  <c r="D447" i="1" s="1"/>
  <c r="E414" i="1"/>
  <c r="F414" i="1" s="1"/>
  <c r="B39" i="4"/>
  <c r="G420" i="1"/>
  <c r="H420" i="1" s="1"/>
  <c r="D23" i="4"/>
  <c r="F23" i="4" s="1"/>
  <c r="H23" i="4" s="1"/>
  <c r="G351" i="1"/>
  <c r="H351" i="1" s="1"/>
  <c r="E351" i="1"/>
  <c r="F351" i="1" s="1"/>
  <c r="G408" i="1"/>
  <c r="H408" i="1" s="1"/>
  <c r="E408" i="1"/>
  <c r="F408" i="1" s="1"/>
  <c r="G472" i="1"/>
  <c r="H472" i="1" s="1"/>
  <c r="C472" i="1"/>
  <c r="D472" i="1" s="1"/>
  <c r="G354" i="1"/>
  <c r="H354" i="1" s="1"/>
  <c r="C354" i="1"/>
  <c r="D354" i="1" s="1"/>
  <c r="G327" i="1"/>
  <c r="H327" i="1" s="1"/>
  <c r="C327" i="1"/>
  <c r="D327" i="1" s="1"/>
  <c r="G445" i="1"/>
  <c r="H445" i="1" s="1"/>
  <c r="E445" i="1"/>
  <c r="F445" i="1" s="1"/>
  <c r="C445" i="1"/>
  <c r="D445" i="1" s="1"/>
  <c r="E384" i="1"/>
  <c r="F384" i="1" s="1"/>
  <c r="G500" i="1"/>
  <c r="H500" i="1" s="1"/>
  <c r="C406" i="1"/>
  <c r="D406" i="1" s="1"/>
  <c r="C414" i="1"/>
  <c r="D414" i="1" s="1"/>
  <c r="E388" i="1"/>
  <c r="F388" i="1" s="1"/>
  <c r="E420" i="1"/>
  <c r="F420" i="1" s="1"/>
  <c r="G498" i="1"/>
  <c r="H498" i="1" s="1"/>
  <c r="C498" i="1"/>
  <c r="D498" i="1" s="1"/>
  <c r="E407" i="1"/>
  <c r="F407" i="1" s="1"/>
  <c r="G407" i="1"/>
  <c r="H407" i="1" s="1"/>
  <c r="B79" i="4"/>
  <c r="C448" i="1"/>
  <c r="D448" i="1" s="1"/>
  <c r="D95" i="4"/>
  <c r="G319" i="1"/>
  <c r="H319" i="1" s="1"/>
  <c r="C319" i="1"/>
  <c r="D319" i="1" s="1"/>
  <c r="C467" i="1"/>
  <c r="D467" i="1" s="1"/>
  <c r="G341" i="1"/>
  <c r="H341" i="1" s="1"/>
  <c r="G350" i="1"/>
  <c r="H350" i="1" s="1"/>
  <c r="C350" i="1"/>
  <c r="D350" i="1" s="1"/>
  <c r="C330" i="1"/>
  <c r="D330" i="1" s="1"/>
  <c r="C515" i="1"/>
  <c r="D515" i="1" s="1"/>
  <c r="C405" i="1"/>
  <c r="D405" i="1" s="1"/>
  <c r="B83" i="4"/>
  <c r="F83" i="4" s="1"/>
  <c r="H83" i="4" s="1"/>
  <c r="C495" i="1"/>
  <c r="D495" i="1" s="1"/>
  <c r="G335" i="1"/>
  <c r="H335" i="1" s="1"/>
  <c r="C335" i="1"/>
  <c r="D335" i="1" s="1"/>
  <c r="C343" i="1"/>
  <c r="D343" i="1" s="1"/>
  <c r="G343" i="1"/>
  <c r="H343" i="1" s="1"/>
  <c r="K58" i="21"/>
  <c r="K47" i="21"/>
  <c r="L47" i="22"/>
  <c r="M47" i="22" s="1"/>
  <c r="F63" i="22"/>
  <c r="G63" i="22" s="1"/>
  <c r="I59" i="17"/>
  <c r="L59" i="20" s="1"/>
  <c r="G527" i="1"/>
  <c r="H527" i="1" s="1"/>
  <c r="E527" i="1"/>
  <c r="F527" i="1" s="1"/>
  <c r="C527" i="1"/>
  <c r="D527" i="1" s="1"/>
  <c r="G521" i="1"/>
  <c r="H521" i="1" s="1"/>
  <c r="E521" i="1"/>
  <c r="F521" i="1" s="1"/>
  <c r="G505" i="1"/>
  <c r="H505" i="1" s="1"/>
  <c r="C505" i="1"/>
  <c r="D505" i="1" s="1"/>
  <c r="G502" i="1"/>
  <c r="H502" i="1" s="1"/>
  <c r="E502" i="1"/>
  <c r="F502" i="1" s="1"/>
  <c r="G492" i="1"/>
  <c r="H492" i="1" s="1"/>
  <c r="C492" i="1"/>
  <c r="D492" i="1" s="1"/>
  <c r="G480" i="1"/>
  <c r="H480" i="1" s="1"/>
  <c r="C480" i="1"/>
  <c r="D480" i="1" s="1"/>
  <c r="G479" i="1"/>
  <c r="H479" i="1" s="1"/>
  <c r="C479" i="1"/>
  <c r="D479" i="1" s="1"/>
  <c r="G477" i="1"/>
  <c r="H477" i="1" s="1"/>
  <c r="C477" i="1"/>
  <c r="D477" i="1" s="1"/>
  <c r="G476" i="1"/>
  <c r="H476" i="1" s="1"/>
  <c r="C474" i="1"/>
  <c r="D474" i="1" s="1"/>
  <c r="G474" i="1"/>
  <c r="H474" i="1" s="1"/>
  <c r="C459" i="1"/>
  <c r="D459" i="1" s="1"/>
  <c r="G459" i="1"/>
  <c r="H459" i="1" s="1"/>
  <c r="G454" i="1"/>
  <c r="H454" i="1" s="1"/>
  <c r="C454" i="1"/>
  <c r="D454" i="1" s="1"/>
  <c r="C453" i="1"/>
  <c r="D453" i="1" s="1"/>
  <c r="G453" i="1"/>
  <c r="H453" i="1" s="1"/>
  <c r="C450" i="1"/>
  <c r="D450" i="1" s="1"/>
  <c r="G450" i="1"/>
  <c r="H450" i="1" s="1"/>
  <c r="E435" i="1"/>
  <c r="F435" i="1" s="1"/>
  <c r="G435" i="1"/>
  <c r="H435" i="1" s="1"/>
  <c r="G430" i="1"/>
  <c r="H430" i="1" s="1"/>
  <c r="E430" i="1"/>
  <c r="F430" i="1" s="1"/>
  <c r="C430" i="1"/>
  <c r="D430" i="1" s="1"/>
  <c r="G429" i="1"/>
  <c r="H429" i="1" s="1"/>
  <c r="C429" i="1"/>
  <c r="D429" i="1" s="1"/>
  <c r="E426" i="1"/>
  <c r="F426" i="1" s="1"/>
  <c r="G426" i="1"/>
  <c r="H426" i="1" s="1"/>
  <c r="E424" i="1"/>
  <c r="F424" i="1" s="1"/>
  <c r="G424" i="1"/>
  <c r="H424" i="1" s="1"/>
  <c r="G416" i="1"/>
  <c r="H416" i="1" s="1"/>
  <c r="E416" i="1"/>
  <c r="F416" i="1" s="1"/>
  <c r="E415" i="1"/>
  <c r="F415" i="1" s="1"/>
  <c r="G415" i="1"/>
  <c r="H415" i="1" s="1"/>
  <c r="G413" i="1"/>
  <c r="H413" i="1" s="1"/>
  <c r="E413" i="1"/>
  <c r="F413" i="1" s="1"/>
  <c r="G409" i="1"/>
  <c r="H409" i="1" s="1"/>
  <c r="E409" i="1"/>
  <c r="F409" i="1" s="1"/>
  <c r="E404" i="1"/>
  <c r="F404" i="1" s="1"/>
  <c r="C404" i="1"/>
  <c r="D404" i="1" s="1"/>
  <c r="G404" i="1"/>
  <c r="H404" i="1" s="1"/>
  <c r="G397" i="1"/>
  <c r="H397" i="1" s="1"/>
  <c r="E397" i="1"/>
  <c r="F397" i="1" s="1"/>
  <c r="G396" i="1"/>
  <c r="H396" i="1" s="1"/>
  <c r="E396" i="1"/>
  <c r="F396" i="1" s="1"/>
  <c r="G393" i="1"/>
  <c r="H393" i="1" s="1"/>
  <c r="E393" i="1"/>
  <c r="F393" i="1" s="1"/>
  <c r="G390" i="1"/>
  <c r="H390" i="1" s="1"/>
  <c r="E390" i="1"/>
  <c r="F390" i="1" s="1"/>
  <c r="C390" i="1"/>
  <c r="D390" i="1" s="1"/>
  <c r="C385" i="1"/>
  <c r="D385" i="1" s="1"/>
  <c r="G385" i="1"/>
  <c r="H385" i="1" s="1"/>
  <c r="E382" i="1"/>
  <c r="F382" i="1" s="1"/>
  <c r="G382" i="1"/>
  <c r="H382" i="1" s="1"/>
  <c r="C381" i="1"/>
  <c r="D381" i="1" s="1"/>
  <c r="G379" i="1"/>
  <c r="H379" i="1" s="1"/>
  <c r="E379" i="1"/>
  <c r="F379" i="1" s="1"/>
  <c r="C379" i="1"/>
  <c r="D379" i="1" s="1"/>
  <c r="G375" i="1"/>
  <c r="H375" i="1" s="1"/>
  <c r="C375" i="1"/>
  <c r="D375" i="1" s="1"/>
  <c r="E373" i="1"/>
  <c r="F373" i="1" s="1"/>
  <c r="G373" i="1"/>
  <c r="H373" i="1" s="1"/>
  <c r="C368" i="1"/>
  <c r="D368" i="1" s="1"/>
  <c r="G364" i="1"/>
  <c r="H364" i="1" s="1"/>
  <c r="E364" i="1"/>
  <c r="F364" i="1" s="1"/>
  <c r="E363" i="1"/>
  <c r="F363" i="1" s="1"/>
  <c r="G359" i="1"/>
  <c r="H359" i="1" s="1"/>
  <c r="E359" i="1"/>
  <c r="F359" i="1" s="1"/>
  <c r="G345" i="1"/>
  <c r="H345" i="1" s="1"/>
  <c r="E345" i="1"/>
  <c r="F345" i="1" s="1"/>
  <c r="G339" i="1"/>
  <c r="H339" i="1" s="1"/>
  <c r="C339" i="1"/>
  <c r="D339" i="1" s="1"/>
  <c r="E336" i="1"/>
  <c r="F336" i="1" s="1"/>
  <c r="G336" i="1"/>
  <c r="H336" i="1" s="1"/>
  <c r="C336" i="1"/>
  <c r="D336" i="1" s="1"/>
  <c r="E331" i="1"/>
  <c r="F331" i="1" s="1"/>
  <c r="C321" i="1"/>
  <c r="D321" i="1" s="1"/>
  <c r="G318" i="1"/>
  <c r="H318" i="1" s="1"/>
  <c r="E318" i="1"/>
  <c r="F318" i="1" s="1"/>
  <c r="C318" i="1"/>
  <c r="D318" i="1" s="1"/>
  <c r="G314" i="1"/>
  <c r="H314" i="1" s="1"/>
  <c r="C314" i="1"/>
  <c r="D314" i="1" s="1"/>
  <c r="E313" i="1"/>
  <c r="F313" i="1" s="1"/>
  <c r="G311" i="1"/>
  <c r="H311" i="1" s="1"/>
  <c r="C311" i="1"/>
  <c r="D311" i="1" s="1"/>
  <c r="C310" i="1"/>
  <c r="D310" i="1" s="1"/>
  <c r="G310" i="1"/>
  <c r="H310" i="1" s="1"/>
  <c r="G352" i="1"/>
  <c r="H352" i="1" s="1"/>
  <c r="C352" i="1"/>
  <c r="D352" i="1" s="1"/>
  <c r="E312" i="1"/>
  <c r="F312" i="1" s="1"/>
  <c r="G312" i="1"/>
  <c r="H312" i="1" s="1"/>
  <c r="E60" i="5"/>
  <c r="G486" i="1"/>
  <c r="H486" i="1" s="1"/>
  <c r="C486" i="1"/>
  <c r="D486" i="1" s="1"/>
  <c r="J59" i="9"/>
  <c r="K59" i="9" s="1"/>
  <c r="E25" i="5"/>
  <c r="E55" i="5"/>
  <c r="K25" i="23"/>
  <c r="L25" i="23" s="1"/>
  <c r="J25" i="23"/>
  <c r="K21" i="23"/>
  <c r="L21" i="23" s="1"/>
  <c r="J21" i="23"/>
  <c r="I59" i="18"/>
  <c r="M59" i="20" s="1"/>
  <c r="E6" i="5"/>
  <c r="L58" i="22"/>
  <c r="M58" i="22" s="1"/>
  <c r="L63" i="22"/>
  <c r="M63" i="22" s="1"/>
  <c r="M7" i="21"/>
  <c r="P16" i="22"/>
  <c r="Q16" i="22" s="1"/>
  <c r="P7" i="22"/>
  <c r="Q7" i="22" s="1"/>
  <c r="B33" i="22"/>
  <c r="C33" i="22" s="1"/>
  <c r="C46" i="21"/>
  <c r="C66" i="21"/>
  <c r="C33" i="21"/>
  <c r="C48" i="21"/>
  <c r="B46" i="22"/>
  <c r="C46" i="22" s="1"/>
  <c r="B48" i="22"/>
  <c r="C48" i="22" s="1"/>
  <c r="M26" i="6"/>
  <c r="C58" i="21"/>
  <c r="B58" i="22"/>
  <c r="C58" i="22" s="1"/>
  <c r="C26" i="21"/>
  <c r="B56" i="22"/>
  <c r="C56" i="22" s="1"/>
  <c r="C56" i="21"/>
  <c r="C52" i="21"/>
  <c r="B66" i="22"/>
  <c r="C66" i="22" s="1"/>
  <c r="B52" i="22"/>
  <c r="C52" i="22" s="1"/>
  <c r="B12" i="22"/>
  <c r="C12" i="22" s="1"/>
  <c r="E15" i="5"/>
  <c r="N19" i="10"/>
  <c r="G26" i="21"/>
  <c r="G58" i="21"/>
  <c r="N26" i="10"/>
  <c r="E42" i="5"/>
  <c r="F19" i="22"/>
  <c r="G19" i="22" s="1"/>
  <c r="N70" i="8"/>
  <c r="D70" i="22"/>
  <c r="E70" i="22" s="1"/>
  <c r="N16" i="18"/>
  <c r="F12" i="22"/>
  <c r="G12" i="22" s="1"/>
  <c r="N12" i="10"/>
  <c r="D71" i="22"/>
  <c r="E71" i="22" s="1"/>
  <c r="N47" i="10"/>
  <c r="J59" i="10"/>
  <c r="K59" i="10" s="1"/>
  <c r="G47" i="21"/>
  <c r="F71" i="22"/>
  <c r="G71" i="22" s="1"/>
  <c r="N51" i="10"/>
  <c r="G71" i="21"/>
  <c r="G51" i="21"/>
  <c r="N63" i="10"/>
  <c r="E71" i="21"/>
  <c r="J59" i="8"/>
  <c r="K59" i="8" s="1"/>
  <c r="I59" i="5"/>
  <c r="J59" i="5"/>
  <c r="K59" i="5" s="1"/>
  <c r="I59" i="10"/>
  <c r="G59" i="20" s="1"/>
  <c r="I59" i="7"/>
  <c r="D59" i="20" s="1"/>
  <c r="J59" i="14"/>
  <c r="K59" i="14" s="1"/>
  <c r="E23" i="5"/>
  <c r="E9" i="5"/>
  <c r="E12" i="5"/>
  <c r="I74" i="10"/>
  <c r="G74" i="20" s="1"/>
  <c r="J74" i="10"/>
  <c r="K74" i="10" s="1"/>
  <c r="I73" i="9"/>
  <c r="F73" i="20" s="1"/>
  <c r="J73" i="9"/>
  <c r="K73" i="9" s="1"/>
  <c r="I73" i="14"/>
  <c r="K73" i="20" s="1"/>
  <c r="J73" i="14"/>
  <c r="K73" i="14" s="1"/>
  <c r="J72" i="8"/>
  <c r="K72" i="8" s="1"/>
  <c r="I72" i="8"/>
  <c r="E72" i="20" s="1"/>
  <c r="I74" i="17"/>
  <c r="L74" i="20" s="1"/>
  <c r="J74" i="17"/>
  <c r="K74" i="17" s="1"/>
  <c r="J72" i="7"/>
  <c r="K72" i="7" s="1"/>
  <c r="I72" i="7"/>
  <c r="D72" i="20" s="1"/>
  <c r="I73" i="17"/>
  <c r="L73" i="20" s="1"/>
  <c r="J73" i="17"/>
  <c r="K73" i="17" s="1"/>
  <c r="J72" i="14"/>
  <c r="K72" i="14" s="1"/>
  <c r="I72" i="14"/>
  <c r="K72" i="20" s="1"/>
  <c r="I72" i="18"/>
  <c r="M72" i="20" s="1"/>
  <c r="J72" i="18"/>
  <c r="K72" i="18" s="1"/>
  <c r="I74" i="14"/>
  <c r="K74" i="20" s="1"/>
  <c r="J74" i="14"/>
  <c r="K74" i="14" s="1"/>
  <c r="I73" i="10"/>
  <c r="G73" i="20" s="1"/>
  <c r="J73" i="10"/>
  <c r="K73" i="10" s="1"/>
  <c r="I72" i="17"/>
  <c r="L72" i="20" s="1"/>
  <c r="J72" i="17"/>
  <c r="K72" i="17" s="1"/>
  <c r="I73" i="18"/>
  <c r="M73" i="20" s="1"/>
  <c r="J73" i="18"/>
  <c r="K73" i="18" s="1"/>
  <c r="J72" i="9"/>
  <c r="K72" i="9" s="1"/>
  <c r="I72" i="9"/>
  <c r="F72" i="20" s="1"/>
  <c r="I74" i="6"/>
  <c r="J74" i="6"/>
  <c r="K74" i="6" s="1"/>
  <c r="J73" i="8"/>
  <c r="K73" i="8" s="1"/>
  <c r="I73" i="8"/>
  <c r="E73" i="20" s="1"/>
  <c r="F25" i="4"/>
  <c r="H25" i="4" s="1"/>
  <c r="J73" i="6"/>
  <c r="K73" i="6" s="1"/>
  <c r="I73" i="6"/>
  <c r="J72" i="10"/>
  <c r="K72" i="10" s="1"/>
  <c r="I72" i="10"/>
  <c r="G72" i="20" s="1"/>
  <c r="J74" i="8"/>
  <c r="K74" i="8" s="1"/>
  <c r="I74" i="8"/>
  <c r="E74" i="20" s="1"/>
  <c r="J73" i="7"/>
  <c r="K73" i="7" s="1"/>
  <c r="I73" i="7"/>
  <c r="D73" i="20" s="1"/>
  <c r="I74" i="9"/>
  <c r="F74" i="20" s="1"/>
  <c r="J74" i="9"/>
  <c r="K74" i="9" s="1"/>
  <c r="J72" i="6"/>
  <c r="K72" i="6" s="1"/>
  <c r="I72" i="6"/>
  <c r="J74" i="7"/>
  <c r="K74" i="7" s="1"/>
  <c r="I74" i="7"/>
  <c r="D74" i="20" s="1"/>
  <c r="I74" i="18"/>
  <c r="M74" i="20" s="1"/>
  <c r="J74" i="18"/>
  <c r="K74" i="18" s="1"/>
  <c r="I74" i="5"/>
  <c r="J74" i="5"/>
  <c r="K74" i="5" s="1"/>
  <c r="I73" i="5"/>
  <c r="J73" i="5"/>
  <c r="K73" i="5" s="1"/>
  <c r="I72" i="5"/>
  <c r="J72" i="5"/>
  <c r="K72" i="5" s="1"/>
  <c r="L13" i="22"/>
  <c r="M13" i="22" s="1"/>
  <c r="K13" i="21"/>
  <c r="F69" i="22"/>
  <c r="G69" i="22" s="1"/>
  <c r="G69" i="21"/>
  <c r="N69" i="10"/>
  <c r="F57" i="22"/>
  <c r="G57" i="22" s="1"/>
  <c r="G57" i="21"/>
  <c r="N57" i="10"/>
  <c r="D63" i="22"/>
  <c r="E63" i="22" s="1"/>
  <c r="E63" i="21"/>
  <c r="N63" i="8"/>
  <c r="D12" i="22"/>
  <c r="E12" i="22" s="1"/>
  <c r="E12" i="21"/>
  <c r="N12" i="8"/>
  <c r="F25" i="22"/>
  <c r="G25" i="22" s="1"/>
  <c r="G25" i="21"/>
  <c r="N25" i="10"/>
  <c r="F20" i="22"/>
  <c r="G20" i="22" s="1"/>
  <c r="G20" i="21"/>
  <c r="N20" i="10"/>
  <c r="L7" i="22"/>
  <c r="M7" i="22" s="1"/>
  <c r="K7" i="21"/>
  <c r="E53" i="21"/>
  <c r="D53" i="22"/>
  <c r="E53" i="22" s="1"/>
  <c r="N53" i="8"/>
  <c r="G9" i="21"/>
  <c r="F9" i="22"/>
  <c r="G9" i="22" s="1"/>
  <c r="N9" i="10"/>
  <c r="L10" i="22"/>
  <c r="M10" i="22" s="1"/>
  <c r="K10" i="21"/>
  <c r="L51" i="22"/>
  <c r="M51" i="22" s="1"/>
  <c r="K51" i="21"/>
  <c r="G65" i="21"/>
  <c r="F65" i="22"/>
  <c r="G65" i="22" s="1"/>
  <c r="N65" i="10"/>
  <c r="L12" i="22"/>
  <c r="M12" i="22" s="1"/>
  <c r="K12" i="21"/>
  <c r="F50" i="22"/>
  <c r="G50" i="22" s="1"/>
  <c r="G50" i="21"/>
  <c r="N50" i="10"/>
  <c r="E58" i="21"/>
  <c r="D58" i="22"/>
  <c r="E58" i="22" s="1"/>
  <c r="N58" i="8"/>
  <c r="E7" i="21"/>
  <c r="D7" i="22"/>
  <c r="E7" i="22" s="1"/>
  <c r="N7" i="8"/>
  <c r="D59" i="22"/>
  <c r="E59" i="22" s="1"/>
  <c r="E59" i="21"/>
  <c r="N59" i="8"/>
  <c r="E50" i="21"/>
  <c r="D50" i="22"/>
  <c r="E50" i="22" s="1"/>
  <c r="N50" i="8"/>
  <c r="D27" i="22"/>
  <c r="E27" i="22" s="1"/>
  <c r="E27" i="21"/>
  <c r="N27" i="8"/>
  <c r="G72" i="21"/>
  <c r="F72" i="22"/>
  <c r="G72" i="22" s="1"/>
  <c r="N72" i="10"/>
  <c r="E65" i="21"/>
  <c r="D65" i="22"/>
  <c r="E65" i="22" s="1"/>
  <c r="N65" i="8"/>
  <c r="L71" i="22"/>
  <c r="M71" i="22" s="1"/>
  <c r="K71" i="21"/>
  <c r="M28" i="21"/>
  <c r="P28" i="22"/>
  <c r="Q28" i="22" s="1"/>
  <c r="N28" i="18"/>
  <c r="P18" i="22"/>
  <c r="Q18" i="22" s="1"/>
  <c r="M18" i="21"/>
  <c r="N18" i="18"/>
  <c r="L19" i="22"/>
  <c r="M19" i="22" s="1"/>
  <c r="K19" i="21"/>
  <c r="G59" i="21"/>
  <c r="F59" i="22"/>
  <c r="G59" i="22" s="1"/>
  <c r="N59" i="10"/>
  <c r="K45" i="21"/>
  <c r="L45" i="22"/>
  <c r="M45" i="22" s="1"/>
  <c r="G41" i="21"/>
  <c r="F41" i="22"/>
  <c r="G41" i="22" s="1"/>
  <c r="N41" i="10"/>
  <c r="E55" i="21"/>
  <c r="D55" i="22"/>
  <c r="E55" i="22" s="1"/>
  <c r="N55" i="8"/>
  <c r="F33" i="22"/>
  <c r="G33" i="22" s="1"/>
  <c r="G33" i="21"/>
  <c r="N33" i="10"/>
  <c r="E56" i="21"/>
  <c r="D56" i="22"/>
  <c r="E56" i="22" s="1"/>
  <c r="N56" i="8"/>
  <c r="D46" i="22"/>
  <c r="E46" i="22" s="1"/>
  <c r="E46" i="21"/>
  <c r="N46" i="8"/>
  <c r="L30" i="22"/>
  <c r="M30" i="22" s="1"/>
  <c r="K30" i="21"/>
  <c r="L67" i="22"/>
  <c r="M67" i="22" s="1"/>
  <c r="K67" i="21"/>
  <c r="D16" i="22"/>
  <c r="E16" i="22" s="1"/>
  <c r="E16" i="21"/>
  <c r="N16" i="8"/>
  <c r="E72" i="21"/>
  <c r="D72" i="22"/>
  <c r="E72" i="22" s="1"/>
  <c r="N72" i="8"/>
  <c r="D6" i="22"/>
  <c r="E6" i="22" s="1"/>
  <c r="E6" i="21"/>
  <c r="N6" i="8"/>
  <c r="L56" i="22"/>
  <c r="M56" i="22" s="1"/>
  <c r="K56" i="21"/>
  <c r="G56" i="21"/>
  <c r="F56" i="22"/>
  <c r="G56" i="22" s="1"/>
  <c r="N56" i="10"/>
  <c r="L23" i="22"/>
  <c r="M23" i="22" s="1"/>
  <c r="K23" i="21"/>
  <c r="F28" i="22"/>
  <c r="G28" i="22" s="1"/>
  <c r="G28" i="21"/>
  <c r="N28" i="10"/>
  <c r="D51" i="22"/>
  <c r="E51" i="22" s="1"/>
  <c r="E51" i="21"/>
  <c r="N51" i="8"/>
  <c r="D52" i="22"/>
  <c r="E52" i="22" s="1"/>
  <c r="E52" i="21"/>
  <c r="N52" i="8"/>
  <c r="G53" i="21"/>
  <c r="F53" i="22"/>
  <c r="G53" i="22" s="1"/>
  <c r="N53" i="10"/>
  <c r="E41" i="21"/>
  <c r="D41" i="22"/>
  <c r="E41" i="22" s="1"/>
  <c r="N41" i="8"/>
  <c r="F42" i="22"/>
  <c r="G42" i="22" s="1"/>
  <c r="G42" i="21"/>
  <c r="N42" i="10"/>
  <c r="M50" i="21"/>
  <c r="P50" i="22"/>
  <c r="Q50" i="22" s="1"/>
  <c r="N50" i="18"/>
  <c r="L52" i="22"/>
  <c r="M52" i="22" s="1"/>
  <c r="K52" i="21"/>
  <c r="E57" i="21"/>
  <c r="D57" i="22"/>
  <c r="E57" i="22" s="1"/>
  <c r="N57" i="8"/>
  <c r="D47" i="22"/>
  <c r="E47" i="22" s="1"/>
  <c r="E47" i="21"/>
  <c r="N47" i="8"/>
  <c r="F18" i="22"/>
  <c r="G18" i="22" s="1"/>
  <c r="G18" i="21"/>
  <c r="N18" i="10"/>
  <c r="D45" i="22"/>
  <c r="E45" i="22" s="1"/>
  <c r="E45" i="21"/>
  <c r="N45" i="8"/>
  <c r="L72" i="22"/>
  <c r="M72" i="22" s="1"/>
  <c r="K72" i="21"/>
  <c r="D33" i="22"/>
  <c r="E33" i="22" s="1"/>
  <c r="E33" i="21"/>
  <c r="N33" i="8"/>
  <c r="P33" i="22"/>
  <c r="Q33" i="22" s="1"/>
  <c r="M33" i="21"/>
  <c r="N33" i="18"/>
  <c r="G55" i="21"/>
  <c r="F55" i="22"/>
  <c r="G55" i="22" s="1"/>
  <c r="N55" i="10"/>
  <c r="G70" i="21"/>
  <c r="F70" i="22"/>
  <c r="G70" i="22" s="1"/>
  <c r="N70" i="10"/>
  <c r="P57" i="22"/>
  <c r="Q57" i="22" s="1"/>
  <c r="M57" i="21"/>
  <c r="N57" i="18"/>
  <c r="L27" i="22"/>
  <c r="M27" i="22" s="1"/>
  <c r="K27" i="21"/>
  <c r="G48" i="21"/>
  <c r="F48" i="22"/>
  <c r="G48" i="22" s="1"/>
  <c r="N48" i="10"/>
  <c r="L9" i="22"/>
  <c r="M9" i="22" s="1"/>
  <c r="K9" i="21"/>
  <c r="L20" i="22"/>
  <c r="M20" i="22" s="1"/>
  <c r="K20" i="21"/>
  <c r="F6" i="22"/>
  <c r="G6" i="22" s="1"/>
  <c r="G6" i="21"/>
  <c r="N6" i="10"/>
  <c r="E42" i="21"/>
  <c r="D42" i="22"/>
  <c r="E42" i="22" s="1"/>
  <c r="N42" i="8"/>
  <c r="E74" i="21"/>
  <c r="D74" i="22"/>
  <c r="E74" i="22" s="1"/>
  <c r="N74" i="8"/>
  <c r="E38" i="21"/>
  <c r="D38" i="22"/>
  <c r="E38" i="22" s="1"/>
  <c r="N38" i="8"/>
  <c r="F46" i="22"/>
  <c r="G46" i="22" s="1"/>
  <c r="G46" i="21"/>
  <c r="N46" i="10"/>
  <c r="D28" i="22"/>
  <c r="E28" i="22" s="1"/>
  <c r="E28" i="21"/>
  <c r="N28" i="8"/>
  <c r="F16" i="22"/>
  <c r="G16" i="22" s="1"/>
  <c r="G16" i="21"/>
  <c r="N16" i="10"/>
  <c r="K65" i="21"/>
  <c r="L65" i="22"/>
  <c r="M65" i="22" s="1"/>
  <c r="P73" i="22"/>
  <c r="Q73" i="22" s="1"/>
  <c r="M73" i="21"/>
  <c r="N73" i="18"/>
  <c r="L38" i="22"/>
  <c r="M38" i="22" s="1"/>
  <c r="K38" i="21"/>
  <c r="M66" i="21"/>
  <c r="P66" i="22"/>
  <c r="Q66" i="22" s="1"/>
  <c r="N66" i="18"/>
  <c r="K48" i="21"/>
  <c r="L48" i="22"/>
  <c r="M48" i="22" s="1"/>
  <c r="M55" i="21"/>
  <c r="P55" i="22"/>
  <c r="Q55" i="22" s="1"/>
  <c r="N55" i="18"/>
  <c r="G45" i="21"/>
  <c r="F45" i="22"/>
  <c r="G45" i="22" s="1"/>
  <c r="N45" i="10"/>
  <c r="E35" i="21"/>
  <c r="D35" i="22"/>
  <c r="E35" i="22" s="1"/>
  <c r="N35" i="8"/>
  <c r="D67" i="22"/>
  <c r="E67" i="22" s="1"/>
  <c r="E67" i="21"/>
  <c r="N67" i="8"/>
  <c r="D32" i="22"/>
  <c r="E32" i="22" s="1"/>
  <c r="E32" i="21"/>
  <c r="N32" i="8"/>
  <c r="D25" i="22"/>
  <c r="E25" i="22" s="1"/>
  <c r="E25" i="21"/>
  <c r="N25" i="8"/>
  <c r="F17" i="22"/>
  <c r="G17" i="22" s="1"/>
  <c r="G17" i="21"/>
  <c r="N17" i="10"/>
  <c r="F66" i="22"/>
  <c r="G66" i="22" s="1"/>
  <c r="G66" i="21"/>
  <c r="N66" i="10"/>
  <c r="F52" i="22"/>
  <c r="G52" i="22" s="1"/>
  <c r="G52" i="21"/>
  <c r="N52" i="10"/>
  <c r="L16" i="22"/>
  <c r="M16" i="22" s="1"/>
  <c r="K16" i="21"/>
  <c r="F32" i="22"/>
  <c r="G32" i="22" s="1"/>
  <c r="G32" i="21"/>
  <c r="N32" i="10"/>
  <c r="L25" i="22"/>
  <c r="M25" i="22" s="1"/>
  <c r="K25" i="21"/>
  <c r="M74" i="21"/>
  <c r="P74" i="22"/>
  <c r="Q74" i="22" s="1"/>
  <c r="N74" i="18"/>
  <c r="L55" i="22"/>
  <c r="M55" i="22" s="1"/>
  <c r="K55" i="21"/>
  <c r="G74" i="21"/>
  <c r="F74" i="22"/>
  <c r="G74" i="22" s="1"/>
  <c r="N74" i="10"/>
  <c r="E30" i="21"/>
  <c r="D30" i="22"/>
  <c r="E30" i="22" s="1"/>
  <c r="N30" i="8"/>
  <c r="D69" i="22"/>
  <c r="E69" i="22" s="1"/>
  <c r="E69" i="21"/>
  <c r="N69" i="8"/>
  <c r="D24" i="22"/>
  <c r="E24" i="22" s="1"/>
  <c r="E24" i="21"/>
  <c r="N24" i="8"/>
  <c r="G38" i="21"/>
  <c r="F38" i="22"/>
  <c r="G38" i="22" s="1"/>
  <c r="N38" i="10"/>
  <c r="D21" i="22"/>
  <c r="E21" i="22" s="1"/>
  <c r="E21" i="21"/>
  <c r="N21" i="8"/>
  <c r="D13" i="22"/>
  <c r="E13" i="22" s="1"/>
  <c r="E13" i="21"/>
  <c r="N13" i="8"/>
  <c r="M53" i="21"/>
  <c r="P53" i="22"/>
  <c r="Q53" i="22" s="1"/>
  <c r="N53" i="18"/>
  <c r="P21" i="22"/>
  <c r="Q21" i="22" s="1"/>
  <c r="M21" i="21"/>
  <c r="N21" i="18"/>
  <c r="P6" i="22"/>
  <c r="Q6" i="22" s="1"/>
  <c r="M6" i="21"/>
  <c r="N6" i="18"/>
  <c r="L26" i="22"/>
  <c r="M26" i="22" s="1"/>
  <c r="K26" i="21"/>
  <c r="P63" i="22"/>
  <c r="Q63" i="22" s="1"/>
  <c r="M63" i="21"/>
  <c r="N63" i="18"/>
  <c r="K59" i="21"/>
  <c r="L59" i="22"/>
  <c r="M59" i="22" s="1"/>
  <c r="F21" i="22"/>
  <c r="G21" i="22" s="1"/>
  <c r="G21" i="21"/>
  <c r="N21" i="10"/>
  <c r="D26" i="22"/>
  <c r="E26" i="22" s="1"/>
  <c r="E26" i="21"/>
  <c r="N26" i="8"/>
  <c r="D20" i="22"/>
  <c r="E20" i="22" s="1"/>
  <c r="E20" i="21"/>
  <c r="N20" i="8"/>
  <c r="F60" i="22"/>
  <c r="G60" i="22" s="1"/>
  <c r="G60" i="21"/>
  <c r="N60" i="10"/>
  <c r="D18" i="22"/>
  <c r="E18" i="22" s="1"/>
  <c r="E18" i="21"/>
  <c r="N18" i="8"/>
  <c r="L32" i="22"/>
  <c r="M32" i="22" s="1"/>
  <c r="K32" i="21"/>
  <c r="E73" i="21"/>
  <c r="D73" i="22"/>
  <c r="E73" i="22" s="1"/>
  <c r="N73" i="8"/>
  <c r="M35" i="21"/>
  <c r="P35" i="22"/>
  <c r="Q35" i="22" s="1"/>
  <c r="N35" i="18"/>
  <c r="M70" i="21"/>
  <c r="P70" i="22"/>
  <c r="Q70" i="22" s="1"/>
  <c r="N70" i="18"/>
  <c r="L24" i="22"/>
  <c r="M24" i="22" s="1"/>
  <c r="K24" i="21"/>
  <c r="L69" i="22"/>
  <c r="M69" i="22" s="1"/>
  <c r="K69" i="21"/>
  <c r="L42" i="22"/>
  <c r="M42" i="22" s="1"/>
  <c r="K42" i="21"/>
  <c r="L17" i="22"/>
  <c r="M17" i="22" s="1"/>
  <c r="K17" i="21"/>
  <c r="F27" i="22"/>
  <c r="G27" i="22" s="1"/>
  <c r="G27" i="21"/>
  <c r="N27" i="10"/>
  <c r="P23" i="22"/>
  <c r="Q23" i="22" s="1"/>
  <c r="M23" i="21"/>
  <c r="N23" i="18"/>
  <c r="P15" i="22"/>
  <c r="Q15" i="22" s="1"/>
  <c r="M15" i="21"/>
  <c r="N15" i="18"/>
  <c r="G24" i="21"/>
  <c r="F24" i="22"/>
  <c r="G24" i="22" s="1"/>
  <c r="N24" i="10"/>
  <c r="G35" i="21"/>
  <c r="F35" i="22"/>
  <c r="G35" i="22" s="1"/>
  <c r="N35" i="10"/>
  <c r="D23" i="22"/>
  <c r="E23" i="22" s="1"/>
  <c r="E23" i="21"/>
  <c r="N23" i="8"/>
  <c r="D17" i="22"/>
  <c r="E17" i="22" s="1"/>
  <c r="E17" i="21"/>
  <c r="N17" i="8"/>
  <c r="F10" i="22"/>
  <c r="G10" i="22" s="1"/>
  <c r="G10" i="21"/>
  <c r="N10" i="10"/>
  <c r="D15" i="22"/>
  <c r="E15" i="22" s="1"/>
  <c r="E15" i="21"/>
  <c r="N15" i="8"/>
  <c r="F15" i="22"/>
  <c r="G15" i="22" s="1"/>
  <c r="G15" i="21"/>
  <c r="N15" i="10"/>
  <c r="K35" i="21"/>
  <c r="L35" i="22"/>
  <c r="M35" i="22" s="1"/>
  <c r="P41" i="22"/>
  <c r="Q41" i="22" s="1"/>
  <c r="M41" i="21"/>
  <c r="N41" i="18"/>
  <c r="P12" i="22"/>
  <c r="Q12" i="22" s="1"/>
  <c r="M12" i="21"/>
  <c r="N12" i="18"/>
  <c r="M58" i="21"/>
  <c r="P58" i="22"/>
  <c r="Q58" i="22" s="1"/>
  <c r="N58" i="18"/>
  <c r="F13" i="22"/>
  <c r="G13" i="22" s="1"/>
  <c r="G13" i="21"/>
  <c r="N13" i="10"/>
  <c r="F73" i="22"/>
  <c r="G73" i="22" s="1"/>
  <c r="G73" i="21"/>
  <c r="N73" i="10"/>
  <c r="F23" i="22"/>
  <c r="G23" i="22" s="1"/>
  <c r="G23" i="21"/>
  <c r="N23" i="10"/>
  <c r="D19" i="22"/>
  <c r="E19" i="22" s="1"/>
  <c r="E19" i="21"/>
  <c r="N19" i="8"/>
  <c r="D9" i="22"/>
  <c r="E9" i="22" s="1"/>
  <c r="E9" i="21"/>
  <c r="N9" i="8"/>
  <c r="D60" i="22"/>
  <c r="E60" i="22" s="1"/>
  <c r="E60" i="21"/>
  <c r="N60" i="8"/>
  <c r="D10" i="22"/>
  <c r="E10" i="22" s="1"/>
  <c r="E10" i="21"/>
  <c r="N10" i="8"/>
  <c r="E48" i="21"/>
  <c r="D48" i="22"/>
  <c r="E48" i="22" s="1"/>
  <c r="N48" i="8"/>
  <c r="E37" i="6" l="1"/>
  <c r="C37" i="6" s="1"/>
  <c r="E37" i="17"/>
  <c r="C37" i="17" s="1"/>
  <c r="E37" i="7"/>
  <c r="C37" i="7" s="1"/>
  <c r="E37" i="9"/>
  <c r="C37" i="9" s="1"/>
  <c r="E37" i="31"/>
  <c r="C37" i="31" s="1"/>
  <c r="C37" i="5"/>
  <c r="E37" i="32"/>
  <c r="C37" i="32" s="1"/>
  <c r="E37" i="18"/>
  <c r="C37" i="18" s="1"/>
  <c r="E37" i="14"/>
  <c r="C37" i="14" s="1"/>
  <c r="E37" i="8"/>
  <c r="C37" i="8" s="1"/>
  <c r="E37" i="33"/>
  <c r="C37" i="33" s="1"/>
  <c r="E37" i="10"/>
  <c r="C37" i="10" s="1"/>
  <c r="E37" i="29"/>
  <c r="C37" i="29" s="1"/>
  <c r="G37" i="28"/>
  <c r="G15" i="28"/>
  <c r="E15" i="33"/>
  <c r="C15" i="33" s="1"/>
  <c r="E15" i="32"/>
  <c r="C15" i="32" s="1"/>
  <c r="E15" i="31"/>
  <c r="C15" i="31" s="1"/>
  <c r="E15" i="29"/>
  <c r="C15" i="29" s="1"/>
  <c r="E47" i="33"/>
  <c r="C47" i="33" s="1"/>
  <c r="E47" i="32"/>
  <c r="C47" i="32" s="1"/>
  <c r="E47" i="29"/>
  <c r="C47" i="29" s="1"/>
  <c r="E47" i="31"/>
  <c r="C47" i="31" s="1"/>
  <c r="G6" i="28"/>
  <c r="F6" i="28" s="1"/>
  <c r="E6" i="33"/>
  <c r="C6" i="33" s="1"/>
  <c r="E6" i="32"/>
  <c r="C6" i="32" s="1"/>
  <c r="E6" i="31"/>
  <c r="C6" i="31" s="1"/>
  <c r="E6" i="29"/>
  <c r="C6" i="29" s="1"/>
  <c r="E28" i="33"/>
  <c r="C28" i="33" s="1"/>
  <c r="E28" i="32"/>
  <c r="C28" i="32" s="1"/>
  <c r="E28" i="31"/>
  <c r="C28" i="31" s="1"/>
  <c r="E28" i="29"/>
  <c r="C28" i="29" s="1"/>
  <c r="E24" i="29"/>
  <c r="C24" i="29" s="1"/>
  <c r="E24" i="33"/>
  <c r="C24" i="33" s="1"/>
  <c r="E24" i="32"/>
  <c r="C24" i="32" s="1"/>
  <c r="E24" i="31"/>
  <c r="C24" i="31" s="1"/>
  <c r="G44" i="28"/>
  <c r="F44" i="28" s="1"/>
  <c r="E44" i="33"/>
  <c r="C44" i="33" s="1"/>
  <c r="E44" i="32"/>
  <c r="C44" i="32" s="1"/>
  <c r="E44" i="31"/>
  <c r="C44" i="31" s="1"/>
  <c r="E44" i="29"/>
  <c r="C44" i="29" s="1"/>
  <c r="G55" i="28"/>
  <c r="F55" i="28" s="1"/>
  <c r="E55" i="29"/>
  <c r="C55" i="29" s="1"/>
  <c r="E55" i="33"/>
  <c r="C55" i="33" s="1"/>
  <c r="E55" i="32"/>
  <c r="C55" i="32" s="1"/>
  <c r="E55" i="31"/>
  <c r="C55" i="31" s="1"/>
  <c r="G48" i="28"/>
  <c r="F48" i="28" s="1"/>
  <c r="E48" i="29"/>
  <c r="C48" i="29" s="1"/>
  <c r="E48" i="33"/>
  <c r="C48" i="33" s="1"/>
  <c r="E48" i="32"/>
  <c r="C48" i="32" s="1"/>
  <c r="E48" i="31"/>
  <c r="C48" i="31" s="1"/>
  <c r="G12" i="28"/>
  <c r="F12" i="28" s="1"/>
  <c r="E12" i="33"/>
  <c r="C12" i="33" s="1"/>
  <c r="E12" i="32"/>
  <c r="C12" i="32" s="1"/>
  <c r="E12" i="31"/>
  <c r="C12" i="31" s="1"/>
  <c r="E12" i="29"/>
  <c r="C12" i="29" s="1"/>
  <c r="G25" i="28"/>
  <c r="F25" i="28" s="1"/>
  <c r="E25" i="29"/>
  <c r="C25" i="29" s="1"/>
  <c r="E25" i="33"/>
  <c r="C25" i="33" s="1"/>
  <c r="E25" i="32"/>
  <c r="C25" i="32" s="1"/>
  <c r="E25" i="31"/>
  <c r="C25" i="31" s="1"/>
  <c r="G9" i="28"/>
  <c r="F9" i="28" s="1"/>
  <c r="E9" i="29"/>
  <c r="C9" i="29" s="1"/>
  <c r="E9" i="33"/>
  <c r="C9" i="33" s="1"/>
  <c r="E9" i="32"/>
  <c r="C9" i="32" s="1"/>
  <c r="E9" i="31"/>
  <c r="C9" i="31" s="1"/>
  <c r="G42" i="28"/>
  <c r="E42" i="28" s="1"/>
  <c r="J42" i="19" s="1"/>
  <c r="E42" i="29"/>
  <c r="C42" i="29" s="1"/>
  <c r="E42" i="33"/>
  <c r="C42" i="33" s="1"/>
  <c r="E42" i="32"/>
  <c r="C42" i="32" s="1"/>
  <c r="E42" i="31"/>
  <c r="C42" i="31" s="1"/>
  <c r="E50" i="29"/>
  <c r="C50" i="29" s="1"/>
  <c r="E50" i="33"/>
  <c r="C50" i="33" s="1"/>
  <c r="E50" i="32"/>
  <c r="C50" i="32" s="1"/>
  <c r="E50" i="31"/>
  <c r="C50" i="31" s="1"/>
  <c r="E57" i="33"/>
  <c r="C57" i="33" s="1"/>
  <c r="E57" i="32"/>
  <c r="C57" i="32" s="1"/>
  <c r="E57" i="31"/>
  <c r="C57" i="31" s="1"/>
  <c r="E57" i="29"/>
  <c r="C57" i="29" s="1"/>
  <c r="G23" i="28"/>
  <c r="F23" i="28" s="1"/>
  <c r="E23" i="31"/>
  <c r="C23" i="31" s="1"/>
  <c r="E23" i="33"/>
  <c r="C23" i="33" s="1"/>
  <c r="E23" i="32"/>
  <c r="C23" i="32" s="1"/>
  <c r="E23" i="29"/>
  <c r="C23" i="29" s="1"/>
  <c r="E52" i="33"/>
  <c r="C52" i="33" s="1"/>
  <c r="E52" i="32"/>
  <c r="C52" i="32" s="1"/>
  <c r="E52" i="31"/>
  <c r="C52" i="31" s="1"/>
  <c r="E52" i="29"/>
  <c r="C52" i="29" s="1"/>
  <c r="G60" i="28"/>
  <c r="F60" i="28" s="1"/>
  <c r="E60" i="31"/>
  <c r="C60" i="31" s="1"/>
  <c r="E60" i="29"/>
  <c r="C60" i="29" s="1"/>
  <c r="E60" i="32"/>
  <c r="C60" i="32" s="1"/>
  <c r="E60" i="33"/>
  <c r="C60" i="33" s="1"/>
  <c r="E65" i="29"/>
  <c r="C65" i="29" s="1"/>
  <c r="E65" i="33"/>
  <c r="C65" i="33" s="1"/>
  <c r="E65" i="32"/>
  <c r="C65" i="32" s="1"/>
  <c r="E65" i="31"/>
  <c r="C65" i="31" s="1"/>
  <c r="J73" i="19"/>
  <c r="O73" i="14"/>
  <c r="J74" i="19"/>
  <c r="O74" i="14"/>
  <c r="J72" i="19"/>
  <c r="O72" i="14"/>
  <c r="F95" i="4"/>
  <c r="C59" i="28"/>
  <c r="D59" i="28" s="1"/>
  <c r="E50" i="7"/>
  <c r="C50" i="7" s="1"/>
  <c r="G50" i="28"/>
  <c r="G57" i="28"/>
  <c r="N72" i="28"/>
  <c r="P72" i="28" s="1"/>
  <c r="L72" i="28"/>
  <c r="C52" i="5"/>
  <c r="J52" i="5" s="1"/>
  <c r="K52" i="5" s="1"/>
  <c r="G52" i="28"/>
  <c r="O72" i="28"/>
  <c r="Q72" i="28" s="1"/>
  <c r="M72" i="28"/>
  <c r="G65" i="28"/>
  <c r="N74" i="28"/>
  <c r="P74" i="28" s="1"/>
  <c r="L74" i="28"/>
  <c r="J74" i="20" s="1"/>
  <c r="E28" i="9"/>
  <c r="C28" i="9" s="1"/>
  <c r="I28" i="9" s="1"/>
  <c r="F28" i="20" s="1"/>
  <c r="G28" i="28"/>
  <c r="O74" i="28"/>
  <c r="Q74" i="28" s="1"/>
  <c r="M74" i="28"/>
  <c r="F15" i="28"/>
  <c r="E15" i="28"/>
  <c r="J15" i="19" s="1"/>
  <c r="G47" i="28"/>
  <c r="N73" i="28"/>
  <c r="P73" i="28" s="1"/>
  <c r="L73" i="28"/>
  <c r="C24" i="5"/>
  <c r="J24" i="5" s="1"/>
  <c r="K24" i="5" s="1"/>
  <c r="G24" i="28"/>
  <c r="O73" i="28"/>
  <c r="Q73" i="28" s="1"/>
  <c r="M73" i="28"/>
  <c r="E47" i="6"/>
  <c r="C47" i="6" s="1"/>
  <c r="E24" i="17"/>
  <c r="C24" i="17" s="1"/>
  <c r="I24" i="17" s="1"/>
  <c r="L24" i="20" s="1"/>
  <c r="E24" i="8"/>
  <c r="C24" i="8" s="1"/>
  <c r="E24" i="9"/>
  <c r="C24" i="9" s="1"/>
  <c r="I24" i="9" s="1"/>
  <c r="F24" i="20" s="1"/>
  <c r="C47" i="5"/>
  <c r="J47" i="5" s="1"/>
  <c r="K47" i="5" s="1"/>
  <c r="E47" i="14"/>
  <c r="C47" i="14" s="1"/>
  <c r="E47" i="10"/>
  <c r="C47" i="10" s="1"/>
  <c r="E47" i="18"/>
  <c r="C47" i="18" s="1"/>
  <c r="E47" i="17"/>
  <c r="C47" i="17" s="1"/>
  <c r="I47" i="17" s="1"/>
  <c r="L47" i="20" s="1"/>
  <c r="E47" i="7"/>
  <c r="C47" i="7" s="1"/>
  <c r="I47" i="7" s="1"/>
  <c r="D47" i="20" s="1"/>
  <c r="E47" i="9"/>
  <c r="C47" i="9" s="1"/>
  <c r="J47" i="9" s="1"/>
  <c r="K47" i="9" s="1"/>
  <c r="E24" i="6"/>
  <c r="C24" i="6" s="1"/>
  <c r="E47" i="8"/>
  <c r="C47" i="8" s="1"/>
  <c r="E24" i="14"/>
  <c r="C24" i="14" s="1"/>
  <c r="C28" i="5"/>
  <c r="I28" i="5" s="1"/>
  <c r="E28" i="14"/>
  <c r="C28" i="14" s="1"/>
  <c r="E24" i="10"/>
  <c r="C24" i="10" s="1"/>
  <c r="E24" i="7"/>
  <c r="C24" i="7" s="1"/>
  <c r="J24" i="7" s="1"/>
  <c r="K24" i="7" s="1"/>
  <c r="E24" i="18"/>
  <c r="C24" i="18" s="1"/>
  <c r="E52" i="7"/>
  <c r="C52" i="7" s="1"/>
  <c r="I52" i="7" s="1"/>
  <c r="D52" i="20" s="1"/>
  <c r="E50" i="9"/>
  <c r="C50" i="9" s="1"/>
  <c r="I50" i="9" s="1"/>
  <c r="F50" i="20" s="1"/>
  <c r="E50" i="17"/>
  <c r="C50" i="17" s="1"/>
  <c r="I50" i="17" s="1"/>
  <c r="L50" i="20" s="1"/>
  <c r="E50" i="10"/>
  <c r="C50" i="10" s="1"/>
  <c r="E50" i="18"/>
  <c r="C50" i="18" s="1"/>
  <c r="C50" i="5"/>
  <c r="I50" i="5" s="1"/>
  <c r="M50" i="5" s="1"/>
  <c r="E50" i="8"/>
  <c r="C50" i="8" s="1"/>
  <c r="E50" i="6"/>
  <c r="C50" i="6" s="1"/>
  <c r="E52" i="8"/>
  <c r="C52" i="8" s="1"/>
  <c r="E52" i="9"/>
  <c r="C52" i="9" s="1"/>
  <c r="I52" i="9" s="1"/>
  <c r="F52" i="20" s="1"/>
  <c r="E52" i="17"/>
  <c r="C52" i="17" s="1"/>
  <c r="I52" i="17" s="1"/>
  <c r="L52" i="20" s="1"/>
  <c r="C57" i="5"/>
  <c r="I57" i="5" s="1"/>
  <c r="B57" i="20" s="1"/>
  <c r="E50" i="14"/>
  <c r="C50" i="14" s="1"/>
  <c r="E52" i="6"/>
  <c r="C52" i="6" s="1"/>
  <c r="E28" i="6"/>
  <c r="C28" i="6" s="1"/>
  <c r="E28" i="7"/>
  <c r="C28" i="7" s="1"/>
  <c r="I28" i="7" s="1"/>
  <c r="D28" i="20" s="1"/>
  <c r="E28" i="8"/>
  <c r="C28" i="8" s="1"/>
  <c r="E28" i="17"/>
  <c r="C28" i="17" s="1"/>
  <c r="J28" i="17" s="1"/>
  <c r="K28" i="17" s="1"/>
  <c r="E28" i="10"/>
  <c r="C28" i="10" s="1"/>
  <c r="E28" i="18"/>
  <c r="C28" i="18" s="1"/>
  <c r="E65" i="17"/>
  <c r="C65" i="17" s="1"/>
  <c r="I65" i="17" s="1"/>
  <c r="L65" i="20" s="1"/>
  <c r="E52" i="10"/>
  <c r="C52" i="10" s="1"/>
  <c r="E52" i="18"/>
  <c r="C52" i="18" s="1"/>
  <c r="E52" i="14"/>
  <c r="C52" i="14" s="1"/>
  <c r="E57" i="9"/>
  <c r="C57" i="9" s="1"/>
  <c r="I57" i="9" s="1"/>
  <c r="F57" i="20" s="1"/>
  <c r="E57" i="8"/>
  <c r="C57" i="8" s="1"/>
  <c r="E57" i="17"/>
  <c r="C57" i="17" s="1"/>
  <c r="I57" i="17" s="1"/>
  <c r="L57" i="20" s="1"/>
  <c r="E57" i="6"/>
  <c r="C57" i="6" s="1"/>
  <c r="E57" i="14"/>
  <c r="C57" i="14" s="1"/>
  <c r="E57" i="7"/>
  <c r="C57" i="7" s="1"/>
  <c r="I57" i="7" s="1"/>
  <c r="D57" i="20" s="1"/>
  <c r="E57" i="18"/>
  <c r="C57" i="18" s="1"/>
  <c r="E57" i="10"/>
  <c r="C57" i="10" s="1"/>
  <c r="E65" i="9"/>
  <c r="C65" i="9" s="1"/>
  <c r="J65" i="9" s="1"/>
  <c r="K65" i="9" s="1"/>
  <c r="C65" i="5"/>
  <c r="J65" i="5" s="1"/>
  <c r="K65" i="5" s="1"/>
  <c r="E65" i="10"/>
  <c r="C65" i="10" s="1"/>
  <c r="E65" i="6"/>
  <c r="C65" i="6" s="1"/>
  <c r="E65" i="18"/>
  <c r="C65" i="18" s="1"/>
  <c r="E65" i="7"/>
  <c r="C65" i="7" s="1"/>
  <c r="J65" i="7" s="1"/>
  <c r="K65" i="7" s="1"/>
  <c r="E65" i="14"/>
  <c r="C65" i="14" s="1"/>
  <c r="E65" i="8"/>
  <c r="C65" i="8" s="1"/>
  <c r="E53" i="5"/>
  <c r="E10" i="5"/>
  <c r="E63" i="5"/>
  <c r="E38" i="5"/>
  <c r="E51" i="5"/>
  <c r="E32" i="5"/>
  <c r="E58" i="5"/>
  <c r="E16" i="5"/>
  <c r="E17" i="5"/>
  <c r="E30" i="5"/>
  <c r="E21" i="5"/>
  <c r="E19" i="5"/>
  <c r="C72" i="20"/>
  <c r="C74" i="20"/>
  <c r="C73" i="20"/>
  <c r="C59" i="20"/>
  <c r="D438" i="1"/>
  <c r="I6" i="25"/>
  <c r="F6" i="25" s="1"/>
  <c r="G6" i="25" s="1"/>
  <c r="F51" i="4"/>
  <c r="H51" i="4" s="1"/>
  <c r="F99" i="4"/>
  <c r="F9" i="4"/>
  <c r="H9" i="4" s="1"/>
  <c r="F97" i="4"/>
  <c r="H97" i="4" s="1"/>
  <c r="I12" i="25"/>
  <c r="F12" i="25" s="1"/>
  <c r="G12" i="25" s="1"/>
  <c r="D442" i="1"/>
  <c r="F441" i="1"/>
  <c r="F41" i="4"/>
  <c r="H41" i="4" s="1"/>
  <c r="F65" i="4"/>
  <c r="F17" i="4"/>
  <c r="H17" i="4" s="1"/>
  <c r="F79" i="4"/>
  <c r="H79" i="4" s="1"/>
  <c r="F39" i="4"/>
  <c r="H39" i="4" s="1"/>
  <c r="F61" i="4"/>
  <c r="F437" i="1"/>
  <c r="F439" i="1"/>
  <c r="D439" i="1"/>
  <c r="F443" i="1"/>
  <c r="D443" i="1"/>
  <c r="C23" i="5"/>
  <c r="J23" i="5" s="1"/>
  <c r="K23" i="5" s="1"/>
  <c r="E23" i="7"/>
  <c r="C23" i="7" s="1"/>
  <c r="E23" i="14"/>
  <c r="C23" i="14" s="1"/>
  <c r="E23" i="6"/>
  <c r="C23" i="6" s="1"/>
  <c r="E23" i="17"/>
  <c r="C23" i="17" s="1"/>
  <c r="I23" i="17" s="1"/>
  <c r="L23" i="20" s="1"/>
  <c r="E23" i="18"/>
  <c r="C23" i="18" s="1"/>
  <c r="E23" i="10"/>
  <c r="C23" i="10" s="1"/>
  <c r="E23" i="8"/>
  <c r="C23" i="8" s="1"/>
  <c r="E23" i="9"/>
  <c r="C23" i="9" s="1"/>
  <c r="J23" i="9" s="1"/>
  <c r="K23" i="9" s="1"/>
  <c r="C6" i="5"/>
  <c r="E6" i="18"/>
  <c r="C6" i="18" s="1"/>
  <c r="E6" i="10"/>
  <c r="C6" i="10" s="1"/>
  <c r="E6" i="17"/>
  <c r="C6" i="17" s="1"/>
  <c r="E6" i="9"/>
  <c r="C6" i="9" s="1"/>
  <c r="E6" i="8"/>
  <c r="C6" i="8" s="1"/>
  <c r="E6" i="7"/>
  <c r="C6" i="7" s="1"/>
  <c r="J6" i="7" s="1"/>
  <c r="K6" i="7" s="1"/>
  <c r="E6" i="14"/>
  <c r="C6" i="14" s="1"/>
  <c r="E6" i="6"/>
  <c r="C6" i="6" s="1"/>
  <c r="C60" i="5"/>
  <c r="E60" i="18"/>
  <c r="C60" i="18" s="1"/>
  <c r="E60" i="10"/>
  <c r="C60" i="10" s="1"/>
  <c r="E60" i="17"/>
  <c r="C60" i="17" s="1"/>
  <c r="E60" i="9"/>
  <c r="C60" i="9" s="1"/>
  <c r="E60" i="8"/>
  <c r="C60" i="8" s="1"/>
  <c r="E60" i="7"/>
  <c r="C60" i="7" s="1"/>
  <c r="E60" i="14"/>
  <c r="C60" i="14" s="1"/>
  <c r="E60" i="6"/>
  <c r="C60" i="6" s="1"/>
  <c r="C9" i="5"/>
  <c r="J9" i="5" s="1"/>
  <c r="K9" i="5" s="1"/>
  <c r="E9" i="18"/>
  <c r="C9" i="18" s="1"/>
  <c r="E9" i="10"/>
  <c r="C9" i="10" s="1"/>
  <c r="E9" i="17"/>
  <c r="C9" i="17" s="1"/>
  <c r="E9" i="9"/>
  <c r="C9" i="9" s="1"/>
  <c r="E9" i="8"/>
  <c r="C9" i="8" s="1"/>
  <c r="E9" i="7"/>
  <c r="C9" i="7" s="1"/>
  <c r="I9" i="7" s="1"/>
  <c r="D9" i="20" s="1"/>
  <c r="E9" i="14"/>
  <c r="C9" i="14" s="1"/>
  <c r="E9" i="6"/>
  <c r="C9" i="6" s="1"/>
  <c r="C48" i="5"/>
  <c r="I48" i="5" s="1"/>
  <c r="E48" i="17"/>
  <c r="C48" i="17" s="1"/>
  <c r="J48" i="17" s="1"/>
  <c r="K48" i="17" s="1"/>
  <c r="E48" i="9"/>
  <c r="C48" i="9" s="1"/>
  <c r="E48" i="8"/>
  <c r="C48" i="8" s="1"/>
  <c r="E48" i="7"/>
  <c r="C48" i="7" s="1"/>
  <c r="I48" i="7" s="1"/>
  <c r="D48" i="20" s="1"/>
  <c r="E48" i="14"/>
  <c r="C48" i="14" s="1"/>
  <c r="E48" i="6"/>
  <c r="C48" i="6" s="1"/>
  <c r="E48" i="18"/>
  <c r="C48" i="18" s="1"/>
  <c r="E48" i="10"/>
  <c r="C48" i="10" s="1"/>
  <c r="C42" i="5"/>
  <c r="E42" i="18"/>
  <c r="C42" i="18" s="1"/>
  <c r="E42" i="10"/>
  <c r="C42" i="10" s="1"/>
  <c r="E42" i="17"/>
  <c r="C42" i="17" s="1"/>
  <c r="E42" i="9"/>
  <c r="C42" i="9" s="1"/>
  <c r="E42" i="8"/>
  <c r="C42" i="8" s="1"/>
  <c r="E42" i="7"/>
  <c r="C42" i="7" s="1"/>
  <c r="E42" i="14"/>
  <c r="C42" i="14" s="1"/>
  <c r="E42" i="6"/>
  <c r="C42" i="6" s="1"/>
  <c r="C44" i="5"/>
  <c r="E44" i="18"/>
  <c r="C44" i="18" s="1"/>
  <c r="E44" i="10"/>
  <c r="C44" i="10" s="1"/>
  <c r="E44" i="17"/>
  <c r="C44" i="17" s="1"/>
  <c r="I44" i="17" s="1"/>
  <c r="L44" i="20" s="1"/>
  <c r="E44" i="9"/>
  <c r="C44" i="9" s="1"/>
  <c r="I44" i="9" s="1"/>
  <c r="F44" i="20" s="1"/>
  <c r="E44" i="8"/>
  <c r="C44" i="8" s="1"/>
  <c r="E44" i="14"/>
  <c r="C44" i="14" s="1"/>
  <c r="E44" i="7"/>
  <c r="C44" i="7" s="1"/>
  <c r="I44" i="7" s="1"/>
  <c r="D44" i="20" s="1"/>
  <c r="E44" i="6"/>
  <c r="C44" i="6" s="1"/>
  <c r="C15" i="5"/>
  <c r="J15" i="5" s="1"/>
  <c r="K15" i="5" s="1"/>
  <c r="E15" i="9"/>
  <c r="C15" i="9" s="1"/>
  <c r="J15" i="9" s="1"/>
  <c r="K15" i="9" s="1"/>
  <c r="E15" i="8"/>
  <c r="C15" i="8" s="1"/>
  <c r="E15" i="7"/>
  <c r="C15" i="7" s="1"/>
  <c r="E15" i="14"/>
  <c r="C15" i="14" s="1"/>
  <c r="E15" i="6"/>
  <c r="C15" i="6" s="1"/>
  <c r="E15" i="18"/>
  <c r="C15" i="18" s="1"/>
  <c r="E15" i="17"/>
  <c r="C15" i="17" s="1"/>
  <c r="J15" i="17" s="1"/>
  <c r="K15" i="17" s="1"/>
  <c r="E15" i="10"/>
  <c r="C15" i="10" s="1"/>
  <c r="C55" i="5"/>
  <c r="I55" i="5" s="1"/>
  <c r="E55" i="14"/>
  <c r="C55" i="14" s="1"/>
  <c r="E55" i="6"/>
  <c r="C55" i="6" s="1"/>
  <c r="E55" i="18"/>
  <c r="C55" i="18" s="1"/>
  <c r="E55" i="10"/>
  <c r="C55" i="10" s="1"/>
  <c r="E55" i="17"/>
  <c r="C55" i="17" s="1"/>
  <c r="I55" i="17" s="1"/>
  <c r="L55" i="20" s="1"/>
  <c r="E55" i="9"/>
  <c r="C55" i="9" s="1"/>
  <c r="I55" i="9" s="1"/>
  <c r="F55" i="20" s="1"/>
  <c r="E55" i="8"/>
  <c r="C55" i="8" s="1"/>
  <c r="E55" i="7"/>
  <c r="C55" i="7" s="1"/>
  <c r="J55" i="7" s="1"/>
  <c r="K55" i="7" s="1"/>
  <c r="C25" i="5"/>
  <c r="E25" i="17"/>
  <c r="C25" i="17" s="1"/>
  <c r="I25" i="17" s="1"/>
  <c r="L25" i="20" s="1"/>
  <c r="E25" i="9"/>
  <c r="C25" i="9" s="1"/>
  <c r="J25" i="9" s="1"/>
  <c r="K25" i="9" s="1"/>
  <c r="E25" i="8"/>
  <c r="C25" i="8" s="1"/>
  <c r="E25" i="7"/>
  <c r="C25" i="7" s="1"/>
  <c r="J25" i="7" s="1"/>
  <c r="K25" i="7" s="1"/>
  <c r="E25" i="14"/>
  <c r="C25" i="14" s="1"/>
  <c r="E25" i="6"/>
  <c r="C25" i="6" s="1"/>
  <c r="E25" i="10"/>
  <c r="C25" i="10" s="1"/>
  <c r="E25" i="18"/>
  <c r="C25" i="18" s="1"/>
  <c r="C12" i="5"/>
  <c r="J12" i="5" s="1"/>
  <c r="K12" i="5" s="1"/>
  <c r="E12" i="14"/>
  <c r="C12" i="14" s="1"/>
  <c r="E12" i="6"/>
  <c r="C12" i="6" s="1"/>
  <c r="E12" i="18"/>
  <c r="C12" i="18" s="1"/>
  <c r="E12" i="10"/>
  <c r="C12" i="10" s="1"/>
  <c r="E12" i="17"/>
  <c r="C12" i="17" s="1"/>
  <c r="E12" i="9"/>
  <c r="C12" i="9" s="1"/>
  <c r="I12" i="9" s="1"/>
  <c r="F12" i="20" s="1"/>
  <c r="E12" i="7"/>
  <c r="C12" i="7" s="1"/>
  <c r="J12" i="7" s="1"/>
  <c r="K12" i="7" s="1"/>
  <c r="E12" i="8"/>
  <c r="C12" i="8" s="1"/>
  <c r="F436" i="1"/>
  <c r="D436" i="1"/>
  <c r="M38" i="6"/>
  <c r="C38" i="21"/>
  <c r="B38" i="22"/>
  <c r="C38" i="22" s="1"/>
  <c r="C12" i="21"/>
  <c r="M12" i="6"/>
  <c r="E33" i="5"/>
  <c r="E20" i="5"/>
  <c r="B59" i="20"/>
  <c r="M59" i="5"/>
  <c r="B72" i="20"/>
  <c r="M72" i="5"/>
  <c r="B73" i="20"/>
  <c r="M73" i="5"/>
  <c r="B74" i="20"/>
  <c r="M74" i="5"/>
  <c r="E18" i="5"/>
  <c r="E55" i="28" l="1"/>
  <c r="J55" i="19" s="1"/>
  <c r="E12" i="28"/>
  <c r="J12" i="19" s="1"/>
  <c r="E60" i="28"/>
  <c r="J60" i="19" s="1"/>
  <c r="E44" i="28"/>
  <c r="J44" i="19" s="1"/>
  <c r="N60" i="6"/>
  <c r="E25" i="28"/>
  <c r="J25" i="19" s="1"/>
  <c r="E23" i="28"/>
  <c r="J23" i="19" s="1"/>
  <c r="E48" i="28"/>
  <c r="J48" i="19" s="1"/>
  <c r="F42" i="28"/>
  <c r="M42" i="28" s="1"/>
  <c r="N9" i="6"/>
  <c r="J37" i="10"/>
  <c r="K37" i="10" s="1"/>
  <c r="I37" i="10"/>
  <c r="G37" i="20" s="1"/>
  <c r="I37" i="33"/>
  <c r="O37" i="20" s="1"/>
  <c r="J37" i="33"/>
  <c r="K37" i="33" s="1"/>
  <c r="J37" i="8"/>
  <c r="K37" i="8" s="1"/>
  <c r="I37" i="8"/>
  <c r="E37" i="20" s="1"/>
  <c r="I37" i="14"/>
  <c r="K37" i="20" s="1"/>
  <c r="J37" i="14"/>
  <c r="K37" i="14" s="1"/>
  <c r="J37" i="18"/>
  <c r="K37" i="18" s="1"/>
  <c r="I37" i="18"/>
  <c r="M37" i="20" s="1"/>
  <c r="J37" i="32"/>
  <c r="K37" i="32" s="1"/>
  <c r="I37" i="32"/>
  <c r="N37" i="20" s="1"/>
  <c r="I37" i="5"/>
  <c r="B37" i="20" s="1"/>
  <c r="J37" i="5"/>
  <c r="K37" i="5" s="1"/>
  <c r="J37" i="31"/>
  <c r="K37" i="31" s="1"/>
  <c r="I37" i="31"/>
  <c r="I37" i="20" s="1"/>
  <c r="J37" i="9"/>
  <c r="K37" i="9" s="1"/>
  <c r="I37" i="9"/>
  <c r="F37" i="20" s="1"/>
  <c r="N55" i="6"/>
  <c r="J37" i="7"/>
  <c r="K37" i="7" s="1"/>
  <c r="I37" i="7"/>
  <c r="D37" i="20" s="1"/>
  <c r="O60" i="14"/>
  <c r="F37" i="28"/>
  <c r="E37" i="28"/>
  <c r="J37" i="17"/>
  <c r="K37" i="17" s="1"/>
  <c r="I37" i="17"/>
  <c r="L37" i="20" s="1"/>
  <c r="I37" i="29"/>
  <c r="H37" i="20" s="1"/>
  <c r="J37" i="29"/>
  <c r="K37" i="29" s="1"/>
  <c r="I37" i="6"/>
  <c r="C37" i="20" s="1"/>
  <c r="J37" i="6"/>
  <c r="K37" i="6" s="1"/>
  <c r="O12" i="14"/>
  <c r="O25" i="18"/>
  <c r="J44" i="33"/>
  <c r="K44" i="33" s="1"/>
  <c r="O44" i="33"/>
  <c r="I44" i="33"/>
  <c r="O44" i="20" s="1"/>
  <c r="O65" i="31"/>
  <c r="J65" i="31"/>
  <c r="K65" i="31" s="1"/>
  <c r="I65" i="31"/>
  <c r="I65" i="20" s="1"/>
  <c r="O52" i="33"/>
  <c r="J52" i="33"/>
  <c r="K52" i="33" s="1"/>
  <c r="I52" i="33"/>
  <c r="O52" i="20" s="1"/>
  <c r="J50" i="33"/>
  <c r="K50" i="33" s="1"/>
  <c r="O50" i="33"/>
  <c r="I50" i="33"/>
  <c r="O50" i="20" s="1"/>
  <c r="J25" i="31"/>
  <c r="K25" i="31" s="1"/>
  <c r="O25" i="31"/>
  <c r="I25" i="31"/>
  <c r="I25" i="20" s="1"/>
  <c r="O48" i="33"/>
  <c r="J48" i="33"/>
  <c r="K48" i="33" s="1"/>
  <c r="I48" i="33"/>
  <c r="O48" i="20" s="1"/>
  <c r="O6" i="33"/>
  <c r="J6" i="33"/>
  <c r="K6" i="33" s="1"/>
  <c r="I6" i="33"/>
  <c r="O6" i="20" s="1"/>
  <c r="G18" i="28"/>
  <c r="F18" i="28" s="1"/>
  <c r="E18" i="29"/>
  <c r="C18" i="29" s="1"/>
  <c r="E18" i="33"/>
  <c r="C18" i="33" s="1"/>
  <c r="E18" i="32"/>
  <c r="C18" i="32" s="1"/>
  <c r="E18" i="31"/>
  <c r="C18" i="31" s="1"/>
  <c r="I15" i="6"/>
  <c r="N15" i="6"/>
  <c r="E9" i="28"/>
  <c r="J9" i="19" s="1"/>
  <c r="J65" i="32"/>
  <c r="K65" i="32" s="1"/>
  <c r="I65" i="32"/>
  <c r="N65" i="20" s="1"/>
  <c r="I23" i="29"/>
  <c r="H23" i="20" s="1"/>
  <c r="J23" i="29"/>
  <c r="K23" i="29" s="1"/>
  <c r="I50" i="29"/>
  <c r="H50" i="20" s="1"/>
  <c r="J50" i="29"/>
  <c r="K50" i="29" s="1"/>
  <c r="J25" i="32"/>
  <c r="K25" i="32" s="1"/>
  <c r="I25" i="32"/>
  <c r="N25" i="20" s="1"/>
  <c r="I48" i="29"/>
  <c r="H48" i="20" s="1"/>
  <c r="J48" i="29"/>
  <c r="K48" i="29" s="1"/>
  <c r="O24" i="31"/>
  <c r="J24" i="31"/>
  <c r="K24" i="31" s="1"/>
  <c r="I24" i="31"/>
  <c r="I24" i="20" s="1"/>
  <c r="N42" i="6"/>
  <c r="J6" i="6"/>
  <c r="K6" i="6" s="1"/>
  <c r="N6" i="6"/>
  <c r="O23" i="18"/>
  <c r="E32" i="33"/>
  <c r="C32" i="33" s="1"/>
  <c r="E32" i="32"/>
  <c r="C32" i="32" s="1"/>
  <c r="E32" i="29"/>
  <c r="C32" i="29" s="1"/>
  <c r="E32" i="31"/>
  <c r="C32" i="31" s="1"/>
  <c r="O65" i="33"/>
  <c r="J65" i="33"/>
  <c r="K65" i="33" s="1"/>
  <c r="I65" i="33"/>
  <c r="O65" i="20" s="1"/>
  <c r="J23" i="32"/>
  <c r="K23" i="32" s="1"/>
  <c r="I23" i="32"/>
  <c r="N23" i="20" s="1"/>
  <c r="O42" i="31"/>
  <c r="J42" i="31"/>
  <c r="K42" i="31" s="1"/>
  <c r="I42" i="31"/>
  <c r="I42" i="20" s="1"/>
  <c r="O25" i="33"/>
  <c r="J25" i="33"/>
  <c r="K25" i="33" s="1"/>
  <c r="I25" i="33"/>
  <c r="O25" i="20" s="1"/>
  <c r="J24" i="32"/>
  <c r="K24" i="32" s="1"/>
  <c r="I24" i="32"/>
  <c r="N24" i="20" s="1"/>
  <c r="O47" i="31"/>
  <c r="J47" i="31"/>
  <c r="K47" i="31" s="1"/>
  <c r="I47" i="31"/>
  <c r="I47" i="20" s="1"/>
  <c r="E17" i="33"/>
  <c r="C17" i="33" s="1"/>
  <c r="E17" i="32"/>
  <c r="C17" i="32" s="1"/>
  <c r="E17" i="29"/>
  <c r="C17" i="29" s="1"/>
  <c r="E17" i="31"/>
  <c r="C17" i="31" s="1"/>
  <c r="J52" i="32"/>
  <c r="K52" i="32" s="1"/>
  <c r="I52" i="32"/>
  <c r="N52" i="20" s="1"/>
  <c r="I48" i="6"/>
  <c r="C48" i="20" s="1"/>
  <c r="N48" i="6"/>
  <c r="E58" i="33"/>
  <c r="C58" i="33" s="1"/>
  <c r="E58" i="32"/>
  <c r="C58" i="32" s="1"/>
  <c r="E58" i="31"/>
  <c r="C58" i="31" s="1"/>
  <c r="E58" i="29"/>
  <c r="C58" i="29" s="1"/>
  <c r="E51" i="29"/>
  <c r="C51" i="29" s="1"/>
  <c r="E51" i="33"/>
  <c r="C51" i="33" s="1"/>
  <c r="E51" i="32"/>
  <c r="C51" i="32" s="1"/>
  <c r="E51" i="31"/>
  <c r="C51" i="31" s="1"/>
  <c r="I65" i="29"/>
  <c r="H65" i="20" s="1"/>
  <c r="J65" i="29"/>
  <c r="K65" i="29" s="1"/>
  <c r="O23" i="33"/>
  <c r="J23" i="33"/>
  <c r="K23" i="33" s="1"/>
  <c r="I23" i="33"/>
  <c r="O23" i="20" s="1"/>
  <c r="J42" i="32"/>
  <c r="K42" i="32" s="1"/>
  <c r="I42" i="32"/>
  <c r="N42" i="20" s="1"/>
  <c r="I25" i="29"/>
  <c r="H25" i="20" s="1"/>
  <c r="J25" i="29"/>
  <c r="K25" i="29" s="1"/>
  <c r="O55" i="31"/>
  <c r="I55" i="31"/>
  <c r="I55" i="20" s="1"/>
  <c r="J55" i="31"/>
  <c r="K55" i="31" s="1"/>
  <c r="J24" i="33"/>
  <c r="K24" i="33" s="1"/>
  <c r="O24" i="33"/>
  <c r="I24" i="33"/>
  <c r="O24" i="20" s="1"/>
  <c r="I47" i="29"/>
  <c r="H47" i="20" s="1"/>
  <c r="J47" i="29"/>
  <c r="K47" i="29" s="1"/>
  <c r="J12" i="6"/>
  <c r="K12" i="6" s="1"/>
  <c r="N12" i="6"/>
  <c r="J25" i="6"/>
  <c r="K25" i="6" s="1"/>
  <c r="N25" i="6"/>
  <c r="I23" i="6"/>
  <c r="C23" i="20" s="1"/>
  <c r="N23" i="6"/>
  <c r="E38" i="33"/>
  <c r="C38" i="33" s="1"/>
  <c r="E38" i="32"/>
  <c r="C38" i="32" s="1"/>
  <c r="E38" i="31"/>
  <c r="C38" i="31" s="1"/>
  <c r="E38" i="29"/>
  <c r="C38" i="29" s="1"/>
  <c r="J50" i="6"/>
  <c r="K50" i="6" s="1"/>
  <c r="N50" i="6"/>
  <c r="O60" i="33"/>
  <c r="J60" i="33"/>
  <c r="K60" i="33" s="1"/>
  <c r="I60" i="33"/>
  <c r="O60" i="20" s="1"/>
  <c r="O23" i="31"/>
  <c r="J23" i="31"/>
  <c r="K23" i="31" s="1"/>
  <c r="I23" i="31"/>
  <c r="I23" i="20" s="1"/>
  <c r="O42" i="33"/>
  <c r="J42" i="33"/>
  <c r="K42" i="33" s="1"/>
  <c r="I42" i="33"/>
  <c r="O42" i="20" s="1"/>
  <c r="J55" i="32"/>
  <c r="K55" i="32" s="1"/>
  <c r="I55" i="32"/>
  <c r="N55" i="20" s="1"/>
  <c r="I24" i="29"/>
  <c r="H24" i="20" s="1"/>
  <c r="J24" i="29"/>
  <c r="K24" i="29" s="1"/>
  <c r="J47" i="32"/>
  <c r="K47" i="32" s="1"/>
  <c r="I47" i="32"/>
  <c r="N47" i="20" s="1"/>
  <c r="J55" i="33"/>
  <c r="K55" i="33" s="1"/>
  <c r="O55" i="33"/>
  <c r="I55" i="33"/>
  <c r="O55" i="20" s="1"/>
  <c r="I28" i="29"/>
  <c r="H28" i="20" s="1"/>
  <c r="J28" i="29"/>
  <c r="K28" i="29" s="1"/>
  <c r="J47" i="33"/>
  <c r="K47" i="33" s="1"/>
  <c r="O47" i="33"/>
  <c r="I47" i="33"/>
  <c r="O47" i="20" s="1"/>
  <c r="J50" i="32"/>
  <c r="K50" i="32" s="1"/>
  <c r="I50" i="32"/>
  <c r="N50" i="20" s="1"/>
  <c r="I65" i="6"/>
  <c r="C65" i="20" s="1"/>
  <c r="N65" i="6"/>
  <c r="I42" i="29"/>
  <c r="H42" i="20" s="1"/>
  <c r="J42" i="29"/>
  <c r="K42" i="29" s="1"/>
  <c r="E10" i="29"/>
  <c r="C10" i="29" s="1"/>
  <c r="E10" i="33"/>
  <c r="C10" i="33" s="1"/>
  <c r="E10" i="32"/>
  <c r="C10" i="32" s="1"/>
  <c r="E10" i="31"/>
  <c r="C10" i="31" s="1"/>
  <c r="J47" i="6"/>
  <c r="K47" i="6" s="1"/>
  <c r="N47" i="6"/>
  <c r="I60" i="29"/>
  <c r="H60" i="20" s="1"/>
  <c r="J60" i="29"/>
  <c r="K60" i="29" s="1"/>
  <c r="J57" i="29"/>
  <c r="K57" i="29" s="1"/>
  <c r="I57" i="29"/>
  <c r="H57" i="20" s="1"/>
  <c r="O12" i="31"/>
  <c r="J12" i="31"/>
  <c r="K12" i="31" s="1"/>
  <c r="I12" i="31"/>
  <c r="I12" i="20" s="1"/>
  <c r="J55" i="29"/>
  <c r="K55" i="29" s="1"/>
  <c r="I55" i="29"/>
  <c r="H55" i="20" s="1"/>
  <c r="O28" i="31"/>
  <c r="J28" i="31"/>
  <c r="K28" i="31" s="1"/>
  <c r="I28" i="31"/>
  <c r="I28" i="20" s="1"/>
  <c r="I15" i="29"/>
  <c r="H15" i="20" s="1"/>
  <c r="J15" i="29"/>
  <c r="K15" i="29" s="1"/>
  <c r="E30" i="31"/>
  <c r="C30" i="31" s="1"/>
  <c r="E30" i="29"/>
  <c r="C30" i="29" s="1"/>
  <c r="E30" i="33"/>
  <c r="C30" i="33" s="1"/>
  <c r="E30" i="32"/>
  <c r="C30" i="32" s="1"/>
  <c r="J60" i="32"/>
  <c r="K60" i="32" s="1"/>
  <c r="I60" i="32"/>
  <c r="N60" i="20" s="1"/>
  <c r="E53" i="31"/>
  <c r="C53" i="31" s="1"/>
  <c r="E53" i="33"/>
  <c r="C53" i="33" s="1"/>
  <c r="E53" i="32"/>
  <c r="C53" i="32" s="1"/>
  <c r="E53" i="29"/>
  <c r="C53" i="29" s="1"/>
  <c r="I24" i="6"/>
  <c r="C24" i="20" s="1"/>
  <c r="N24" i="6"/>
  <c r="O60" i="31"/>
  <c r="J60" i="31"/>
  <c r="K60" i="31" s="1"/>
  <c r="I60" i="31"/>
  <c r="I60" i="20" s="1"/>
  <c r="O57" i="31"/>
  <c r="I57" i="31"/>
  <c r="I57" i="20" s="1"/>
  <c r="J57" i="31"/>
  <c r="K57" i="31" s="1"/>
  <c r="J9" i="31"/>
  <c r="K9" i="31" s="1"/>
  <c r="O9" i="31"/>
  <c r="I9" i="31"/>
  <c r="I9" i="20" s="1"/>
  <c r="J12" i="32"/>
  <c r="K12" i="32" s="1"/>
  <c r="I12" i="32"/>
  <c r="N12" i="20" s="1"/>
  <c r="J28" i="32"/>
  <c r="K28" i="32" s="1"/>
  <c r="I28" i="32"/>
  <c r="N28" i="20" s="1"/>
  <c r="O15" i="31"/>
  <c r="J15" i="31"/>
  <c r="K15" i="31" s="1"/>
  <c r="I15" i="31"/>
  <c r="I15" i="20" s="1"/>
  <c r="J48" i="32"/>
  <c r="K48" i="32" s="1"/>
  <c r="I48" i="32"/>
  <c r="N48" i="20" s="1"/>
  <c r="I44" i="6"/>
  <c r="C44" i="20" s="1"/>
  <c r="N44" i="6"/>
  <c r="G20" i="28"/>
  <c r="E20" i="28" s="1"/>
  <c r="J20" i="19" s="1"/>
  <c r="E20" i="29"/>
  <c r="C20" i="29" s="1"/>
  <c r="E20" i="33"/>
  <c r="C20" i="33" s="1"/>
  <c r="E20" i="32"/>
  <c r="C20" i="32" s="1"/>
  <c r="E20" i="31"/>
  <c r="C20" i="31" s="1"/>
  <c r="E19" i="29"/>
  <c r="C19" i="29" s="1"/>
  <c r="E19" i="33"/>
  <c r="C19" i="33" s="1"/>
  <c r="E19" i="32"/>
  <c r="C19" i="32" s="1"/>
  <c r="E19" i="31"/>
  <c r="C19" i="31" s="1"/>
  <c r="I57" i="6"/>
  <c r="C57" i="20" s="1"/>
  <c r="N57" i="6"/>
  <c r="J57" i="32"/>
  <c r="K57" i="32" s="1"/>
  <c r="I57" i="32"/>
  <c r="N57" i="20" s="1"/>
  <c r="J9" i="32"/>
  <c r="K9" i="32" s="1"/>
  <c r="I9" i="32"/>
  <c r="N9" i="20" s="1"/>
  <c r="O12" i="33"/>
  <c r="J12" i="33"/>
  <c r="K12" i="33" s="1"/>
  <c r="I12" i="33"/>
  <c r="O12" i="20" s="1"/>
  <c r="I44" i="29"/>
  <c r="H44" i="20" s="1"/>
  <c r="J44" i="29"/>
  <c r="K44" i="29" s="1"/>
  <c r="O28" i="33"/>
  <c r="J28" i="33"/>
  <c r="K28" i="33" s="1"/>
  <c r="I28" i="33"/>
  <c r="O28" i="20" s="1"/>
  <c r="J15" i="32"/>
  <c r="K15" i="32" s="1"/>
  <c r="I15" i="32"/>
  <c r="N15" i="20" s="1"/>
  <c r="J6" i="32"/>
  <c r="K6" i="32" s="1"/>
  <c r="I6" i="32"/>
  <c r="N6" i="20" s="1"/>
  <c r="E16" i="31"/>
  <c r="C16" i="31" s="1"/>
  <c r="E16" i="29"/>
  <c r="C16" i="29" s="1"/>
  <c r="E16" i="33"/>
  <c r="C16" i="33" s="1"/>
  <c r="E16" i="32"/>
  <c r="C16" i="32" s="1"/>
  <c r="E63" i="33"/>
  <c r="C63" i="33" s="1"/>
  <c r="E63" i="32"/>
  <c r="C63" i="32" s="1"/>
  <c r="E63" i="29"/>
  <c r="C63" i="29" s="1"/>
  <c r="E63" i="31"/>
  <c r="C63" i="31" s="1"/>
  <c r="J12" i="29"/>
  <c r="K12" i="29" s="1"/>
  <c r="I12" i="29"/>
  <c r="H12" i="20" s="1"/>
  <c r="G33" i="28"/>
  <c r="F33" i="28" s="1"/>
  <c r="E33" i="29"/>
  <c r="C33" i="29" s="1"/>
  <c r="E33" i="33"/>
  <c r="C33" i="33" s="1"/>
  <c r="E33" i="32"/>
  <c r="C33" i="32" s="1"/>
  <c r="E33" i="31"/>
  <c r="C33" i="31" s="1"/>
  <c r="E21" i="33"/>
  <c r="C21" i="33" s="1"/>
  <c r="E21" i="32"/>
  <c r="C21" i="32" s="1"/>
  <c r="E21" i="31"/>
  <c r="C21" i="31" s="1"/>
  <c r="E21" i="29"/>
  <c r="C21" i="29" s="1"/>
  <c r="J28" i="6"/>
  <c r="K28" i="6" s="1"/>
  <c r="N28" i="6"/>
  <c r="E6" i="28"/>
  <c r="J6" i="19" s="1"/>
  <c r="J52" i="29"/>
  <c r="K52" i="29" s="1"/>
  <c r="I52" i="29"/>
  <c r="H52" i="20" s="1"/>
  <c r="O57" i="33"/>
  <c r="J57" i="33"/>
  <c r="K57" i="33" s="1"/>
  <c r="I57" i="33"/>
  <c r="O57" i="20" s="1"/>
  <c r="J9" i="33"/>
  <c r="K9" i="33" s="1"/>
  <c r="O9" i="33"/>
  <c r="I9" i="33"/>
  <c r="O9" i="20" s="1"/>
  <c r="O44" i="31"/>
  <c r="J44" i="31"/>
  <c r="K44" i="31" s="1"/>
  <c r="I44" i="31"/>
  <c r="I44" i="20" s="1"/>
  <c r="I6" i="29"/>
  <c r="H6" i="20" s="1"/>
  <c r="J6" i="29"/>
  <c r="K6" i="29" s="1"/>
  <c r="O15" i="33"/>
  <c r="J15" i="33"/>
  <c r="K15" i="33" s="1"/>
  <c r="I15" i="33"/>
  <c r="O15" i="20" s="1"/>
  <c r="J52" i="6"/>
  <c r="K52" i="6" s="1"/>
  <c r="N52" i="6"/>
  <c r="O52" i="31"/>
  <c r="J52" i="31"/>
  <c r="K52" i="31" s="1"/>
  <c r="I52" i="31"/>
  <c r="I52" i="20" s="1"/>
  <c r="O50" i="31"/>
  <c r="J50" i="31"/>
  <c r="K50" i="31" s="1"/>
  <c r="I50" i="31"/>
  <c r="I50" i="20" s="1"/>
  <c r="I9" i="29"/>
  <c r="H9" i="20" s="1"/>
  <c r="J9" i="29"/>
  <c r="K9" i="29" s="1"/>
  <c r="O48" i="31"/>
  <c r="J48" i="31"/>
  <c r="K48" i="31" s="1"/>
  <c r="I48" i="31"/>
  <c r="I48" i="20" s="1"/>
  <c r="J44" i="32"/>
  <c r="K44" i="32" s="1"/>
  <c r="I44" i="32"/>
  <c r="N44" i="20" s="1"/>
  <c r="O6" i="31"/>
  <c r="J6" i="31"/>
  <c r="K6" i="31" s="1"/>
  <c r="I6" i="31"/>
  <c r="I6" i="20" s="1"/>
  <c r="O24" i="8"/>
  <c r="O6" i="8"/>
  <c r="O60" i="8"/>
  <c r="O55" i="8"/>
  <c r="O6" i="10"/>
  <c r="O60" i="10"/>
  <c r="O9" i="18"/>
  <c r="O42" i="18"/>
  <c r="O42" i="10"/>
  <c r="O15" i="14"/>
  <c r="I47" i="10"/>
  <c r="G47" i="20" s="1"/>
  <c r="O47" i="10"/>
  <c r="I47" i="18"/>
  <c r="M47" i="20" s="1"/>
  <c r="O47" i="18"/>
  <c r="J47" i="8"/>
  <c r="K47" i="8" s="1"/>
  <c r="O47" i="8"/>
  <c r="J24" i="14"/>
  <c r="K24" i="14" s="1"/>
  <c r="I28" i="14"/>
  <c r="K28" i="20" s="1"/>
  <c r="I24" i="10"/>
  <c r="G24" i="20" s="1"/>
  <c r="O24" i="10"/>
  <c r="J24" i="18"/>
  <c r="K24" i="18" s="1"/>
  <c r="O24" i="18"/>
  <c r="J50" i="10"/>
  <c r="K50" i="10" s="1"/>
  <c r="O50" i="10"/>
  <c r="I50" i="18"/>
  <c r="M50" i="20" s="1"/>
  <c r="O50" i="18"/>
  <c r="J50" i="8"/>
  <c r="K50" i="8" s="1"/>
  <c r="O50" i="8"/>
  <c r="J52" i="8"/>
  <c r="K52" i="8" s="1"/>
  <c r="O52" i="8"/>
  <c r="J50" i="14"/>
  <c r="K50" i="14" s="1"/>
  <c r="J28" i="8"/>
  <c r="K28" i="8" s="1"/>
  <c r="O28" i="8"/>
  <c r="J28" i="10"/>
  <c r="K28" i="10" s="1"/>
  <c r="O28" i="10"/>
  <c r="I28" i="18"/>
  <c r="M28" i="20" s="1"/>
  <c r="O28" i="18"/>
  <c r="I52" i="10"/>
  <c r="G52" i="20" s="1"/>
  <c r="O52" i="10"/>
  <c r="J52" i="18"/>
  <c r="K52" i="18" s="1"/>
  <c r="O52" i="18"/>
  <c r="I52" i="14"/>
  <c r="K52" i="20" s="1"/>
  <c r="J57" i="8"/>
  <c r="K57" i="8" s="1"/>
  <c r="O57" i="8"/>
  <c r="I57" i="14"/>
  <c r="K57" i="20" s="1"/>
  <c r="I57" i="18"/>
  <c r="M57" i="20" s="1"/>
  <c r="O57" i="18"/>
  <c r="I57" i="10"/>
  <c r="G57" i="20" s="1"/>
  <c r="O57" i="10"/>
  <c r="J65" i="10"/>
  <c r="K65" i="10" s="1"/>
  <c r="O65" i="10"/>
  <c r="J65" i="18"/>
  <c r="K65" i="18" s="1"/>
  <c r="O65" i="18"/>
  <c r="I65" i="14"/>
  <c r="K65" i="20" s="1"/>
  <c r="I65" i="8"/>
  <c r="E65" i="20" s="1"/>
  <c r="O65" i="8"/>
  <c r="I23" i="14"/>
  <c r="K23" i="20" s="1"/>
  <c r="O23" i="14"/>
  <c r="I23" i="10"/>
  <c r="G23" i="20" s="1"/>
  <c r="O23" i="10"/>
  <c r="J23" i="8"/>
  <c r="K23" i="8" s="1"/>
  <c r="O23" i="8"/>
  <c r="I6" i="18"/>
  <c r="M6" i="20" s="1"/>
  <c r="O6" i="18"/>
  <c r="J6" i="14"/>
  <c r="K6" i="14" s="1"/>
  <c r="I60" i="18"/>
  <c r="M60" i="20" s="1"/>
  <c r="O60" i="18"/>
  <c r="J9" i="10"/>
  <c r="K9" i="10" s="1"/>
  <c r="O9" i="10"/>
  <c r="J9" i="8"/>
  <c r="K9" i="8" s="1"/>
  <c r="O9" i="8"/>
  <c r="J9" i="14"/>
  <c r="K9" i="14" s="1"/>
  <c r="J48" i="8"/>
  <c r="K48" i="8" s="1"/>
  <c r="O48" i="8"/>
  <c r="J48" i="14"/>
  <c r="K48" i="14" s="1"/>
  <c r="J48" i="18"/>
  <c r="K48" i="18" s="1"/>
  <c r="O48" i="18"/>
  <c r="I48" i="10"/>
  <c r="G48" i="20" s="1"/>
  <c r="O48" i="10"/>
  <c r="J42" i="8"/>
  <c r="K42" i="8" s="1"/>
  <c r="O42" i="8"/>
  <c r="I42" i="14"/>
  <c r="K42" i="20" s="1"/>
  <c r="O42" i="14"/>
  <c r="I44" i="18"/>
  <c r="M44" i="20" s="1"/>
  <c r="O44" i="18"/>
  <c r="J44" i="10"/>
  <c r="K44" i="10" s="1"/>
  <c r="O44" i="10"/>
  <c r="I44" i="8"/>
  <c r="E44" i="20" s="1"/>
  <c r="O44" i="8"/>
  <c r="I44" i="14"/>
  <c r="K44" i="20" s="1"/>
  <c r="J15" i="8"/>
  <c r="K15" i="8" s="1"/>
  <c r="O15" i="8"/>
  <c r="I15" i="18"/>
  <c r="M15" i="20" s="1"/>
  <c r="O15" i="18"/>
  <c r="J15" i="10"/>
  <c r="K15" i="10" s="1"/>
  <c r="O15" i="10"/>
  <c r="J55" i="14"/>
  <c r="K55" i="14" s="1"/>
  <c r="O55" i="14"/>
  <c r="I55" i="18"/>
  <c r="M55" i="20" s="1"/>
  <c r="O55" i="18"/>
  <c r="I55" i="10"/>
  <c r="G55" i="20" s="1"/>
  <c r="O55" i="10"/>
  <c r="I25" i="8"/>
  <c r="E25" i="20" s="1"/>
  <c r="O25" i="8"/>
  <c r="I25" i="14"/>
  <c r="K25" i="20" s="1"/>
  <c r="O25" i="14"/>
  <c r="J25" i="10"/>
  <c r="K25" i="10" s="1"/>
  <c r="O25" i="10"/>
  <c r="I12" i="18"/>
  <c r="M12" i="20" s="1"/>
  <c r="O12" i="18"/>
  <c r="J12" i="10"/>
  <c r="K12" i="10" s="1"/>
  <c r="O12" i="10"/>
  <c r="J12" i="8"/>
  <c r="K12" i="8" s="1"/>
  <c r="O12" i="8"/>
  <c r="H95" i="4"/>
  <c r="E66" i="5"/>
  <c r="E66" i="8" s="1"/>
  <c r="C66" i="8" s="1"/>
  <c r="I50" i="7"/>
  <c r="D50" i="20" s="1"/>
  <c r="J50" i="7"/>
  <c r="K50" i="7" s="1"/>
  <c r="J24" i="8"/>
  <c r="K24" i="8" s="1"/>
  <c r="I24" i="8"/>
  <c r="E24" i="20" s="1"/>
  <c r="I47" i="14"/>
  <c r="K47" i="20" s="1"/>
  <c r="J47" i="14"/>
  <c r="K47" i="14" s="1"/>
  <c r="I24" i="5"/>
  <c r="B24" i="20" s="1"/>
  <c r="C72" i="28"/>
  <c r="D72" i="28" s="1"/>
  <c r="J72" i="20"/>
  <c r="C73" i="28"/>
  <c r="D73" i="28" s="1"/>
  <c r="J73" i="20"/>
  <c r="I52" i="5"/>
  <c r="M52" i="5" s="1"/>
  <c r="I47" i="6"/>
  <c r="C47" i="20" s="1"/>
  <c r="J47" i="17"/>
  <c r="K47" i="17" s="1"/>
  <c r="C74" i="28"/>
  <c r="D74" i="28" s="1"/>
  <c r="J24" i="17"/>
  <c r="K24" i="17" s="1"/>
  <c r="J28" i="9"/>
  <c r="K28" i="9" s="1"/>
  <c r="E10" i="18"/>
  <c r="C10" i="18" s="1"/>
  <c r="G10" i="28"/>
  <c r="C19" i="5"/>
  <c r="I19" i="5" s="1"/>
  <c r="B19" i="20" s="1"/>
  <c r="G19" i="28"/>
  <c r="E53" i="10"/>
  <c r="C53" i="10" s="1"/>
  <c r="G53" i="28"/>
  <c r="F24" i="28"/>
  <c r="E24" i="28"/>
  <c r="N55" i="28"/>
  <c r="P55" i="28" s="1"/>
  <c r="L55" i="28"/>
  <c r="J55" i="20" s="1"/>
  <c r="O42" i="28"/>
  <c r="Q42" i="28" s="1"/>
  <c r="E21" i="14"/>
  <c r="C21" i="14" s="1"/>
  <c r="G21" i="28"/>
  <c r="O55" i="28"/>
  <c r="Q55" i="28" s="1"/>
  <c r="M55" i="28"/>
  <c r="N60" i="28"/>
  <c r="P60" i="28" s="1"/>
  <c r="L60" i="28"/>
  <c r="G30" i="28"/>
  <c r="F65" i="28"/>
  <c r="E65" i="28"/>
  <c r="O60" i="28"/>
  <c r="Q60" i="28" s="1"/>
  <c r="M60" i="28"/>
  <c r="E17" i="9"/>
  <c r="C17" i="9" s="1"/>
  <c r="J17" i="9" s="1"/>
  <c r="K17" i="9" s="1"/>
  <c r="G17" i="28"/>
  <c r="E16" i="6"/>
  <c r="C16" i="6" s="1"/>
  <c r="G16" i="28"/>
  <c r="F47" i="28"/>
  <c r="E47" i="28"/>
  <c r="N25" i="28"/>
  <c r="P25" i="28" s="1"/>
  <c r="L25" i="28"/>
  <c r="J25" i="20" s="1"/>
  <c r="F57" i="28"/>
  <c r="E57" i="28"/>
  <c r="O6" i="28"/>
  <c r="Q6" i="28" s="1"/>
  <c r="M6" i="28"/>
  <c r="O25" i="28"/>
  <c r="Q25" i="28" s="1"/>
  <c r="M25" i="28"/>
  <c r="N23" i="28"/>
  <c r="P23" i="28" s="1"/>
  <c r="L23" i="28"/>
  <c r="J23" i="20" s="1"/>
  <c r="N15" i="28"/>
  <c r="P15" i="28" s="1"/>
  <c r="L15" i="28"/>
  <c r="J15" i="20" s="1"/>
  <c r="O23" i="28"/>
  <c r="Q23" i="28" s="1"/>
  <c r="M23" i="28"/>
  <c r="E32" i="6"/>
  <c r="C32" i="6" s="1"/>
  <c r="G32" i="28"/>
  <c r="O15" i="28"/>
  <c r="Q15" i="28" s="1"/>
  <c r="M15" i="28"/>
  <c r="O44" i="28"/>
  <c r="Q44" i="28" s="1"/>
  <c r="M44" i="28"/>
  <c r="G58" i="28"/>
  <c r="E51" i="14"/>
  <c r="C51" i="14" s="1"/>
  <c r="G51" i="28"/>
  <c r="F50" i="28"/>
  <c r="E50" i="28"/>
  <c r="O9" i="28"/>
  <c r="Q9" i="28" s="1"/>
  <c r="M9" i="28"/>
  <c r="E38" i="7"/>
  <c r="C38" i="7" s="1"/>
  <c r="I38" i="7" s="1"/>
  <c r="D38" i="20" s="1"/>
  <c r="G38" i="28"/>
  <c r="O48" i="28"/>
  <c r="Q48" i="28" s="1"/>
  <c r="M48" i="28"/>
  <c r="N12" i="28"/>
  <c r="P12" i="28" s="1"/>
  <c r="L12" i="28"/>
  <c r="J12" i="20" s="1"/>
  <c r="G63" i="28"/>
  <c r="F28" i="28"/>
  <c r="E28" i="28"/>
  <c r="F52" i="28"/>
  <c r="E52" i="28"/>
  <c r="N42" i="28"/>
  <c r="P42" i="28" s="1"/>
  <c r="L42" i="28"/>
  <c r="J42" i="20" s="1"/>
  <c r="O12" i="28"/>
  <c r="Q12" i="28" s="1"/>
  <c r="M12" i="28"/>
  <c r="B28" i="20"/>
  <c r="M57" i="5"/>
  <c r="B50" i="20"/>
  <c r="I47" i="8"/>
  <c r="E47" i="20" s="1"/>
  <c r="J47" i="10"/>
  <c r="K47" i="10" s="1"/>
  <c r="J52" i="7"/>
  <c r="K52" i="7" s="1"/>
  <c r="M28" i="5"/>
  <c r="J24" i="9"/>
  <c r="K24" i="9" s="1"/>
  <c r="I47" i="5"/>
  <c r="B47" i="20" s="1"/>
  <c r="E53" i="18"/>
  <c r="C53" i="18" s="1"/>
  <c r="E10" i="6"/>
  <c r="C10" i="6" s="1"/>
  <c r="E53" i="7"/>
  <c r="C53" i="7" s="1"/>
  <c r="J53" i="7" s="1"/>
  <c r="K53" i="7" s="1"/>
  <c r="C30" i="5"/>
  <c r="I30" i="5" s="1"/>
  <c r="M30" i="5" s="1"/>
  <c r="E53" i="8"/>
  <c r="C53" i="8" s="1"/>
  <c r="E30" i="7"/>
  <c r="C30" i="7" s="1"/>
  <c r="J30" i="7" s="1"/>
  <c r="K30" i="7" s="1"/>
  <c r="J50" i="17"/>
  <c r="K50" i="17" s="1"/>
  <c r="E53" i="17"/>
  <c r="C53" i="17" s="1"/>
  <c r="I53" i="17" s="1"/>
  <c r="L53" i="20" s="1"/>
  <c r="I24" i="14"/>
  <c r="K24" i="20" s="1"/>
  <c r="E30" i="6"/>
  <c r="C30" i="6" s="1"/>
  <c r="E30" i="14"/>
  <c r="C30" i="14" s="1"/>
  <c r="J28" i="5"/>
  <c r="K28" i="5" s="1"/>
  <c r="I57" i="8"/>
  <c r="E57" i="20" s="1"/>
  <c r="E53" i="6"/>
  <c r="C53" i="6" s="1"/>
  <c r="J52" i="9"/>
  <c r="K52" i="9" s="1"/>
  <c r="J47" i="7"/>
  <c r="K47" i="7" s="1"/>
  <c r="J57" i="5"/>
  <c r="K57" i="5" s="1"/>
  <c r="I50" i="8"/>
  <c r="E50" i="20" s="1"/>
  <c r="I52" i="8"/>
  <c r="E52" i="20" s="1"/>
  <c r="H99" i="4"/>
  <c r="E71" i="5"/>
  <c r="E70" i="5"/>
  <c r="J24" i="10"/>
  <c r="K24" i="10" s="1"/>
  <c r="I47" i="9"/>
  <c r="F47" i="20" s="1"/>
  <c r="H65" i="4"/>
  <c r="E46" i="5"/>
  <c r="I50" i="10"/>
  <c r="G50" i="20" s="1"/>
  <c r="H61" i="4"/>
  <c r="E43" i="5"/>
  <c r="I28" i="17"/>
  <c r="L28" i="20" s="1"/>
  <c r="I50" i="14"/>
  <c r="K50" i="20" s="1"/>
  <c r="E63" i="9"/>
  <c r="C63" i="9" s="1"/>
  <c r="I63" i="9" s="1"/>
  <c r="F63" i="20" s="1"/>
  <c r="J24" i="6"/>
  <c r="K24" i="6" s="1"/>
  <c r="E63" i="17"/>
  <c r="C63" i="17" s="1"/>
  <c r="I63" i="17" s="1"/>
  <c r="L63" i="20" s="1"/>
  <c r="E63" i="14"/>
  <c r="C63" i="14" s="1"/>
  <c r="I24" i="18"/>
  <c r="M24" i="20" s="1"/>
  <c r="J50" i="5"/>
  <c r="K50" i="5" s="1"/>
  <c r="E58" i="14"/>
  <c r="C58" i="14" s="1"/>
  <c r="I65" i="9"/>
  <c r="F65" i="20" s="1"/>
  <c r="I28" i="8"/>
  <c r="E28" i="20" s="1"/>
  <c r="I24" i="7"/>
  <c r="D24" i="20" s="1"/>
  <c r="I28" i="10"/>
  <c r="G28" i="20" s="1"/>
  <c r="E58" i="6"/>
  <c r="C58" i="6" s="1"/>
  <c r="E58" i="8"/>
  <c r="C58" i="8" s="1"/>
  <c r="J47" i="18"/>
  <c r="K47" i="18" s="1"/>
  <c r="J50" i="18"/>
  <c r="K50" i="18" s="1"/>
  <c r="J52" i="17"/>
  <c r="K52" i="17" s="1"/>
  <c r="J28" i="14"/>
  <c r="K28" i="14" s="1"/>
  <c r="I52" i="18"/>
  <c r="M52" i="20" s="1"/>
  <c r="J50" i="9"/>
  <c r="K50" i="9" s="1"/>
  <c r="C16" i="5"/>
  <c r="I16" i="5" s="1"/>
  <c r="I50" i="6"/>
  <c r="C50" i="20" s="1"/>
  <c r="J28" i="7"/>
  <c r="K28" i="7" s="1"/>
  <c r="I52" i="6"/>
  <c r="C52" i="20" s="1"/>
  <c r="I28" i="6"/>
  <c r="C28" i="20" s="1"/>
  <c r="E16" i="17"/>
  <c r="C16" i="17" s="1"/>
  <c r="I16" i="17" s="1"/>
  <c r="L16" i="20" s="1"/>
  <c r="E58" i="7"/>
  <c r="C58" i="7" s="1"/>
  <c r="J58" i="7" s="1"/>
  <c r="K58" i="7" s="1"/>
  <c r="J52" i="14"/>
  <c r="K52" i="14" s="1"/>
  <c r="E16" i="14"/>
  <c r="C16" i="14" s="1"/>
  <c r="E16" i="7"/>
  <c r="C16" i="7" s="1"/>
  <c r="I16" i="7" s="1"/>
  <c r="D16" i="20" s="1"/>
  <c r="E58" i="10"/>
  <c r="C58" i="10" s="1"/>
  <c r="E16" i="8"/>
  <c r="C16" i="8" s="1"/>
  <c r="E58" i="9"/>
  <c r="C58" i="9" s="1"/>
  <c r="I58" i="9" s="1"/>
  <c r="F58" i="20" s="1"/>
  <c r="I65" i="5"/>
  <c r="E58" i="18"/>
  <c r="C58" i="18" s="1"/>
  <c r="E58" i="17"/>
  <c r="C58" i="17" s="1"/>
  <c r="I58" i="17" s="1"/>
  <c r="L58" i="20" s="1"/>
  <c r="C58" i="5"/>
  <c r="I58" i="5" s="1"/>
  <c r="J28" i="18"/>
  <c r="K28" i="18" s="1"/>
  <c r="E17" i="17"/>
  <c r="C17" i="17" s="1"/>
  <c r="I17" i="17" s="1"/>
  <c r="L17" i="20" s="1"/>
  <c r="E38" i="18"/>
  <c r="C38" i="18" s="1"/>
  <c r="E38" i="8"/>
  <c r="C38" i="8" s="1"/>
  <c r="E38" i="9"/>
  <c r="C38" i="9" s="1"/>
  <c r="J38" i="9" s="1"/>
  <c r="K38" i="9" s="1"/>
  <c r="J57" i="6"/>
  <c r="K57" i="6" s="1"/>
  <c r="J52" i="10"/>
  <c r="K52" i="10" s="1"/>
  <c r="J57" i="9"/>
  <c r="K57" i="9" s="1"/>
  <c r="E53" i="14"/>
  <c r="C53" i="14" s="1"/>
  <c r="E38" i="10"/>
  <c r="C38" i="10" s="1"/>
  <c r="J65" i="17"/>
  <c r="K65" i="17" s="1"/>
  <c r="E51" i="7"/>
  <c r="C51" i="7" s="1"/>
  <c r="J51" i="7" s="1"/>
  <c r="K51" i="7" s="1"/>
  <c r="E38" i="17"/>
  <c r="C38" i="17" s="1"/>
  <c r="J38" i="17" s="1"/>
  <c r="K38" i="17" s="1"/>
  <c r="E53" i="9"/>
  <c r="C53" i="9" s="1"/>
  <c r="I53" i="9" s="1"/>
  <c r="F53" i="20" s="1"/>
  <c r="C53" i="5"/>
  <c r="J53" i="5" s="1"/>
  <c r="K53" i="5" s="1"/>
  <c r="E38" i="6"/>
  <c r="C38" i="6" s="1"/>
  <c r="C38" i="5"/>
  <c r="I38" i="5" s="1"/>
  <c r="J57" i="17"/>
  <c r="K57" i="17" s="1"/>
  <c r="E38" i="14"/>
  <c r="C38" i="14" s="1"/>
  <c r="E16" i="10"/>
  <c r="C16" i="10" s="1"/>
  <c r="E16" i="9"/>
  <c r="C16" i="9" s="1"/>
  <c r="J16" i="9" s="1"/>
  <c r="K16" i="9" s="1"/>
  <c r="E19" i="7"/>
  <c r="C19" i="7" s="1"/>
  <c r="J19" i="7" s="1"/>
  <c r="K19" i="7" s="1"/>
  <c r="E19" i="18"/>
  <c r="C19" i="18" s="1"/>
  <c r="E19" i="6"/>
  <c r="C19" i="6" s="1"/>
  <c r="E19" i="17"/>
  <c r="C19" i="17" s="1"/>
  <c r="I19" i="17" s="1"/>
  <c r="L19" i="20" s="1"/>
  <c r="E63" i="10"/>
  <c r="C63" i="10" s="1"/>
  <c r="I65" i="18"/>
  <c r="M65" i="20" s="1"/>
  <c r="E63" i="18"/>
  <c r="C63" i="18" s="1"/>
  <c r="E63" i="6"/>
  <c r="C63" i="6" s="1"/>
  <c r="E16" i="18"/>
  <c r="C16" i="18" s="1"/>
  <c r="C63" i="5"/>
  <c r="J63" i="5" s="1"/>
  <c r="K63" i="5" s="1"/>
  <c r="E63" i="7"/>
  <c r="C63" i="7" s="1"/>
  <c r="J63" i="7" s="1"/>
  <c r="K63" i="7" s="1"/>
  <c r="E63" i="8"/>
  <c r="C63" i="8" s="1"/>
  <c r="J65" i="6"/>
  <c r="K65" i="6" s="1"/>
  <c r="E51" i="8"/>
  <c r="C51" i="8" s="1"/>
  <c r="E30" i="8"/>
  <c r="C30" i="8" s="1"/>
  <c r="E51" i="9"/>
  <c r="C51" i="9" s="1"/>
  <c r="J51" i="9" s="1"/>
  <c r="K51" i="9" s="1"/>
  <c r="E51" i="17"/>
  <c r="C51" i="17" s="1"/>
  <c r="I51" i="17" s="1"/>
  <c r="L51" i="20" s="1"/>
  <c r="E30" i="17"/>
  <c r="C30" i="17" s="1"/>
  <c r="J30" i="17" s="1"/>
  <c r="K30" i="17" s="1"/>
  <c r="E51" i="10"/>
  <c r="C51" i="10" s="1"/>
  <c r="J65" i="8"/>
  <c r="K65" i="8" s="1"/>
  <c r="E30" i="9"/>
  <c r="C30" i="9" s="1"/>
  <c r="J30" i="9" s="1"/>
  <c r="K30" i="9" s="1"/>
  <c r="E30" i="10"/>
  <c r="C30" i="10" s="1"/>
  <c r="E51" i="18"/>
  <c r="C51" i="18" s="1"/>
  <c r="E30" i="18"/>
  <c r="C30" i="18" s="1"/>
  <c r="C51" i="5"/>
  <c r="I51" i="5" s="1"/>
  <c r="E51" i="6"/>
  <c r="C51" i="6" s="1"/>
  <c r="E19" i="8"/>
  <c r="C19" i="8" s="1"/>
  <c r="J57" i="18"/>
  <c r="K57" i="18" s="1"/>
  <c r="J57" i="14"/>
  <c r="K57" i="14" s="1"/>
  <c r="I65" i="7"/>
  <c r="D65" i="20" s="1"/>
  <c r="J57" i="7"/>
  <c r="K57" i="7" s="1"/>
  <c r="J57" i="10"/>
  <c r="K57" i="10" s="1"/>
  <c r="E10" i="14"/>
  <c r="C10" i="14" s="1"/>
  <c r="I65" i="10"/>
  <c r="G65" i="20" s="1"/>
  <c r="E19" i="14"/>
  <c r="C19" i="14" s="1"/>
  <c r="E10" i="8"/>
  <c r="C10" i="8" s="1"/>
  <c r="E17" i="6"/>
  <c r="C17" i="6" s="1"/>
  <c r="E17" i="10"/>
  <c r="C17" i="10" s="1"/>
  <c r="E32" i="14"/>
  <c r="C32" i="14" s="1"/>
  <c r="E10" i="9"/>
  <c r="C10" i="9" s="1"/>
  <c r="J10" i="9" s="1"/>
  <c r="K10" i="9" s="1"/>
  <c r="E17" i="14"/>
  <c r="C17" i="14" s="1"/>
  <c r="E17" i="18"/>
  <c r="C17" i="18" s="1"/>
  <c r="E32" i="17"/>
  <c r="C32" i="17" s="1"/>
  <c r="I32" i="17" s="1"/>
  <c r="L32" i="20" s="1"/>
  <c r="C10" i="5"/>
  <c r="J10" i="5" s="1"/>
  <c r="K10" i="5" s="1"/>
  <c r="E17" i="7"/>
  <c r="C17" i="7" s="1"/>
  <c r="J17" i="7" s="1"/>
  <c r="K17" i="7" s="1"/>
  <c r="C17" i="5"/>
  <c r="I17" i="5" s="1"/>
  <c r="J65" i="14"/>
  <c r="K65" i="14" s="1"/>
  <c r="E32" i="10"/>
  <c r="C32" i="10" s="1"/>
  <c r="E10" i="17"/>
  <c r="C10" i="17" s="1"/>
  <c r="I10" i="17" s="1"/>
  <c r="L10" i="20" s="1"/>
  <c r="E32" i="7"/>
  <c r="C32" i="7" s="1"/>
  <c r="I32" i="7" s="1"/>
  <c r="D32" i="20" s="1"/>
  <c r="E10" i="10"/>
  <c r="C10" i="10" s="1"/>
  <c r="E17" i="8"/>
  <c r="C17" i="8" s="1"/>
  <c r="E19" i="10"/>
  <c r="C19" i="10" s="1"/>
  <c r="E10" i="7"/>
  <c r="C10" i="7" s="1"/>
  <c r="I10" i="7" s="1"/>
  <c r="D10" i="20" s="1"/>
  <c r="E19" i="9"/>
  <c r="C19" i="9" s="1"/>
  <c r="I19" i="9" s="1"/>
  <c r="F19" i="20" s="1"/>
  <c r="E21" i="6"/>
  <c r="C21" i="6" s="1"/>
  <c r="E27" i="5"/>
  <c r="E21" i="9"/>
  <c r="C21" i="9" s="1"/>
  <c r="J21" i="9" s="1"/>
  <c r="K21" i="9" s="1"/>
  <c r="E41" i="5"/>
  <c r="E67" i="5"/>
  <c r="E21" i="17"/>
  <c r="C21" i="17" s="1"/>
  <c r="J21" i="17" s="1"/>
  <c r="K21" i="17" s="1"/>
  <c r="E32" i="8"/>
  <c r="C32" i="8" s="1"/>
  <c r="C21" i="5"/>
  <c r="I21" i="5" s="1"/>
  <c r="E26" i="5"/>
  <c r="E7" i="5"/>
  <c r="E56" i="5"/>
  <c r="E45" i="5"/>
  <c r="E69" i="5"/>
  <c r="E35" i="5"/>
  <c r="E21" i="18"/>
  <c r="C21" i="18" s="1"/>
  <c r="E21" i="7"/>
  <c r="C21" i="7" s="1"/>
  <c r="J21" i="7" s="1"/>
  <c r="K21" i="7" s="1"/>
  <c r="E21" i="8"/>
  <c r="C21" i="8" s="1"/>
  <c r="C32" i="5"/>
  <c r="E32" i="18"/>
  <c r="C32" i="18" s="1"/>
  <c r="E13" i="5"/>
  <c r="E32" i="9"/>
  <c r="C32" i="9" s="1"/>
  <c r="J32" i="9" s="1"/>
  <c r="K32" i="9" s="1"/>
  <c r="E21" i="10"/>
  <c r="C21" i="10" s="1"/>
  <c r="C15" i="20"/>
  <c r="D6" i="25"/>
  <c r="E6" i="25" s="1"/>
  <c r="D12" i="25"/>
  <c r="E12" i="25" s="1"/>
  <c r="J44" i="18"/>
  <c r="K44" i="18" s="1"/>
  <c r="J60" i="18"/>
  <c r="K60" i="18" s="1"/>
  <c r="I23" i="9"/>
  <c r="F23" i="20" s="1"/>
  <c r="M55" i="5"/>
  <c r="B55" i="20"/>
  <c r="J44" i="6"/>
  <c r="K44" i="6" s="1"/>
  <c r="J44" i="7"/>
  <c r="K44" i="7" s="1"/>
  <c r="I9" i="10"/>
  <c r="G9" i="20" s="1"/>
  <c r="I48" i="8"/>
  <c r="E48" i="20" s="1"/>
  <c r="I44" i="10"/>
  <c r="G44" i="20" s="1"/>
  <c r="I48" i="18"/>
  <c r="M48" i="20" s="1"/>
  <c r="I25" i="9"/>
  <c r="F25" i="20" s="1"/>
  <c r="J44" i="17"/>
  <c r="K44" i="17" s="1"/>
  <c r="I25" i="10"/>
  <c r="G25" i="20" s="1"/>
  <c r="I15" i="10"/>
  <c r="G15" i="20" s="1"/>
  <c r="J12" i="18"/>
  <c r="K12" i="18" s="1"/>
  <c r="I15" i="5"/>
  <c r="I48" i="14"/>
  <c r="K48" i="20" s="1"/>
  <c r="I9" i="14"/>
  <c r="K9" i="20" s="1"/>
  <c r="I48" i="17"/>
  <c r="L48" i="20" s="1"/>
  <c r="J44" i="14"/>
  <c r="K44" i="14" s="1"/>
  <c r="I12" i="8"/>
  <c r="E12" i="20" s="1"/>
  <c r="J44" i="9"/>
  <c r="K44" i="9" s="1"/>
  <c r="I15" i="8"/>
  <c r="E15" i="20" s="1"/>
  <c r="I55" i="14"/>
  <c r="K55" i="20" s="1"/>
  <c r="J15" i="18"/>
  <c r="K15" i="18" s="1"/>
  <c r="J6" i="18"/>
  <c r="K6" i="18" s="1"/>
  <c r="J42" i="14"/>
  <c r="K42" i="14" s="1"/>
  <c r="I6" i="14"/>
  <c r="K6" i="20" s="1"/>
  <c r="J55" i="9"/>
  <c r="K55" i="9" s="1"/>
  <c r="I6" i="6"/>
  <c r="B48" i="20"/>
  <c r="J23" i="17"/>
  <c r="K23" i="17" s="1"/>
  <c r="J48" i="5"/>
  <c r="K48" i="5" s="1"/>
  <c r="J25" i="8"/>
  <c r="K25" i="8" s="1"/>
  <c r="J48" i="6"/>
  <c r="K48" i="6" s="1"/>
  <c r="I15" i="17"/>
  <c r="L15" i="20" s="1"/>
  <c r="I23" i="5"/>
  <c r="M48" i="5"/>
  <c r="I23" i="8"/>
  <c r="E23" i="20" s="1"/>
  <c r="J25" i="14"/>
  <c r="K25" i="14" s="1"/>
  <c r="I9" i="8"/>
  <c r="E9" i="20" s="1"/>
  <c r="J15" i="6"/>
  <c r="K15" i="6" s="1"/>
  <c r="I12" i="5"/>
  <c r="J23" i="14"/>
  <c r="K23" i="14" s="1"/>
  <c r="I42" i="8"/>
  <c r="E42" i="20" s="1"/>
  <c r="J55" i="18"/>
  <c r="K55" i="18" s="1"/>
  <c r="I25" i="6"/>
  <c r="J44" i="8"/>
  <c r="K44" i="8" s="1"/>
  <c r="I12" i="6"/>
  <c r="J12" i="9"/>
  <c r="K12" i="9" s="1"/>
  <c r="I55" i="7"/>
  <c r="D55" i="20" s="1"/>
  <c r="I25" i="7"/>
  <c r="D25" i="20" s="1"/>
  <c r="J23" i="6"/>
  <c r="K23" i="6" s="1"/>
  <c r="J23" i="10"/>
  <c r="K23" i="10" s="1"/>
  <c r="I9" i="5"/>
  <c r="I12" i="10"/>
  <c r="G12" i="20" s="1"/>
  <c r="J48" i="10"/>
  <c r="K48" i="10" s="1"/>
  <c r="J55" i="10"/>
  <c r="K55" i="10" s="1"/>
  <c r="I6" i="7"/>
  <c r="D6" i="20" s="1"/>
  <c r="J9" i="7"/>
  <c r="K9" i="7" s="1"/>
  <c r="J48" i="7"/>
  <c r="K48" i="7" s="1"/>
  <c r="J25" i="17"/>
  <c r="K25" i="17" s="1"/>
  <c r="I12" i="7"/>
  <c r="D12" i="20" s="1"/>
  <c r="J55" i="5"/>
  <c r="K55" i="5" s="1"/>
  <c r="J55" i="17"/>
  <c r="K55" i="17" s="1"/>
  <c r="I15" i="9"/>
  <c r="F15" i="20" s="1"/>
  <c r="C20" i="5"/>
  <c r="I20" i="5" s="1"/>
  <c r="E20" i="18"/>
  <c r="C20" i="18" s="1"/>
  <c r="E20" i="10"/>
  <c r="C20" i="10" s="1"/>
  <c r="E20" i="17"/>
  <c r="C20" i="17" s="1"/>
  <c r="J20" i="17" s="1"/>
  <c r="K20" i="17" s="1"/>
  <c r="E20" i="9"/>
  <c r="C20" i="9" s="1"/>
  <c r="J20" i="9" s="1"/>
  <c r="K20" i="9" s="1"/>
  <c r="E20" i="8"/>
  <c r="C20" i="8" s="1"/>
  <c r="E20" i="6"/>
  <c r="C20" i="6" s="1"/>
  <c r="E20" i="14"/>
  <c r="C20" i="14" s="1"/>
  <c r="E20" i="7"/>
  <c r="C20" i="7" s="1"/>
  <c r="I20" i="7" s="1"/>
  <c r="D20" i="20" s="1"/>
  <c r="I42" i="18"/>
  <c r="M42" i="20" s="1"/>
  <c r="J42" i="18"/>
  <c r="K42" i="18" s="1"/>
  <c r="J9" i="9"/>
  <c r="K9" i="9" s="1"/>
  <c r="I9" i="9"/>
  <c r="F9" i="20" s="1"/>
  <c r="J60" i="9"/>
  <c r="K60" i="9" s="1"/>
  <c r="I60" i="9"/>
  <c r="F60" i="20" s="1"/>
  <c r="J6" i="17"/>
  <c r="K6" i="17" s="1"/>
  <c r="I6" i="17"/>
  <c r="L6" i="20" s="1"/>
  <c r="I23" i="18"/>
  <c r="M23" i="20" s="1"/>
  <c r="J23" i="18"/>
  <c r="K23" i="18" s="1"/>
  <c r="I42" i="7"/>
  <c r="D42" i="20" s="1"/>
  <c r="J42" i="7"/>
  <c r="K42" i="7" s="1"/>
  <c r="J60" i="17"/>
  <c r="K60" i="17" s="1"/>
  <c r="I60" i="17"/>
  <c r="L60" i="20" s="1"/>
  <c r="J6" i="10"/>
  <c r="K6" i="10" s="1"/>
  <c r="I6" i="10"/>
  <c r="G6" i="20" s="1"/>
  <c r="J9" i="17"/>
  <c r="K9" i="17" s="1"/>
  <c r="I9" i="17"/>
  <c r="L9" i="20" s="1"/>
  <c r="J60" i="6"/>
  <c r="K60" i="6" s="1"/>
  <c r="I60" i="6"/>
  <c r="J60" i="10"/>
  <c r="K60" i="10" s="1"/>
  <c r="I60" i="10"/>
  <c r="G60" i="20" s="1"/>
  <c r="J12" i="17"/>
  <c r="K12" i="17" s="1"/>
  <c r="I12" i="17"/>
  <c r="L12" i="20" s="1"/>
  <c r="I12" i="14"/>
  <c r="K12" i="20" s="1"/>
  <c r="J12" i="14"/>
  <c r="K12" i="14" s="1"/>
  <c r="I25" i="5"/>
  <c r="J25" i="5"/>
  <c r="K25" i="5" s="1"/>
  <c r="J42" i="5"/>
  <c r="K42" i="5" s="1"/>
  <c r="I42" i="5"/>
  <c r="J9" i="6"/>
  <c r="K9" i="6" s="1"/>
  <c r="I9" i="6"/>
  <c r="J60" i="14"/>
  <c r="K60" i="14" s="1"/>
  <c r="I60" i="14"/>
  <c r="K60" i="20" s="1"/>
  <c r="I6" i="5"/>
  <c r="J6" i="5"/>
  <c r="K6" i="5" s="1"/>
  <c r="J9" i="18"/>
  <c r="K9" i="18" s="1"/>
  <c r="I9" i="18"/>
  <c r="M9" i="20" s="1"/>
  <c r="J60" i="7"/>
  <c r="K60" i="7" s="1"/>
  <c r="I60" i="7"/>
  <c r="D60" i="20" s="1"/>
  <c r="C33" i="5"/>
  <c r="I33" i="5" s="1"/>
  <c r="E33" i="7"/>
  <c r="C33" i="7" s="1"/>
  <c r="J33" i="7" s="1"/>
  <c r="K33" i="7" s="1"/>
  <c r="E33" i="14"/>
  <c r="C33" i="14" s="1"/>
  <c r="E33" i="6"/>
  <c r="C33" i="6" s="1"/>
  <c r="E33" i="17"/>
  <c r="C33" i="17" s="1"/>
  <c r="I33" i="17" s="1"/>
  <c r="L33" i="20" s="1"/>
  <c r="E33" i="18"/>
  <c r="C33" i="18" s="1"/>
  <c r="E33" i="10"/>
  <c r="C33" i="10" s="1"/>
  <c r="E33" i="8"/>
  <c r="C33" i="8" s="1"/>
  <c r="E33" i="9"/>
  <c r="C33" i="9" s="1"/>
  <c r="I33" i="9" s="1"/>
  <c r="F33" i="20" s="1"/>
  <c r="C18" i="5"/>
  <c r="J18" i="5" s="1"/>
  <c r="K18" i="5" s="1"/>
  <c r="E18" i="18"/>
  <c r="C18" i="18" s="1"/>
  <c r="E18" i="10"/>
  <c r="C18" i="10" s="1"/>
  <c r="E18" i="17"/>
  <c r="C18" i="17" s="1"/>
  <c r="I18" i="17" s="1"/>
  <c r="L18" i="20" s="1"/>
  <c r="E18" i="9"/>
  <c r="C18" i="9" s="1"/>
  <c r="I18" i="9" s="1"/>
  <c r="F18" i="20" s="1"/>
  <c r="E18" i="8"/>
  <c r="C18" i="8" s="1"/>
  <c r="E18" i="7"/>
  <c r="C18" i="7" s="1"/>
  <c r="J18" i="7" s="1"/>
  <c r="K18" i="7" s="1"/>
  <c r="E18" i="14"/>
  <c r="C18" i="14" s="1"/>
  <c r="E18" i="6"/>
  <c r="C18" i="6" s="1"/>
  <c r="J15" i="14"/>
  <c r="K15" i="14" s="1"/>
  <c r="I15" i="14"/>
  <c r="K15" i="20" s="1"/>
  <c r="I44" i="5"/>
  <c r="J44" i="5"/>
  <c r="K44" i="5" s="1"/>
  <c r="I42" i="9"/>
  <c r="F42" i="20" s="1"/>
  <c r="J42" i="9"/>
  <c r="K42" i="9" s="1"/>
  <c r="J60" i="5"/>
  <c r="K60" i="5" s="1"/>
  <c r="I60" i="5"/>
  <c r="I6" i="8"/>
  <c r="E6" i="20" s="1"/>
  <c r="J6" i="8"/>
  <c r="K6" i="8" s="1"/>
  <c r="I25" i="18"/>
  <c r="M25" i="20" s="1"/>
  <c r="J25" i="18"/>
  <c r="K25" i="18" s="1"/>
  <c r="J55" i="8"/>
  <c r="K55" i="8" s="1"/>
  <c r="I55" i="8"/>
  <c r="E55" i="20" s="1"/>
  <c r="I15" i="7"/>
  <c r="D15" i="20" s="1"/>
  <c r="J15" i="7"/>
  <c r="K15" i="7" s="1"/>
  <c r="J42" i="17"/>
  <c r="K42" i="17" s="1"/>
  <c r="I42" i="17"/>
  <c r="L42" i="20" s="1"/>
  <c r="J60" i="8"/>
  <c r="K60" i="8" s="1"/>
  <c r="I60" i="8"/>
  <c r="E60" i="20" s="1"/>
  <c r="I6" i="9"/>
  <c r="F6" i="20" s="1"/>
  <c r="J6" i="9"/>
  <c r="K6" i="9" s="1"/>
  <c r="I55" i="6"/>
  <c r="J55" i="6"/>
  <c r="K55" i="6" s="1"/>
  <c r="I42" i="6"/>
  <c r="J42" i="6"/>
  <c r="K42" i="6" s="1"/>
  <c r="J42" i="10"/>
  <c r="K42" i="10" s="1"/>
  <c r="I42" i="10"/>
  <c r="G42" i="20" s="1"/>
  <c r="J48" i="9"/>
  <c r="K48" i="9" s="1"/>
  <c r="I48" i="9"/>
  <c r="F48" i="20" s="1"/>
  <c r="I23" i="7"/>
  <c r="D23" i="20" s="1"/>
  <c r="J23" i="7"/>
  <c r="K23" i="7" s="1"/>
  <c r="L48" i="28" l="1"/>
  <c r="J48" i="20" s="1"/>
  <c r="N48" i="28"/>
  <c r="P48" i="28" s="1"/>
  <c r="L44" i="28"/>
  <c r="J44" i="20" s="1"/>
  <c r="N44" i="28"/>
  <c r="P44" i="28" s="1"/>
  <c r="O44" i="14"/>
  <c r="O48" i="14"/>
  <c r="F20" i="28"/>
  <c r="E18" i="28"/>
  <c r="J18" i="19" s="1"/>
  <c r="E33" i="28"/>
  <c r="J33" i="19" s="1"/>
  <c r="L6" i="28"/>
  <c r="J6" i="20" s="1"/>
  <c r="M37" i="28"/>
  <c r="O37" i="28"/>
  <c r="E66" i="6"/>
  <c r="C66" i="6" s="1"/>
  <c r="J66" i="6" s="1"/>
  <c r="K66" i="6" s="1"/>
  <c r="G66" i="28"/>
  <c r="N6" i="28"/>
  <c r="P6" i="28" s="1"/>
  <c r="E66" i="14"/>
  <c r="C66" i="14" s="1"/>
  <c r="J66" i="14" s="1"/>
  <c r="K66" i="14" s="1"/>
  <c r="J19" i="5"/>
  <c r="K19" i="5" s="1"/>
  <c r="O6" i="14"/>
  <c r="M24" i="5"/>
  <c r="L37" i="28"/>
  <c r="N37" i="28"/>
  <c r="P37" i="28" s="1"/>
  <c r="J37" i="19"/>
  <c r="L9" i="28"/>
  <c r="J9" i="20" s="1"/>
  <c r="N9" i="28"/>
  <c r="P9" i="28" s="1"/>
  <c r="O9" i="14"/>
  <c r="O18" i="33"/>
  <c r="J18" i="33"/>
  <c r="K18" i="33" s="1"/>
  <c r="I18" i="33"/>
  <c r="O18" i="20" s="1"/>
  <c r="E35" i="29"/>
  <c r="C35" i="29" s="1"/>
  <c r="E35" i="33"/>
  <c r="C35" i="33" s="1"/>
  <c r="E35" i="32"/>
  <c r="C35" i="32" s="1"/>
  <c r="E35" i="31"/>
  <c r="C35" i="31" s="1"/>
  <c r="E27" i="33"/>
  <c r="C27" i="33" s="1"/>
  <c r="E27" i="32"/>
  <c r="C27" i="32" s="1"/>
  <c r="E27" i="31"/>
  <c r="C27" i="31" s="1"/>
  <c r="E27" i="29"/>
  <c r="C27" i="29" s="1"/>
  <c r="E66" i="29"/>
  <c r="C66" i="29" s="1"/>
  <c r="E66" i="33"/>
  <c r="C66" i="33" s="1"/>
  <c r="E66" i="32"/>
  <c r="C66" i="32" s="1"/>
  <c r="E66" i="31"/>
  <c r="C66" i="31" s="1"/>
  <c r="O63" i="31"/>
  <c r="J63" i="31"/>
  <c r="K63" i="31" s="1"/>
  <c r="I63" i="31"/>
  <c r="I63" i="20" s="1"/>
  <c r="O53" i="31"/>
  <c r="J53" i="31"/>
  <c r="K53" i="31" s="1"/>
  <c r="I53" i="31"/>
  <c r="I53" i="20" s="1"/>
  <c r="J10" i="32"/>
  <c r="K10" i="32" s="1"/>
  <c r="I10" i="32"/>
  <c r="N10" i="20" s="1"/>
  <c r="J38" i="32"/>
  <c r="K38" i="32" s="1"/>
  <c r="I38" i="32"/>
  <c r="N38" i="20" s="1"/>
  <c r="J32" i="33"/>
  <c r="K32" i="33" s="1"/>
  <c r="O32" i="33"/>
  <c r="I32" i="33"/>
  <c r="O32" i="20" s="1"/>
  <c r="J18" i="29"/>
  <c r="K18" i="29" s="1"/>
  <c r="I18" i="29"/>
  <c r="H18" i="20" s="1"/>
  <c r="O53" i="33"/>
  <c r="J53" i="33"/>
  <c r="K53" i="33" s="1"/>
  <c r="I53" i="33"/>
  <c r="O53" i="20" s="1"/>
  <c r="O10" i="31"/>
  <c r="J10" i="31"/>
  <c r="K10" i="31" s="1"/>
  <c r="I10" i="31"/>
  <c r="I10" i="20" s="1"/>
  <c r="O38" i="31"/>
  <c r="J38" i="31"/>
  <c r="K38" i="31" s="1"/>
  <c r="I38" i="31"/>
  <c r="I38" i="20" s="1"/>
  <c r="J32" i="32"/>
  <c r="K32" i="32" s="1"/>
  <c r="I32" i="32"/>
  <c r="N32" i="20" s="1"/>
  <c r="E69" i="33"/>
  <c r="C69" i="33" s="1"/>
  <c r="E69" i="32"/>
  <c r="C69" i="32" s="1"/>
  <c r="E69" i="31"/>
  <c r="C69" i="31" s="1"/>
  <c r="E69" i="29"/>
  <c r="C69" i="29" s="1"/>
  <c r="I21" i="6"/>
  <c r="C21" i="20" s="1"/>
  <c r="N21" i="6"/>
  <c r="E43" i="33"/>
  <c r="C43" i="33" s="1"/>
  <c r="E43" i="32"/>
  <c r="C43" i="32" s="1"/>
  <c r="E43" i="31"/>
  <c r="C43" i="31" s="1"/>
  <c r="E43" i="29"/>
  <c r="C43" i="29" s="1"/>
  <c r="N16" i="6"/>
  <c r="I21" i="29"/>
  <c r="H21" i="20" s="1"/>
  <c r="J21" i="29"/>
  <c r="K21" i="29" s="1"/>
  <c r="I63" i="29"/>
  <c r="H63" i="20" s="1"/>
  <c r="J63" i="29"/>
  <c r="K63" i="29" s="1"/>
  <c r="O10" i="33"/>
  <c r="J10" i="33"/>
  <c r="K10" i="33" s="1"/>
  <c r="I10" i="33"/>
  <c r="O10" i="20" s="1"/>
  <c r="O38" i="33"/>
  <c r="J38" i="33"/>
  <c r="K38" i="33" s="1"/>
  <c r="I38" i="33"/>
  <c r="O38" i="20" s="1"/>
  <c r="O51" i="31"/>
  <c r="I51" i="31"/>
  <c r="I51" i="20" s="1"/>
  <c r="J51" i="31"/>
  <c r="K51" i="31" s="1"/>
  <c r="O17" i="31"/>
  <c r="J17" i="31"/>
  <c r="K17" i="31" s="1"/>
  <c r="I17" i="31"/>
  <c r="I17" i="20" s="1"/>
  <c r="I18" i="6"/>
  <c r="C18" i="20" s="1"/>
  <c r="N18" i="6"/>
  <c r="I20" i="6"/>
  <c r="C20" i="20" s="1"/>
  <c r="N20" i="6"/>
  <c r="E45" i="33"/>
  <c r="C45" i="33" s="1"/>
  <c r="E45" i="32"/>
  <c r="C45" i="32" s="1"/>
  <c r="E45" i="31"/>
  <c r="C45" i="31" s="1"/>
  <c r="E45" i="29"/>
  <c r="C45" i="29" s="1"/>
  <c r="I63" i="6"/>
  <c r="C63" i="20" s="1"/>
  <c r="N63" i="6"/>
  <c r="O21" i="31"/>
  <c r="J21" i="31"/>
  <c r="K21" i="31" s="1"/>
  <c r="I21" i="31"/>
  <c r="I21" i="20" s="1"/>
  <c r="J63" i="32"/>
  <c r="K63" i="32" s="1"/>
  <c r="I63" i="32"/>
  <c r="N63" i="20" s="1"/>
  <c r="O19" i="31"/>
  <c r="J19" i="31"/>
  <c r="K19" i="31" s="1"/>
  <c r="I19" i="31"/>
  <c r="I19" i="20" s="1"/>
  <c r="J10" i="29"/>
  <c r="K10" i="29" s="1"/>
  <c r="I10" i="29"/>
  <c r="H10" i="20" s="1"/>
  <c r="J51" i="32"/>
  <c r="K51" i="32" s="1"/>
  <c r="I51" i="32"/>
  <c r="N51" i="20" s="1"/>
  <c r="I17" i="29"/>
  <c r="H17" i="20" s="1"/>
  <c r="J17" i="29"/>
  <c r="K17" i="29" s="1"/>
  <c r="E56" i="29"/>
  <c r="C56" i="29" s="1"/>
  <c r="E56" i="33"/>
  <c r="C56" i="33" s="1"/>
  <c r="E56" i="32"/>
  <c r="C56" i="32" s="1"/>
  <c r="E56" i="31"/>
  <c r="C56" i="31" s="1"/>
  <c r="J21" i="32"/>
  <c r="K21" i="32" s="1"/>
  <c r="I21" i="32"/>
  <c r="N21" i="20" s="1"/>
  <c r="J63" i="33"/>
  <c r="K63" i="33" s="1"/>
  <c r="O63" i="33"/>
  <c r="I63" i="33"/>
  <c r="O63" i="20" s="1"/>
  <c r="J19" i="32"/>
  <c r="K19" i="32" s="1"/>
  <c r="I19" i="32"/>
  <c r="N19" i="20" s="1"/>
  <c r="J30" i="32"/>
  <c r="K30" i="32" s="1"/>
  <c r="I30" i="32"/>
  <c r="N30" i="20" s="1"/>
  <c r="J51" i="33"/>
  <c r="K51" i="33" s="1"/>
  <c r="O51" i="33"/>
  <c r="I51" i="33"/>
  <c r="O51" i="20" s="1"/>
  <c r="J17" i="32"/>
  <c r="K17" i="32" s="1"/>
  <c r="I17" i="32"/>
  <c r="N17" i="20" s="1"/>
  <c r="I32" i="6"/>
  <c r="C32" i="20" s="1"/>
  <c r="N32" i="6"/>
  <c r="O21" i="33"/>
  <c r="J21" i="33"/>
  <c r="K21" i="33" s="1"/>
  <c r="I21" i="33"/>
  <c r="O21" i="20" s="1"/>
  <c r="J16" i="32"/>
  <c r="K16" i="32" s="1"/>
  <c r="I16" i="32"/>
  <c r="N16" i="20" s="1"/>
  <c r="J19" i="33"/>
  <c r="K19" i="33" s="1"/>
  <c r="O19" i="33"/>
  <c r="I19" i="33"/>
  <c r="O19" i="20" s="1"/>
  <c r="O30" i="33"/>
  <c r="J30" i="33"/>
  <c r="K30" i="33" s="1"/>
  <c r="I30" i="33"/>
  <c r="O30" i="20" s="1"/>
  <c r="I51" i="29"/>
  <c r="H51" i="20" s="1"/>
  <c r="J51" i="29"/>
  <c r="K51" i="29" s="1"/>
  <c r="J17" i="33"/>
  <c r="K17" i="33" s="1"/>
  <c r="O17" i="33"/>
  <c r="I17" i="33"/>
  <c r="O17" i="20" s="1"/>
  <c r="E7" i="31"/>
  <c r="C7" i="31" s="1"/>
  <c r="E7" i="32"/>
  <c r="C7" i="32" s="1"/>
  <c r="E7" i="29"/>
  <c r="C7" i="29" s="1"/>
  <c r="E7" i="33"/>
  <c r="C7" i="33" s="1"/>
  <c r="E46" i="31"/>
  <c r="C46" i="31" s="1"/>
  <c r="E46" i="29"/>
  <c r="C46" i="29" s="1"/>
  <c r="E46" i="32"/>
  <c r="C46" i="32" s="1"/>
  <c r="E46" i="33"/>
  <c r="C46" i="33" s="1"/>
  <c r="I53" i="6"/>
  <c r="C53" i="20" s="1"/>
  <c r="N53" i="6"/>
  <c r="J10" i="6"/>
  <c r="K10" i="6" s="1"/>
  <c r="N10" i="6"/>
  <c r="E26" i="33"/>
  <c r="C26" i="33" s="1"/>
  <c r="E26" i="32"/>
  <c r="C26" i="32" s="1"/>
  <c r="E26" i="31"/>
  <c r="C26" i="31" s="1"/>
  <c r="E26" i="29"/>
  <c r="C26" i="29" s="1"/>
  <c r="I38" i="6"/>
  <c r="C38" i="20" s="1"/>
  <c r="N38" i="6"/>
  <c r="O33" i="31"/>
  <c r="J33" i="31"/>
  <c r="K33" i="31" s="1"/>
  <c r="I33" i="31"/>
  <c r="I33" i="20" s="1"/>
  <c r="O16" i="33"/>
  <c r="J16" i="33"/>
  <c r="K16" i="33" s="1"/>
  <c r="I16" i="33"/>
  <c r="O16" i="20" s="1"/>
  <c r="I19" i="29"/>
  <c r="H19" i="20" s="1"/>
  <c r="J19" i="29"/>
  <c r="K19" i="29" s="1"/>
  <c r="I30" i="29"/>
  <c r="H30" i="20" s="1"/>
  <c r="J30" i="29"/>
  <c r="K30" i="29" s="1"/>
  <c r="I58" i="29"/>
  <c r="H58" i="20" s="1"/>
  <c r="J58" i="29"/>
  <c r="K58" i="29" s="1"/>
  <c r="B52" i="20"/>
  <c r="J33" i="32"/>
  <c r="K33" i="32" s="1"/>
  <c r="I33" i="32"/>
  <c r="N33" i="20" s="1"/>
  <c r="I16" i="29"/>
  <c r="H16" i="20" s="1"/>
  <c r="J16" i="29"/>
  <c r="K16" i="29" s="1"/>
  <c r="O20" i="31"/>
  <c r="J20" i="31"/>
  <c r="K20" i="31" s="1"/>
  <c r="I20" i="31"/>
  <c r="I20" i="20" s="1"/>
  <c r="O30" i="31"/>
  <c r="I30" i="31"/>
  <c r="I30" i="20" s="1"/>
  <c r="J30" i="31"/>
  <c r="K30" i="31" s="1"/>
  <c r="O58" i="31"/>
  <c r="J58" i="31"/>
  <c r="K58" i="31" s="1"/>
  <c r="I58" i="31"/>
  <c r="I58" i="20" s="1"/>
  <c r="E13" i="33"/>
  <c r="C13" i="33" s="1"/>
  <c r="E13" i="32"/>
  <c r="C13" i="32" s="1"/>
  <c r="E13" i="31"/>
  <c r="C13" i="31" s="1"/>
  <c r="E13" i="29"/>
  <c r="C13" i="29" s="1"/>
  <c r="I51" i="6"/>
  <c r="C51" i="20" s="1"/>
  <c r="N51" i="6"/>
  <c r="I19" i="6"/>
  <c r="C19" i="20" s="1"/>
  <c r="N19" i="6"/>
  <c r="O33" i="33"/>
  <c r="J33" i="33"/>
  <c r="K33" i="33" s="1"/>
  <c r="I33" i="33"/>
  <c r="O33" i="20" s="1"/>
  <c r="O16" i="31"/>
  <c r="J16" i="31"/>
  <c r="K16" i="31" s="1"/>
  <c r="I16" i="31"/>
  <c r="I16" i="20" s="1"/>
  <c r="J20" i="32"/>
  <c r="K20" i="32" s="1"/>
  <c r="I20" i="32"/>
  <c r="N20" i="20" s="1"/>
  <c r="J58" i="32"/>
  <c r="K58" i="32" s="1"/>
  <c r="I58" i="32"/>
  <c r="N58" i="20" s="1"/>
  <c r="J58" i="33"/>
  <c r="K58" i="33" s="1"/>
  <c r="O58" i="33"/>
  <c r="I58" i="33"/>
  <c r="O58" i="20" s="1"/>
  <c r="E70" i="31"/>
  <c r="C70" i="31" s="1"/>
  <c r="E70" i="33"/>
  <c r="C70" i="33" s="1"/>
  <c r="E70" i="32"/>
  <c r="C70" i="32" s="1"/>
  <c r="E70" i="29"/>
  <c r="C70" i="29" s="1"/>
  <c r="J30" i="6"/>
  <c r="K30" i="6" s="1"/>
  <c r="N30" i="6"/>
  <c r="I33" i="29"/>
  <c r="H33" i="20" s="1"/>
  <c r="J33" i="29"/>
  <c r="K33" i="29" s="1"/>
  <c r="J20" i="33"/>
  <c r="K20" i="33" s="1"/>
  <c r="O20" i="33"/>
  <c r="I20" i="33"/>
  <c r="O20" i="20" s="1"/>
  <c r="E67" i="29"/>
  <c r="C67" i="29" s="1"/>
  <c r="E67" i="33"/>
  <c r="C67" i="33" s="1"/>
  <c r="E67" i="32"/>
  <c r="C67" i="32" s="1"/>
  <c r="E67" i="31"/>
  <c r="C67" i="31" s="1"/>
  <c r="E71" i="29"/>
  <c r="C71" i="29" s="1"/>
  <c r="E71" i="33"/>
  <c r="C71" i="33" s="1"/>
  <c r="E71" i="32"/>
  <c r="C71" i="32" s="1"/>
  <c r="E71" i="31"/>
  <c r="C71" i="31" s="1"/>
  <c r="I20" i="29"/>
  <c r="H20" i="20" s="1"/>
  <c r="J20" i="29"/>
  <c r="K20" i="29" s="1"/>
  <c r="I53" i="29"/>
  <c r="H53" i="20" s="1"/>
  <c r="J53" i="29"/>
  <c r="K53" i="29" s="1"/>
  <c r="O32" i="31"/>
  <c r="J32" i="31"/>
  <c r="K32" i="31" s="1"/>
  <c r="I32" i="31"/>
  <c r="I32" i="20" s="1"/>
  <c r="O18" i="31"/>
  <c r="J18" i="31"/>
  <c r="K18" i="31" s="1"/>
  <c r="I18" i="31"/>
  <c r="I18" i="20" s="1"/>
  <c r="J17" i="6"/>
  <c r="K17" i="6" s="1"/>
  <c r="N17" i="6"/>
  <c r="J33" i="6"/>
  <c r="K33" i="6" s="1"/>
  <c r="N33" i="6"/>
  <c r="E41" i="29"/>
  <c r="C41" i="29" s="1"/>
  <c r="E41" i="33"/>
  <c r="C41" i="33" s="1"/>
  <c r="E41" i="32"/>
  <c r="C41" i="32" s="1"/>
  <c r="E41" i="31"/>
  <c r="C41" i="31" s="1"/>
  <c r="I58" i="6"/>
  <c r="C58" i="20" s="1"/>
  <c r="N58" i="6"/>
  <c r="J53" i="32"/>
  <c r="K53" i="32" s="1"/>
  <c r="I53" i="32"/>
  <c r="N53" i="20" s="1"/>
  <c r="I38" i="29"/>
  <c r="H38" i="20" s="1"/>
  <c r="J38" i="29"/>
  <c r="K38" i="29" s="1"/>
  <c r="J32" i="29"/>
  <c r="K32" i="29" s="1"/>
  <c r="I32" i="29"/>
  <c r="H32" i="20" s="1"/>
  <c r="J18" i="32"/>
  <c r="K18" i="32" s="1"/>
  <c r="I18" i="32"/>
  <c r="N18" i="20" s="1"/>
  <c r="O33" i="10"/>
  <c r="J10" i="18"/>
  <c r="K10" i="18" s="1"/>
  <c r="O10" i="18"/>
  <c r="I53" i="10"/>
  <c r="G53" i="20" s="1"/>
  <c r="O53" i="10"/>
  <c r="J24" i="19"/>
  <c r="O24" i="14"/>
  <c r="J21" i="14"/>
  <c r="K21" i="14" s="1"/>
  <c r="J65" i="19"/>
  <c r="O65" i="14"/>
  <c r="J47" i="19"/>
  <c r="O47" i="14"/>
  <c r="J57" i="19"/>
  <c r="O57" i="14"/>
  <c r="J51" i="14"/>
  <c r="K51" i="14" s="1"/>
  <c r="J50" i="19"/>
  <c r="O50" i="14"/>
  <c r="J28" i="19"/>
  <c r="O28" i="14"/>
  <c r="J52" i="19"/>
  <c r="O52" i="14"/>
  <c r="I53" i="18"/>
  <c r="M53" i="20" s="1"/>
  <c r="O53" i="18"/>
  <c r="J53" i="8"/>
  <c r="K53" i="8" s="1"/>
  <c r="O53" i="8"/>
  <c r="I30" i="14"/>
  <c r="K30" i="20" s="1"/>
  <c r="J63" i="14"/>
  <c r="K63" i="14" s="1"/>
  <c r="I58" i="14"/>
  <c r="K58" i="20" s="1"/>
  <c r="J66" i="8"/>
  <c r="K66" i="8" s="1"/>
  <c r="J58" i="8"/>
  <c r="K58" i="8" s="1"/>
  <c r="O58" i="8"/>
  <c r="J16" i="14"/>
  <c r="K16" i="14" s="1"/>
  <c r="I58" i="10"/>
  <c r="G58" i="20" s="1"/>
  <c r="O58" i="10"/>
  <c r="I16" i="8"/>
  <c r="E16" i="20" s="1"/>
  <c r="O16" i="8"/>
  <c r="I58" i="18"/>
  <c r="M58" i="20" s="1"/>
  <c r="O58" i="18"/>
  <c r="I38" i="18"/>
  <c r="M38" i="20" s="1"/>
  <c r="O38" i="18"/>
  <c r="J38" i="8"/>
  <c r="K38" i="8" s="1"/>
  <c r="O38" i="8"/>
  <c r="J53" i="14"/>
  <c r="K53" i="14" s="1"/>
  <c r="J38" i="10"/>
  <c r="K38" i="10" s="1"/>
  <c r="O38" i="10"/>
  <c r="J38" i="14"/>
  <c r="K38" i="14" s="1"/>
  <c r="J16" i="10"/>
  <c r="K16" i="10" s="1"/>
  <c r="O16" i="10"/>
  <c r="I19" i="18"/>
  <c r="M19" i="20" s="1"/>
  <c r="O19" i="18"/>
  <c r="I63" i="10"/>
  <c r="G63" i="20" s="1"/>
  <c r="O63" i="10"/>
  <c r="I63" i="18"/>
  <c r="M63" i="20" s="1"/>
  <c r="O63" i="18"/>
  <c r="I16" i="18"/>
  <c r="M16" i="20" s="1"/>
  <c r="O16" i="18"/>
  <c r="J63" i="8"/>
  <c r="K63" i="8" s="1"/>
  <c r="O63" i="8"/>
  <c r="I51" i="8"/>
  <c r="E51" i="20" s="1"/>
  <c r="O51" i="8"/>
  <c r="J30" i="8"/>
  <c r="K30" i="8" s="1"/>
  <c r="O30" i="8"/>
  <c r="J51" i="10"/>
  <c r="K51" i="10" s="1"/>
  <c r="O51" i="10"/>
  <c r="J30" i="10"/>
  <c r="K30" i="10" s="1"/>
  <c r="O30" i="10"/>
  <c r="I51" i="18"/>
  <c r="M51" i="20" s="1"/>
  <c r="O51" i="18"/>
  <c r="I30" i="18"/>
  <c r="M30" i="20" s="1"/>
  <c r="O30" i="18"/>
  <c r="J19" i="8"/>
  <c r="K19" i="8" s="1"/>
  <c r="O19" i="8"/>
  <c r="J10" i="14"/>
  <c r="K10" i="14" s="1"/>
  <c r="I19" i="14"/>
  <c r="K19" i="20" s="1"/>
  <c r="J10" i="8"/>
  <c r="K10" i="8" s="1"/>
  <c r="O10" i="8"/>
  <c r="J17" i="10"/>
  <c r="K17" i="10" s="1"/>
  <c r="O17" i="10"/>
  <c r="I32" i="14"/>
  <c r="K32" i="20" s="1"/>
  <c r="I17" i="14"/>
  <c r="K17" i="20" s="1"/>
  <c r="J17" i="18"/>
  <c r="K17" i="18" s="1"/>
  <c r="O17" i="18"/>
  <c r="J32" i="10"/>
  <c r="K32" i="10" s="1"/>
  <c r="O32" i="10"/>
  <c r="I10" i="10"/>
  <c r="G10" i="20" s="1"/>
  <c r="O10" i="10"/>
  <c r="I17" i="8"/>
  <c r="E17" i="20" s="1"/>
  <c r="O17" i="8"/>
  <c r="I19" i="10"/>
  <c r="G19" i="20" s="1"/>
  <c r="O19" i="10"/>
  <c r="J32" i="8"/>
  <c r="K32" i="8" s="1"/>
  <c r="O32" i="8"/>
  <c r="J21" i="18"/>
  <c r="K21" i="18" s="1"/>
  <c r="O21" i="18"/>
  <c r="J21" i="8"/>
  <c r="K21" i="8" s="1"/>
  <c r="O21" i="8"/>
  <c r="J32" i="18"/>
  <c r="K32" i="18" s="1"/>
  <c r="O32" i="18"/>
  <c r="J21" i="10"/>
  <c r="K21" i="10" s="1"/>
  <c r="O21" i="10"/>
  <c r="I20" i="18"/>
  <c r="M20" i="20" s="1"/>
  <c r="O20" i="18"/>
  <c r="I20" i="10"/>
  <c r="G20" i="20" s="1"/>
  <c r="O20" i="10"/>
  <c r="I20" i="8"/>
  <c r="E20" i="20" s="1"/>
  <c r="O20" i="8"/>
  <c r="I20" i="14"/>
  <c r="K20" i="20" s="1"/>
  <c r="O20" i="14"/>
  <c r="I33" i="14"/>
  <c r="K33" i="20" s="1"/>
  <c r="O33" i="14"/>
  <c r="J33" i="18"/>
  <c r="K33" i="18" s="1"/>
  <c r="O33" i="18"/>
  <c r="I33" i="8"/>
  <c r="E33" i="20" s="1"/>
  <c r="O33" i="8"/>
  <c r="I18" i="18"/>
  <c r="M18" i="20" s="1"/>
  <c r="O18" i="18"/>
  <c r="I18" i="10"/>
  <c r="G18" i="20" s="1"/>
  <c r="O18" i="10"/>
  <c r="I18" i="8"/>
  <c r="E18" i="20" s="1"/>
  <c r="O18" i="8"/>
  <c r="I18" i="14"/>
  <c r="K18" i="20" s="1"/>
  <c r="C66" i="5"/>
  <c r="J66" i="5" s="1"/>
  <c r="K66" i="5" s="1"/>
  <c r="E66" i="7"/>
  <c r="C66" i="7" s="1"/>
  <c r="I66" i="7" s="1"/>
  <c r="D66" i="20" s="1"/>
  <c r="E66" i="9"/>
  <c r="C66" i="9" s="1"/>
  <c r="E66" i="17"/>
  <c r="C66" i="17" s="1"/>
  <c r="E66" i="10"/>
  <c r="C66" i="10" s="1"/>
  <c r="J66" i="10" s="1"/>
  <c r="K66" i="10" s="1"/>
  <c r="E66" i="18"/>
  <c r="C66" i="18" s="1"/>
  <c r="J66" i="18" s="1"/>
  <c r="K66" i="18" s="1"/>
  <c r="M19" i="5"/>
  <c r="I16" i="6"/>
  <c r="C16" i="20" s="1"/>
  <c r="J16" i="6"/>
  <c r="K16" i="6" s="1"/>
  <c r="J38" i="7"/>
  <c r="K38" i="7" s="1"/>
  <c r="I51" i="14"/>
  <c r="K51" i="20" s="1"/>
  <c r="I17" i="9"/>
  <c r="F17" i="20" s="1"/>
  <c r="C60" i="28"/>
  <c r="D60" i="28" s="1"/>
  <c r="J60" i="20"/>
  <c r="I10" i="18"/>
  <c r="M10" i="20" s="1"/>
  <c r="I21" i="14"/>
  <c r="K21" i="20" s="1"/>
  <c r="J53" i="10"/>
  <c r="K53" i="10" s="1"/>
  <c r="C23" i="28"/>
  <c r="D23" i="28" s="1"/>
  <c r="C55" i="28"/>
  <c r="D55" i="28" s="1"/>
  <c r="C6" i="28"/>
  <c r="D6" i="28" s="1"/>
  <c r="C12" i="28"/>
  <c r="D12" i="28" s="1"/>
  <c r="C48" i="28"/>
  <c r="D48" i="28" s="1"/>
  <c r="J53" i="18"/>
  <c r="K53" i="18" s="1"/>
  <c r="C15" i="28"/>
  <c r="D15" i="28" s="1"/>
  <c r="C25" i="28"/>
  <c r="D25" i="28" s="1"/>
  <c r="N28" i="28"/>
  <c r="P28" i="28" s="1"/>
  <c r="L28" i="28"/>
  <c r="J28" i="20" s="1"/>
  <c r="C9" i="28"/>
  <c r="D9" i="28" s="1"/>
  <c r="N65" i="28"/>
  <c r="P65" i="28" s="1"/>
  <c r="L65" i="28"/>
  <c r="J65" i="20" s="1"/>
  <c r="O28" i="28"/>
  <c r="Q28" i="28" s="1"/>
  <c r="M28" i="28"/>
  <c r="O65" i="28"/>
  <c r="Q65" i="28" s="1"/>
  <c r="M65" i="28"/>
  <c r="G69" i="28"/>
  <c r="F63" i="28"/>
  <c r="E63" i="28"/>
  <c r="N50" i="28"/>
  <c r="P50" i="28" s="1"/>
  <c r="L50" i="28"/>
  <c r="J50" i="20" s="1"/>
  <c r="N47" i="28"/>
  <c r="P47" i="28" s="1"/>
  <c r="L47" i="28"/>
  <c r="J47" i="20" s="1"/>
  <c r="F30" i="28"/>
  <c r="E30" i="28"/>
  <c r="E46" i="7"/>
  <c r="C46" i="7" s="1"/>
  <c r="I46" i="7" s="1"/>
  <c r="D46" i="20" s="1"/>
  <c r="G46" i="28"/>
  <c r="O50" i="28"/>
  <c r="Q50" i="28" s="1"/>
  <c r="M50" i="28"/>
  <c r="O47" i="28"/>
  <c r="Q47" i="28" s="1"/>
  <c r="M47" i="28"/>
  <c r="E41" i="7"/>
  <c r="C41" i="7" s="1"/>
  <c r="J41" i="7" s="1"/>
  <c r="K41" i="7" s="1"/>
  <c r="G41" i="28"/>
  <c r="E45" i="9"/>
  <c r="C45" i="9" s="1"/>
  <c r="G45" i="28"/>
  <c r="G56" i="28"/>
  <c r="F16" i="28"/>
  <c r="E16" i="28"/>
  <c r="N20" i="28"/>
  <c r="P20" i="28" s="1"/>
  <c r="L20" i="28"/>
  <c r="J20" i="20" s="1"/>
  <c r="N24" i="28"/>
  <c r="P24" i="28" s="1"/>
  <c r="L24" i="28"/>
  <c r="J24" i="20" s="1"/>
  <c r="G35" i="28"/>
  <c r="G7" i="28"/>
  <c r="E27" i="9"/>
  <c r="C27" i="9" s="1"/>
  <c r="I27" i="9" s="1"/>
  <c r="F27" i="20" s="1"/>
  <c r="G27" i="28"/>
  <c r="J32" i="6"/>
  <c r="K32" i="6" s="1"/>
  <c r="O20" i="28"/>
  <c r="Q20" i="28" s="1"/>
  <c r="M20" i="28"/>
  <c r="O24" i="28"/>
  <c r="Q24" i="28" s="1"/>
  <c r="M24" i="28"/>
  <c r="E13" i="14"/>
  <c r="C13" i="14" s="1"/>
  <c r="G13" i="28"/>
  <c r="E26" i="9"/>
  <c r="C26" i="9" s="1"/>
  <c r="I26" i="9" s="1"/>
  <c r="F26" i="20" s="1"/>
  <c r="G26" i="28"/>
  <c r="F51" i="28"/>
  <c r="E51" i="28"/>
  <c r="F32" i="28"/>
  <c r="E32" i="28"/>
  <c r="F66" i="28"/>
  <c r="E66" i="28"/>
  <c r="F53" i="28"/>
  <c r="E53" i="28"/>
  <c r="E70" i="9"/>
  <c r="C70" i="9" s="1"/>
  <c r="I70" i="9" s="1"/>
  <c r="F70" i="20" s="1"/>
  <c r="G70" i="28"/>
  <c r="C42" i="28"/>
  <c r="D42" i="28" s="1"/>
  <c r="F38" i="28"/>
  <c r="E38" i="28"/>
  <c r="N33" i="28"/>
  <c r="P33" i="28" s="1"/>
  <c r="L33" i="28"/>
  <c r="J33" i="20" s="1"/>
  <c r="F17" i="28"/>
  <c r="E17" i="28"/>
  <c r="F19" i="28"/>
  <c r="E19" i="28"/>
  <c r="E71" i="18"/>
  <c r="C71" i="18" s="1"/>
  <c r="G71" i="28"/>
  <c r="O33" i="28"/>
  <c r="Q33" i="28" s="1"/>
  <c r="M33" i="28"/>
  <c r="N52" i="28"/>
  <c r="P52" i="28" s="1"/>
  <c r="L52" i="28"/>
  <c r="J52" i="20" s="1"/>
  <c r="F58" i="28"/>
  <c r="E58" i="28"/>
  <c r="C44" i="28"/>
  <c r="D44" i="28" s="1"/>
  <c r="N57" i="28"/>
  <c r="P57" i="28" s="1"/>
  <c r="L57" i="28"/>
  <c r="J57" i="20" s="1"/>
  <c r="F21" i="28"/>
  <c r="E21" i="28"/>
  <c r="F10" i="28"/>
  <c r="E10" i="28"/>
  <c r="C67" i="5"/>
  <c r="J67" i="5" s="1"/>
  <c r="K67" i="5" s="1"/>
  <c r="G67" i="28"/>
  <c r="G43" i="28"/>
  <c r="O52" i="28"/>
  <c r="Q52" i="28" s="1"/>
  <c r="M52" i="28"/>
  <c r="O18" i="28"/>
  <c r="Q18" i="28" s="1"/>
  <c r="M18" i="28"/>
  <c r="O57" i="28"/>
  <c r="Q57" i="28" s="1"/>
  <c r="M57" i="28"/>
  <c r="J30" i="14"/>
  <c r="K30" i="14" s="1"/>
  <c r="J53" i="17"/>
  <c r="K53" i="17" s="1"/>
  <c r="I53" i="7"/>
  <c r="D53" i="20" s="1"/>
  <c r="M65" i="5"/>
  <c r="M47" i="5"/>
  <c r="B51" i="20"/>
  <c r="B38" i="20"/>
  <c r="B21" i="20"/>
  <c r="B30" i="20"/>
  <c r="B58" i="20"/>
  <c r="M16" i="5"/>
  <c r="B17" i="20"/>
  <c r="C46" i="5"/>
  <c r="I46" i="5" s="1"/>
  <c r="B46" i="20" s="1"/>
  <c r="J30" i="5"/>
  <c r="K30" i="5" s="1"/>
  <c r="I10" i="6"/>
  <c r="C10" i="20" s="1"/>
  <c r="I10" i="14"/>
  <c r="K10" i="20" s="1"/>
  <c r="I30" i="6"/>
  <c r="C30" i="20" s="1"/>
  <c r="B16" i="20"/>
  <c r="I30" i="10"/>
  <c r="G30" i="20" s="1"/>
  <c r="I53" i="8"/>
  <c r="E53" i="20" s="1"/>
  <c r="J53" i="6"/>
  <c r="K53" i="6" s="1"/>
  <c r="I63" i="8"/>
  <c r="E63" i="20" s="1"/>
  <c r="E46" i="10"/>
  <c r="C46" i="10" s="1"/>
  <c r="I38" i="14"/>
  <c r="K38" i="20" s="1"/>
  <c r="E46" i="9"/>
  <c r="C46" i="9" s="1"/>
  <c r="J46" i="9" s="1"/>
  <c r="K46" i="9" s="1"/>
  <c r="E46" i="18"/>
  <c r="C46" i="18" s="1"/>
  <c r="E46" i="14"/>
  <c r="C46" i="14" s="1"/>
  <c r="J58" i="6"/>
  <c r="K58" i="6" s="1"/>
  <c r="J16" i="17"/>
  <c r="K16" i="17" s="1"/>
  <c r="I30" i="7"/>
  <c r="D30" i="20" s="1"/>
  <c r="J63" i="17"/>
  <c r="K63" i="17" s="1"/>
  <c r="I38" i="17"/>
  <c r="L38" i="20" s="1"/>
  <c r="I66" i="8"/>
  <c r="E66" i="20" s="1"/>
  <c r="I38" i="8"/>
  <c r="E38" i="20" s="1"/>
  <c r="M58" i="5"/>
  <c r="J16" i="5"/>
  <c r="K16" i="5" s="1"/>
  <c r="E41" i="10"/>
  <c r="C41" i="10" s="1"/>
  <c r="J58" i="14"/>
  <c r="K58" i="14" s="1"/>
  <c r="J58" i="5"/>
  <c r="K58" i="5" s="1"/>
  <c r="J63" i="9"/>
  <c r="K63" i="9" s="1"/>
  <c r="E41" i="8"/>
  <c r="C41" i="8" s="1"/>
  <c r="J16" i="8"/>
  <c r="K16" i="8" s="1"/>
  <c r="M51" i="5"/>
  <c r="C41" i="5"/>
  <c r="J41" i="5" s="1"/>
  <c r="K41" i="5" s="1"/>
  <c r="E41" i="17"/>
  <c r="C41" i="17" s="1"/>
  <c r="J41" i="17" s="1"/>
  <c r="K41" i="17" s="1"/>
  <c r="E41" i="18"/>
  <c r="C41" i="18" s="1"/>
  <c r="I58" i="7"/>
  <c r="D58" i="20" s="1"/>
  <c r="E56" i="9"/>
  <c r="C56" i="9" s="1"/>
  <c r="J56" i="9" s="1"/>
  <c r="K56" i="9" s="1"/>
  <c r="I58" i="8"/>
  <c r="E58" i="20" s="1"/>
  <c r="E41" i="6"/>
  <c r="C41" i="6" s="1"/>
  <c r="E45" i="18"/>
  <c r="C45" i="18" s="1"/>
  <c r="I66" i="6"/>
  <c r="C66" i="20" s="1"/>
  <c r="E26" i="14"/>
  <c r="C26" i="14" s="1"/>
  <c r="I63" i="14"/>
  <c r="K63" i="20" s="1"/>
  <c r="J16" i="18"/>
  <c r="K16" i="18" s="1"/>
  <c r="I30" i="17"/>
  <c r="L30" i="20" s="1"/>
  <c r="J63" i="18"/>
  <c r="K63" i="18" s="1"/>
  <c r="E13" i="9"/>
  <c r="C13" i="9" s="1"/>
  <c r="J13" i="9" s="1"/>
  <c r="K13" i="9" s="1"/>
  <c r="E45" i="17"/>
  <c r="C45" i="17" s="1"/>
  <c r="I45" i="17" s="1"/>
  <c r="L45" i="20" s="1"/>
  <c r="E27" i="8"/>
  <c r="C27" i="8" s="1"/>
  <c r="I38" i="9"/>
  <c r="F38" i="20" s="1"/>
  <c r="E27" i="10"/>
  <c r="C27" i="10" s="1"/>
  <c r="E41" i="9"/>
  <c r="C41" i="9" s="1"/>
  <c r="I41" i="9" s="1"/>
  <c r="F41" i="20" s="1"/>
  <c r="E43" i="6"/>
  <c r="C43" i="6" s="1"/>
  <c r="E27" i="18"/>
  <c r="C27" i="18" s="1"/>
  <c r="E45" i="6"/>
  <c r="C45" i="6" s="1"/>
  <c r="E27" i="6"/>
  <c r="C27" i="6" s="1"/>
  <c r="C27" i="5"/>
  <c r="J27" i="5" s="1"/>
  <c r="K27" i="5" s="1"/>
  <c r="I16" i="9"/>
  <c r="F16" i="20" s="1"/>
  <c r="E45" i="14"/>
  <c r="C45" i="14" s="1"/>
  <c r="E27" i="14"/>
  <c r="C27" i="14" s="1"/>
  <c r="I17" i="10"/>
  <c r="G17" i="20" s="1"/>
  <c r="E27" i="17"/>
  <c r="C27" i="17" s="1"/>
  <c r="I27" i="17" s="1"/>
  <c r="L27" i="20" s="1"/>
  <c r="B65" i="20"/>
  <c r="E35" i="14"/>
  <c r="C35" i="14" s="1"/>
  <c r="E13" i="10"/>
  <c r="C13" i="10" s="1"/>
  <c r="E45" i="10"/>
  <c r="C45" i="10" s="1"/>
  <c r="E27" i="7"/>
  <c r="C27" i="7" s="1"/>
  <c r="J27" i="7" s="1"/>
  <c r="K27" i="7" s="1"/>
  <c r="J58" i="9"/>
  <c r="K58" i="9" s="1"/>
  <c r="E56" i="18"/>
  <c r="C56" i="18" s="1"/>
  <c r="I63" i="7"/>
  <c r="D63" i="20" s="1"/>
  <c r="E69" i="18"/>
  <c r="C69" i="18" s="1"/>
  <c r="J58" i="17"/>
  <c r="K58" i="17" s="1"/>
  <c r="I51" i="7"/>
  <c r="D51" i="20" s="1"/>
  <c r="J63" i="10"/>
  <c r="K63" i="10" s="1"/>
  <c r="I38" i="10"/>
  <c r="G38" i="20" s="1"/>
  <c r="C13" i="5"/>
  <c r="I13" i="5" s="1"/>
  <c r="E13" i="8"/>
  <c r="C13" i="8" s="1"/>
  <c r="J58" i="18"/>
  <c r="K58" i="18" s="1"/>
  <c r="E35" i="9"/>
  <c r="C35" i="9" s="1"/>
  <c r="I35" i="9" s="1"/>
  <c r="F35" i="20" s="1"/>
  <c r="J17" i="17"/>
  <c r="K17" i="17" s="1"/>
  <c r="J19" i="18"/>
  <c r="K19" i="18" s="1"/>
  <c r="J51" i="18"/>
  <c r="K51" i="18" s="1"/>
  <c r="I16" i="14"/>
  <c r="K16" i="20" s="1"/>
  <c r="I16" i="10"/>
  <c r="G16" i="20" s="1"/>
  <c r="I51" i="10"/>
  <c r="G51" i="20" s="1"/>
  <c r="I32" i="10"/>
  <c r="G32" i="20" s="1"/>
  <c r="J53" i="9"/>
  <c r="K53" i="9" s="1"/>
  <c r="I30" i="8"/>
  <c r="E30" i="20" s="1"/>
  <c r="J51" i="8"/>
  <c r="K51" i="8" s="1"/>
  <c r="J16" i="7"/>
  <c r="K16" i="7" s="1"/>
  <c r="J19" i="6"/>
  <c r="K19" i="6" s="1"/>
  <c r="J38" i="5"/>
  <c r="K38" i="5" s="1"/>
  <c r="M38" i="5"/>
  <c r="J38" i="6"/>
  <c r="K38" i="6" s="1"/>
  <c r="J51" i="5"/>
  <c r="K51" i="5" s="1"/>
  <c r="J58" i="10"/>
  <c r="K58" i="10" s="1"/>
  <c r="I51" i="9"/>
  <c r="F51" i="20" s="1"/>
  <c r="J38" i="18"/>
  <c r="K38" i="18" s="1"/>
  <c r="C26" i="5"/>
  <c r="J26" i="5" s="1"/>
  <c r="K26" i="5" s="1"/>
  <c r="E26" i="18"/>
  <c r="C26" i="18" s="1"/>
  <c r="E26" i="7"/>
  <c r="C26" i="7" s="1"/>
  <c r="I26" i="7" s="1"/>
  <c r="D26" i="20" s="1"/>
  <c r="I53" i="14"/>
  <c r="K53" i="20" s="1"/>
  <c r="E26" i="6"/>
  <c r="C26" i="6" s="1"/>
  <c r="J21" i="6"/>
  <c r="K21" i="6" s="1"/>
  <c r="E46" i="6"/>
  <c r="C46" i="6" s="1"/>
  <c r="J19" i="17"/>
  <c r="K19" i="17" s="1"/>
  <c r="C45" i="5"/>
  <c r="I45" i="5" s="1"/>
  <c r="E46" i="8"/>
  <c r="C46" i="8" s="1"/>
  <c r="E45" i="7"/>
  <c r="C45" i="7" s="1"/>
  <c r="J45" i="7" s="1"/>
  <c r="K45" i="7" s="1"/>
  <c r="E46" i="17"/>
  <c r="C46" i="17" s="1"/>
  <c r="J46" i="17" s="1"/>
  <c r="K46" i="17" s="1"/>
  <c r="E35" i="6"/>
  <c r="C35" i="6" s="1"/>
  <c r="E45" i="8"/>
  <c r="C45" i="8" s="1"/>
  <c r="I53" i="5"/>
  <c r="E41" i="14"/>
  <c r="C41" i="14" s="1"/>
  <c r="E56" i="6"/>
  <c r="C56" i="6" s="1"/>
  <c r="E56" i="8"/>
  <c r="C56" i="8" s="1"/>
  <c r="C56" i="5"/>
  <c r="I56" i="5" s="1"/>
  <c r="J10" i="17"/>
  <c r="K10" i="17" s="1"/>
  <c r="E13" i="7"/>
  <c r="C13" i="7" s="1"/>
  <c r="J13" i="7" s="1"/>
  <c r="K13" i="7" s="1"/>
  <c r="E56" i="14"/>
  <c r="C56" i="14" s="1"/>
  <c r="E35" i="7"/>
  <c r="C35" i="7" s="1"/>
  <c r="I35" i="7" s="1"/>
  <c r="D35" i="20" s="1"/>
  <c r="I19" i="8"/>
  <c r="E19" i="20" s="1"/>
  <c r="E7" i="8"/>
  <c r="C7" i="8" s="1"/>
  <c r="E56" i="7"/>
  <c r="C56" i="7" s="1"/>
  <c r="I56" i="7" s="1"/>
  <c r="D56" i="20" s="1"/>
  <c r="E35" i="8"/>
  <c r="C35" i="8" s="1"/>
  <c r="J30" i="18"/>
  <c r="K30" i="18" s="1"/>
  <c r="J63" i="6"/>
  <c r="K63" i="6" s="1"/>
  <c r="E56" i="10"/>
  <c r="C56" i="10" s="1"/>
  <c r="I63" i="5"/>
  <c r="I19" i="7"/>
  <c r="D19" i="20" s="1"/>
  <c r="I30" i="9"/>
  <c r="F30" i="20" s="1"/>
  <c r="E35" i="17"/>
  <c r="C35" i="17" s="1"/>
  <c r="I35" i="17" s="1"/>
  <c r="L35" i="20" s="1"/>
  <c r="E35" i="18"/>
  <c r="C35" i="18" s="1"/>
  <c r="J32" i="17"/>
  <c r="K32" i="17" s="1"/>
  <c r="J51" i="17"/>
  <c r="K51" i="17" s="1"/>
  <c r="E26" i="10"/>
  <c r="C26" i="10" s="1"/>
  <c r="C35" i="5"/>
  <c r="I35" i="5" s="1"/>
  <c r="E13" i="18"/>
  <c r="C13" i="18" s="1"/>
  <c r="I21" i="17"/>
  <c r="L21" i="20" s="1"/>
  <c r="J51" i="6"/>
  <c r="K51" i="6" s="1"/>
  <c r="E26" i="8"/>
  <c r="C26" i="8" s="1"/>
  <c r="E26" i="17"/>
  <c r="C26" i="17" s="1"/>
  <c r="I26" i="17" s="1"/>
  <c r="L26" i="20" s="1"/>
  <c r="E69" i="14"/>
  <c r="C69" i="14" s="1"/>
  <c r="E69" i="7"/>
  <c r="C69" i="7" s="1"/>
  <c r="J69" i="7" s="1"/>
  <c r="K69" i="7" s="1"/>
  <c r="E69" i="8"/>
  <c r="C69" i="8" s="1"/>
  <c r="E69" i="9"/>
  <c r="C69" i="9" s="1"/>
  <c r="J69" i="9" s="1"/>
  <c r="K69" i="9" s="1"/>
  <c r="E69" i="6"/>
  <c r="C69" i="6" s="1"/>
  <c r="J10" i="10"/>
  <c r="K10" i="10" s="1"/>
  <c r="E69" i="17"/>
  <c r="C69" i="17" s="1"/>
  <c r="I69" i="17" s="1"/>
  <c r="L69" i="20" s="1"/>
  <c r="C69" i="5"/>
  <c r="J69" i="5" s="1"/>
  <c r="K69" i="5" s="1"/>
  <c r="I10" i="5"/>
  <c r="E69" i="10"/>
  <c r="C69" i="10" s="1"/>
  <c r="I17" i="18"/>
  <c r="M17" i="20" s="1"/>
  <c r="J19" i="14"/>
  <c r="K19" i="14" s="1"/>
  <c r="J17" i="14"/>
  <c r="K17" i="14" s="1"/>
  <c r="J17" i="8"/>
  <c r="K17" i="8" s="1"/>
  <c r="I10" i="8"/>
  <c r="E10" i="20" s="1"/>
  <c r="J32" i="7"/>
  <c r="K32" i="7" s="1"/>
  <c r="J10" i="7"/>
  <c r="K10" i="7" s="1"/>
  <c r="E13" i="17"/>
  <c r="C13" i="17" s="1"/>
  <c r="I13" i="17" s="1"/>
  <c r="L13" i="20" s="1"/>
  <c r="I32" i="8"/>
  <c r="E32" i="20" s="1"/>
  <c r="E13" i="6"/>
  <c r="C13" i="6" s="1"/>
  <c r="I32" i="18"/>
  <c r="M32" i="20" s="1"/>
  <c r="C70" i="5"/>
  <c r="J70" i="5" s="1"/>
  <c r="K70" i="5" s="1"/>
  <c r="J19" i="10"/>
  <c r="K19" i="10" s="1"/>
  <c r="I17" i="6"/>
  <c r="C17" i="20" s="1"/>
  <c r="J21" i="5"/>
  <c r="K21" i="5" s="1"/>
  <c r="I21" i="18"/>
  <c r="M21" i="20" s="1"/>
  <c r="I32" i="9"/>
  <c r="F32" i="20" s="1"/>
  <c r="I21" i="7"/>
  <c r="D21" i="20" s="1"/>
  <c r="E70" i="6"/>
  <c r="C70" i="6" s="1"/>
  <c r="I21" i="10"/>
  <c r="G21" i="20" s="1"/>
  <c r="J32" i="14"/>
  <c r="K32" i="14" s="1"/>
  <c r="J19" i="9"/>
  <c r="K19" i="9" s="1"/>
  <c r="I17" i="7"/>
  <c r="D17" i="20" s="1"/>
  <c r="M17" i="5"/>
  <c r="E43" i="17"/>
  <c r="C43" i="17" s="1"/>
  <c r="I43" i="17" s="1"/>
  <c r="L43" i="20" s="1"/>
  <c r="J17" i="5"/>
  <c r="K17" i="5" s="1"/>
  <c r="I21" i="9"/>
  <c r="F21" i="20" s="1"/>
  <c r="I10" i="9"/>
  <c r="F10" i="20" s="1"/>
  <c r="E71" i="7"/>
  <c r="C71" i="7" s="1"/>
  <c r="I71" i="7" s="1"/>
  <c r="D71" i="20" s="1"/>
  <c r="C71" i="5"/>
  <c r="J71" i="5" s="1"/>
  <c r="K71" i="5" s="1"/>
  <c r="E43" i="9"/>
  <c r="C43" i="9" s="1"/>
  <c r="I43" i="9" s="1"/>
  <c r="F43" i="20" s="1"/>
  <c r="C7" i="5"/>
  <c r="J7" i="5" s="1"/>
  <c r="K7" i="5" s="1"/>
  <c r="E67" i="17"/>
  <c r="C67" i="17" s="1"/>
  <c r="I67" i="17" s="1"/>
  <c r="L67" i="20" s="1"/>
  <c r="E70" i="17"/>
  <c r="C70" i="17" s="1"/>
  <c r="I70" i="17" s="1"/>
  <c r="L70" i="20" s="1"/>
  <c r="E71" i="8"/>
  <c r="C71" i="8" s="1"/>
  <c r="E43" i="10"/>
  <c r="C43" i="10" s="1"/>
  <c r="E7" i="9"/>
  <c r="C7" i="9" s="1"/>
  <c r="I7" i="9" s="1"/>
  <c r="F7" i="20" s="1"/>
  <c r="E67" i="9"/>
  <c r="C67" i="9" s="1"/>
  <c r="I67" i="9" s="1"/>
  <c r="F67" i="20" s="1"/>
  <c r="E70" i="14"/>
  <c r="C70" i="14" s="1"/>
  <c r="E43" i="7"/>
  <c r="C43" i="7" s="1"/>
  <c r="I43" i="7" s="1"/>
  <c r="D43" i="20" s="1"/>
  <c r="E43" i="18"/>
  <c r="C43" i="18" s="1"/>
  <c r="E67" i="8"/>
  <c r="C67" i="8" s="1"/>
  <c r="E67" i="6"/>
  <c r="C67" i="6" s="1"/>
  <c r="E70" i="7"/>
  <c r="C70" i="7" s="1"/>
  <c r="I70" i="7" s="1"/>
  <c r="D70" i="20" s="1"/>
  <c r="E71" i="9"/>
  <c r="C71" i="9" s="1"/>
  <c r="I71" i="9" s="1"/>
  <c r="F71" i="20" s="1"/>
  <c r="E7" i="17"/>
  <c r="C7" i="17" s="1"/>
  <c r="J7" i="17" s="1"/>
  <c r="K7" i="17" s="1"/>
  <c r="E67" i="14"/>
  <c r="C67" i="14" s="1"/>
  <c r="E70" i="18"/>
  <c r="C70" i="18" s="1"/>
  <c r="E71" i="17"/>
  <c r="C71" i="17" s="1"/>
  <c r="J71" i="17" s="1"/>
  <c r="K71" i="17" s="1"/>
  <c r="E43" i="14"/>
  <c r="C43" i="14" s="1"/>
  <c r="E7" i="6"/>
  <c r="C7" i="6" s="1"/>
  <c r="E7" i="10"/>
  <c r="C7" i="10" s="1"/>
  <c r="E67" i="10"/>
  <c r="C67" i="10" s="1"/>
  <c r="E67" i="7"/>
  <c r="C67" i="7" s="1"/>
  <c r="J67" i="7" s="1"/>
  <c r="K67" i="7" s="1"/>
  <c r="E70" i="8"/>
  <c r="C70" i="8" s="1"/>
  <c r="E71" i="6"/>
  <c r="C71" i="6" s="1"/>
  <c r="E71" i="10"/>
  <c r="C71" i="10" s="1"/>
  <c r="E43" i="8"/>
  <c r="C43" i="8" s="1"/>
  <c r="C43" i="5"/>
  <c r="J43" i="5" s="1"/>
  <c r="K43" i="5" s="1"/>
  <c r="E7" i="14"/>
  <c r="C7" i="14" s="1"/>
  <c r="E7" i="18"/>
  <c r="C7" i="18" s="1"/>
  <c r="E67" i="18"/>
  <c r="C67" i="18" s="1"/>
  <c r="E70" i="10"/>
  <c r="C70" i="10" s="1"/>
  <c r="E71" i="14"/>
  <c r="C71" i="14" s="1"/>
  <c r="E7" i="7"/>
  <c r="C7" i="7" s="1"/>
  <c r="I7" i="7" s="1"/>
  <c r="D7" i="20" s="1"/>
  <c r="I32" i="5"/>
  <c r="J32" i="5"/>
  <c r="K32" i="5" s="1"/>
  <c r="E35" i="10"/>
  <c r="C35" i="10" s="1"/>
  <c r="M21" i="5"/>
  <c r="E56" i="17"/>
  <c r="C56" i="17" s="1"/>
  <c r="I56" i="17" s="1"/>
  <c r="L56" i="20" s="1"/>
  <c r="I21" i="8"/>
  <c r="E21" i="20" s="1"/>
  <c r="C42" i="20"/>
  <c r="C60" i="20"/>
  <c r="C55" i="20"/>
  <c r="C25" i="20"/>
  <c r="C6" i="20"/>
  <c r="C12" i="20"/>
  <c r="C9" i="20"/>
  <c r="B12" i="20"/>
  <c r="I20" i="9"/>
  <c r="F20" i="20" s="1"/>
  <c r="I33" i="6"/>
  <c r="J20" i="6"/>
  <c r="K20" i="6" s="1"/>
  <c r="I18" i="5"/>
  <c r="M12" i="5"/>
  <c r="J18" i="8"/>
  <c r="K18" i="8" s="1"/>
  <c r="J33" i="14"/>
  <c r="K33" i="14" s="1"/>
  <c r="J33" i="8"/>
  <c r="K33" i="8" s="1"/>
  <c r="B15" i="20"/>
  <c r="M15" i="5"/>
  <c r="J18" i="18"/>
  <c r="K18" i="18" s="1"/>
  <c r="J20" i="10"/>
  <c r="K20" i="10" s="1"/>
  <c r="B23" i="20"/>
  <c r="J20" i="8"/>
  <c r="K20" i="8" s="1"/>
  <c r="J18" i="9"/>
  <c r="K18" i="9" s="1"/>
  <c r="I33" i="7"/>
  <c r="D33" i="20" s="1"/>
  <c r="M23" i="5"/>
  <c r="J20" i="5"/>
  <c r="K20" i="5" s="1"/>
  <c r="I33" i="18"/>
  <c r="M33" i="20" s="1"/>
  <c r="I18" i="7"/>
  <c r="D18" i="20" s="1"/>
  <c r="J20" i="18"/>
  <c r="K20" i="18" s="1"/>
  <c r="J20" i="14"/>
  <c r="K20" i="14" s="1"/>
  <c r="J20" i="7"/>
  <c r="K20" i="7" s="1"/>
  <c r="J33" i="5"/>
  <c r="K33" i="5" s="1"/>
  <c r="I20" i="17"/>
  <c r="L20" i="20" s="1"/>
  <c r="J18" i="17"/>
  <c r="K18" i="17" s="1"/>
  <c r="J18" i="6"/>
  <c r="K18" i="6" s="1"/>
  <c r="J18" i="14"/>
  <c r="K18" i="14" s="1"/>
  <c r="B9" i="20"/>
  <c r="M9" i="5"/>
  <c r="J18" i="10"/>
  <c r="K18" i="10" s="1"/>
  <c r="J33" i="17"/>
  <c r="K33" i="17" s="1"/>
  <c r="J33" i="9"/>
  <c r="K33" i="9" s="1"/>
  <c r="I33" i="10"/>
  <c r="G33" i="20" s="1"/>
  <c r="J33" i="10"/>
  <c r="K33" i="10" s="1"/>
  <c r="B6" i="20"/>
  <c r="M6" i="5"/>
  <c r="B60" i="20"/>
  <c r="M60" i="5"/>
  <c r="B25" i="20"/>
  <c r="M25" i="5"/>
  <c r="B44" i="20"/>
  <c r="M44" i="5"/>
  <c r="B42" i="20"/>
  <c r="M42" i="5"/>
  <c r="M33" i="5"/>
  <c r="B33" i="20"/>
  <c r="B20" i="20"/>
  <c r="M20" i="5"/>
  <c r="L18" i="28" l="1"/>
  <c r="J18" i="20" s="1"/>
  <c r="O18" i="14"/>
  <c r="N18" i="28"/>
  <c r="P18" i="28" s="1"/>
  <c r="I66" i="14"/>
  <c r="K66" i="20" s="1"/>
  <c r="I41" i="7"/>
  <c r="D41" i="20" s="1"/>
  <c r="C37" i="28"/>
  <c r="D37" i="28" s="1"/>
  <c r="J37" i="20"/>
  <c r="Q37" i="28"/>
  <c r="J26" i="32"/>
  <c r="K26" i="32" s="1"/>
  <c r="I26" i="32"/>
  <c r="N26" i="20" s="1"/>
  <c r="J7" i="32"/>
  <c r="K7" i="32" s="1"/>
  <c r="I7" i="32"/>
  <c r="N7" i="20" s="1"/>
  <c r="O56" i="33"/>
  <c r="J56" i="33"/>
  <c r="K56" i="33" s="1"/>
  <c r="I56" i="33"/>
  <c r="O56" i="20" s="1"/>
  <c r="O27" i="31"/>
  <c r="J27" i="31"/>
  <c r="K27" i="31" s="1"/>
  <c r="I27" i="31"/>
  <c r="I27" i="20" s="1"/>
  <c r="I56" i="6"/>
  <c r="C56" i="20" s="1"/>
  <c r="N56" i="6"/>
  <c r="J26" i="6"/>
  <c r="K26" i="6" s="1"/>
  <c r="N26" i="6"/>
  <c r="J27" i="6"/>
  <c r="K27" i="6" s="1"/>
  <c r="N27" i="6"/>
  <c r="O26" i="33"/>
  <c r="J26" i="33"/>
  <c r="K26" i="33" s="1"/>
  <c r="I26" i="33"/>
  <c r="O26" i="20" s="1"/>
  <c r="O7" i="31"/>
  <c r="J7" i="31"/>
  <c r="K7" i="31" s="1"/>
  <c r="I7" i="31"/>
  <c r="I7" i="20" s="1"/>
  <c r="I56" i="29"/>
  <c r="H56" i="20" s="1"/>
  <c r="J56" i="29"/>
  <c r="K56" i="29" s="1"/>
  <c r="I69" i="29"/>
  <c r="H69" i="20" s="1"/>
  <c r="J69" i="29"/>
  <c r="K69" i="29" s="1"/>
  <c r="J27" i="32"/>
  <c r="K27" i="32" s="1"/>
  <c r="I27" i="32"/>
  <c r="N27" i="20" s="1"/>
  <c r="J13" i="6"/>
  <c r="K13" i="6" s="1"/>
  <c r="N13" i="6"/>
  <c r="I45" i="6"/>
  <c r="C45" i="20" s="1"/>
  <c r="N45" i="6"/>
  <c r="O71" i="31"/>
  <c r="J71" i="31"/>
  <c r="K71" i="31" s="1"/>
  <c r="I71" i="31"/>
  <c r="I71" i="20" s="1"/>
  <c r="I13" i="29"/>
  <c r="H13" i="20" s="1"/>
  <c r="J13" i="29"/>
  <c r="K13" i="29" s="1"/>
  <c r="O69" i="31"/>
  <c r="J69" i="31"/>
  <c r="K69" i="31" s="1"/>
  <c r="I69" i="31"/>
  <c r="I69" i="20" s="1"/>
  <c r="J27" i="33"/>
  <c r="K27" i="33" s="1"/>
  <c r="O27" i="33"/>
  <c r="I27" i="33"/>
  <c r="O27" i="20" s="1"/>
  <c r="I66" i="5"/>
  <c r="B66" i="20" s="1"/>
  <c r="J71" i="32"/>
  <c r="K71" i="32" s="1"/>
  <c r="I71" i="32"/>
  <c r="N71" i="20" s="1"/>
  <c r="O13" i="31"/>
  <c r="J13" i="31"/>
  <c r="K13" i="31" s="1"/>
  <c r="I13" i="31"/>
  <c r="I13" i="20" s="1"/>
  <c r="J69" i="32"/>
  <c r="K69" i="32" s="1"/>
  <c r="I69" i="32"/>
  <c r="N69" i="20" s="1"/>
  <c r="O35" i="31"/>
  <c r="I35" i="31"/>
  <c r="I35" i="20" s="1"/>
  <c r="J35" i="31"/>
  <c r="K35" i="31" s="1"/>
  <c r="I71" i="6"/>
  <c r="C71" i="20" s="1"/>
  <c r="N71" i="6"/>
  <c r="I43" i="6"/>
  <c r="C43" i="20" s="1"/>
  <c r="N43" i="6"/>
  <c r="J71" i="33"/>
  <c r="K71" i="33" s="1"/>
  <c r="O71" i="33"/>
  <c r="I71" i="33"/>
  <c r="O71" i="20" s="1"/>
  <c r="J13" i="32"/>
  <c r="K13" i="32" s="1"/>
  <c r="I13" i="32"/>
  <c r="N13" i="20" s="1"/>
  <c r="O69" i="33"/>
  <c r="J69" i="33"/>
  <c r="K69" i="33" s="1"/>
  <c r="I69" i="33"/>
  <c r="O69" i="20" s="1"/>
  <c r="J35" i="32"/>
  <c r="K35" i="32" s="1"/>
  <c r="I35" i="32"/>
  <c r="N35" i="20" s="1"/>
  <c r="J70" i="6"/>
  <c r="K70" i="6" s="1"/>
  <c r="N70" i="6"/>
  <c r="I69" i="6"/>
  <c r="C69" i="20" s="1"/>
  <c r="N69" i="6"/>
  <c r="I35" i="6"/>
  <c r="C35" i="20" s="1"/>
  <c r="N35" i="6"/>
  <c r="I71" i="29"/>
  <c r="H71" i="20" s="1"/>
  <c r="J71" i="29"/>
  <c r="K71" i="29" s="1"/>
  <c r="I70" i="29"/>
  <c r="H70" i="20" s="1"/>
  <c r="J70" i="29"/>
  <c r="K70" i="29" s="1"/>
  <c r="J13" i="33"/>
  <c r="K13" i="33" s="1"/>
  <c r="O13" i="33"/>
  <c r="I13" i="33"/>
  <c r="O13" i="20" s="1"/>
  <c r="O35" i="33"/>
  <c r="J35" i="33"/>
  <c r="K35" i="33" s="1"/>
  <c r="I35" i="33"/>
  <c r="O35" i="20" s="1"/>
  <c r="O67" i="31"/>
  <c r="J67" i="31"/>
  <c r="K67" i="31" s="1"/>
  <c r="I67" i="31"/>
  <c r="I67" i="20" s="1"/>
  <c r="J70" i="32"/>
  <c r="K70" i="32" s="1"/>
  <c r="I70" i="32"/>
  <c r="N70" i="20" s="1"/>
  <c r="O46" i="33"/>
  <c r="J46" i="33"/>
  <c r="K46" i="33" s="1"/>
  <c r="I46" i="33"/>
  <c r="O46" i="20" s="1"/>
  <c r="I45" i="29"/>
  <c r="H45" i="20" s="1"/>
  <c r="J45" i="29"/>
  <c r="K45" i="29" s="1"/>
  <c r="I35" i="29"/>
  <c r="H35" i="20" s="1"/>
  <c r="J35" i="29"/>
  <c r="K35" i="29" s="1"/>
  <c r="J67" i="32"/>
  <c r="K67" i="32" s="1"/>
  <c r="I67" i="32"/>
  <c r="N67" i="20" s="1"/>
  <c r="O70" i="33"/>
  <c r="J70" i="33"/>
  <c r="K70" i="33" s="1"/>
  <c r="I70" i="33"/>
  <c r="O70" i="20" s="1"/>
  <c r="J46" i="32"/>
  <c r="K46" i="32" s="1"/>
  <c r="I46" i="32"/>
  <c r="N46" i="20" s="1"/>
  <c r="O45" i="31"/>
  <c r="J45" i="31"/>
  <c r="K45" i="31" s="1"/>
  <c r="I45" i="31"/>
  <c r="I45" i="20" s="1"/>
  <c r="J43" i="29"/>
  <c r="K43" i="29" s="1"/>
  <c r="I43" i="29"/>
  <c r="H43" i="20" s="1"/>
  <c r="O66" i="31"/>
  <c r="J66" i="31"/>
  <c r="K66" i="31" s="1"/>
  <c r="I66" i="31"/>
  <c r="I66" i="20" s="1"/>
  <c r="J41" i="6"/>
  <c r="K41" i="6" s="1"/>
  <c r="N41" i="6"/>
  <c r="O41" i="31"/>
  <c r="J41" i="31"/>
  <c r="K41" i="31" s="1"/>
  <c r="I41" i="31"/>
  <c r="I41" i="20" s="1"/>
  <c r="J67" i="33"/>
  <c r="K67" i="33" s="1"/>
  <c r="O67" i="33"/>
  <c r="I67" i="33"/>
  <c r="O67" i="20" s="1"/>
  <c r="O70" i="31"/>
  <c r="J70" i="31"/>
  <c r="K70" i="31" s="1"/>
  <c r="I70" i="31"/>
  <c r="I70" i="20" s="1"/>
  <c r="J46" i="29"/>
  <c r="K46" i="29" s="1"/>
  <c r="I46" i="29"/>
  <c r="H46" i="20" s="1"/>
  <c r="J45" i="32"/>
  <c r="K45" i="32" s="1"/>
  <c r="I45" i="32"/>
  <c r="N45" i="20" s="1"/>
  <c r="O43" i="31"/>
  <c r="J43" i="31"/>
  <c r="K43" i="31" s="1"/>
  <c r="I43" i="31"/>
  <c r="I43" i="20" s="1"/>
  <c r="J66" i="32"/>
  <c r="K66" i="32" s="1"/>
  <c r="I66" i="32"/>
  <c r="N66" i="20" s="1"/>
  <c r="J41" i="32"/>
  <c r="K41" i="32" s="1"/>
  <c r="I41" i="32"/>
  <c r="N41" i="20" s="1"/>
  <c r="I67" i="29"/>
  <c r="H67" i="20" s="1"/>
  <c r="J67" i="29"/>
  <c r="K67" i="29" s="1"/>
  <c r="O46" i="31"/>
  <c r="J46" i="31"/>
  <c r="K46" i="31" s="1"/>
  <c r="I46" i="31"/>
  <c r="I46" i="20" s="1"/>
  <c r="O45" i="33"/>
  <c r="J45" i="33"/>
  <c r="K45" i="33" s="1"/>
  <c r="I45" i="33"/>
  <c r="O45" i="20" s="1"/>
  <c r="J43" i="32"/>
  <c r="K43" i="32" s="1"/>
  <c r="I43" i="32"/>
  <c r="N43" i="20" s="1"/>
  <c r="O66" i="33"/>
  <c r="J66" i="33"/>
  <c r="K66" i="33" s="1"/>
  <c r="I66" i="33"/>
  <c r="O66" i="20" s="1"/>
  <c r="I67" i="6"/>
  <c r="C67" i="20" s="1"/>
  <c r="N67" i="6"/>
  <c r="J7" i="6"/>
  <c r="K7" i="6" s="1"/>
  <c r="N7" i="6"/>
  <c r="J41" i="33"/>
  <c r="K41" i="33" s="1"/>
  <c r="O41" i="33"/>
  <c r="I41" i="33"/>
  <c r="O41" i="20" s="1"/>
  <c r="I26" i="29"/>
  <c r="H26" i="20" s="1"/>
  <c r="J26" i="29"/>
  <c r="K26" i="29" s="1"/>
  <c r="O7" i="33"/>
  <c r="J7" i="33"/>
  <c r="K7" i="33" s="1"/>
  <c r="I7" i="33"/>
  <c r="O7" i="20" s="1"/>
  <c r="O56" i="31"/>
  <c r="I56" i="31"/>
  <c r="I56" i="20" s="1"/>
  <c r="J56" i="31"/>
  <c r="K56" i="31" s="1"/>
  <c r="O43" i="33"/>
  <c r="J43" i="33"/>
  <c r="K43" i="33" s="1"/>
  <c r="I43" i="33"/>
  <c r="O43" i="20" s="1"/>
  <c r="J66" i="29"/>
  <c r="K66" i="29" s="1"/>
  <c r="I66" i="29"/>
  <c r="H66" i="20" s="1"/>
  <c r="N66" i="6"/>
  <c r="I46" i="6"/>
  <c r="C46" i="20" s="1"/>
  <c r="N46" i="6"/>
  <c r="I41" i="29"/>
  <c r="H41" i="20" s="1"/>
  <c r="J41" i="29"/>
  <c r="K41" i="29" s="1"/>
  <c r="J26" i="31"/>
  <c r="K26" i="31" s="1"/>
  <c r="O26" i="31"/>
  <c r="I26" i="31"/>
  <c r="I26" i="20" s="1"/>
  <c r="I7" i="29"/>
  <c r="H7" i="20" s="1"/>
  <c r="J7" i="29"/>
  <c r="K7" i="29" s="1"/>
  <c r="J56" i="32"/>
  <c r="K56" i="32" s="1"/>
  <c r="I56" i="32"/>
  <c r="N56" i="20" s="1"/>
  <c r="I27" i="29"/>
  <c r="H27" i="20" s="1"/>
  <c r="J27" i="29"/>
  <c r="K27" i="29" s="1"/>
  <c r="J66" i="7"/>
  <c r="K66" i="7" s="1"/>
  <c r="O66" i="8"/>
  <c r="J66" i="9"/>
  <c r="K66" i="9" s="1"/>
  <c r="I66" i="9"/>
  <c r="F66" i="20" s="1"/>
  <c r="I45" i="9"/>
  <c r="F45" i="20" s="1"/>
  <c r="J45" i="9"/>
  <c r="K45" i="9" s="1"/>
  <c r="J16" i="19"/>
  <c r="O16" i="14"/>
  <c r="I66" i="17"/>
  <c r="L66" i="20" s="1"/>
  <c r="J66" i="17"/>
  <c r="K66" i="17" s="1"/>
  <c r="I66" i="10"/>
  <c r="G66" i="20" s="1"/>
  <c r="O66" i="10"/>
  <c r="I66" i="18"/>
  <c r="M66" i="20" s="1"/>
  <c r="O66" i="18"/>
  <c r="J63" i="19"/>
  <c r="O63" i="14"/>
  <c r="J30" i="19"/>
  <c r="O30" i="14"/>
  <c r="I13" i="14"/>
  <c r="K13" i="20" s="1"/>
  <c r="J51" i="19"/>
  <c r="O51" i="14"/>
  <c r="J32" i="19"/>
  <c r="O32" i="14"/>
  <c r="J66" i="19"/>
  <c r="O66" i="14"/>
  <c r="J53" i="19"/>
  <c r="O53" i="14"/>
  <c r="J38" i="19"/>
  <c r="O38" i="14"/>
  <c r="J17" i="19"/>
  <c r="O17" i="14"/>
  <c r="J19" i="19"/>
  <c r="O19" i="14"/>
  <c r="I71" i="18"/>
  <c r="M71" i="20" s="1"/>
  <c r="O71" i="18"/>
  <c r="J58" i="19"/>
  <c r="O58" i="14"/>
  <c r="J21" i="19"/>
  <c r="O21" i="14"/>
  <c r="J10" i="19"/>
  <c r="O10" i="14"/>
  <c r="J46" i="10"/>
  <c r="K46" i="10" s="1"/>
  <c r="O46" i="10"/>
  <c r="I46" i="18"/>
  <c r="M46" i="20" s="1"/>
  <c r="O46" i="18"/>
  <c r="J46" i="14"/>
  <c r="K46" i="14" s="1"/>
  <c r="I41" i="10"/>
  <c r="G41" i="20" s="1"/>
  <c r="O41" i="10"/>
  <c r="J41" i="8"/>
  <c r="K41" i="8" s="1"/>
  <c r="O41" i="8"/>
  <c r="I41" i="18"/>
  <c r="M41" i="20" s="1"/>
  <c r="O41" i="18"/>
  <c r="J45" i="18"/>
  <c r="K45" i="18" s="1"/>
  <c r="O45" i="18"/>
  <c r="I26" i="14"/>
  <c r="K26" i="20" s="1"/>
  <c r="I27" i="8"/>
  <c r="E27" i="20" s="1"/>
  <c r="O27" i="8"/>
  <c r="I27" i="10"/>
  <c r="G27" i="20" s="1"/>
  <c r="O27" i="10"/>
  <c r="I27" i="18"/>
  <c r="M27" i="20" s="1"/>
  <c r="O27" i="18"/>
  <c r="J45" i="14"/>
  <c r="K45" i="14" s="1"/>
  <c r="I27" i="14"/>
  <c r="K27" i="20" s="1"/>
  <c r="J35" i="14"/>
  <c r="K35" i="14" s="1"/>
  <c r="J13" i="10"/>
  <c r="K13" i="10" s="1"/>
  <c r="O13" i="10"/>
  <c r="I45" i="10"/>
  <c r="G45" i="20" s="1"/>
  <c r="O45" i="10"/>
  <c r="I56" i="18"/>
  <c r="M56" i="20" s="1"/>
  <c r="O56" i="18"/>
  <c r="J69" i="18"/>
  <c r="K69" i="18" s="1"/>
  <c r="O69" i="18"/>
  <c r="J13" i="8"/>
  <c r="K13" i="8" s="1"/>
  <c r="O13" i="8"/>
  <c r="J26" i="18"/>
  <c r="K26" i="18" s="1"/>
  <c r="O26" i="18"/>
  <c r="J46" i="8"/>
  <c r="K46" i="8" s="1"/>
  <c r="O46" i="8"/>
  <c r="J45" i="8"/>
  <c r="K45" i="8" s="1"/>
  <c r="O45" i="8"/>
  <c r="J41" i="14"/>
  <c r="K41" i="14" s="1"/>
  <c r="J56" i="8"/>
  <c r="K56" i="8" s="1"/>
  <c r="O56" i="8"/>
  <c r="J56" i="14"/>
  <c r="K56" i="14" s="1"/>
  <c r="J7" i="8"/>
  <c r="K7" i="8" s="1"/>
  <c r="O7" i="8"/>
  <c r="J35" i="8"/>
  <c r="K35" i="8" s="1"/>
  <c r="O35" i="8"/>
  <c r="J56" i="10"/>
  <c r="K56" i="10" s="1"/>
  <c r="O56" i="10"/>
  <c r="I35" i="18"/>
  <c r="M35" i="20" s="1"/>
  <c r="O35" i="18"/>
  <c r="J26" i="10"/>
  <c r="K26" i="10" s="1"/>
  <c r="O26" i="10"/>
  <c r="I13" i="18"/>
  <c r="M13" i="20" s="1"/>
  <c r="O13" i="18"/>
  <c r="I26" i="8"/>
  <c r="E26" i="20" s="1"/>
  <c r="O26" i="8"/>
  <c r="J69" i="14"/>
  <c r="K69" i="14" s="1"/>
  <c r="J69" i="8"/>
  <c r="K69" i="8" s="1"/>
  <c r="O69" i="8"/>
  <c r="J69" i="10"/>
  <c r="K69" i="10" s="1"/>
  <c r="O69" i="10"/>
  <c r="J71" i="8"/>
  <c r="K71" i="8" s="1"/>
  <c r="O71" i="8"/>
  <c r="J43" i="10"/>
  <c r="K43" i="10" s="1"/>
  <c r="O43" i="10"/>
  <c r="J70" i="14"/>
  <c r="K70" i="14" s="1"/>
  <c r="I43" i="18"/>
  <c r="M43" i="20" s="1"/>
  <c r="O43" i="18"/>
  <c r="J67" i="8"/>
  <c r="K67" i="8" s="1"/>
  <c r="O67" i="8"/>
  <c r="I67" i="14"/>
  <c r="K67" i="20" s="1"/>
  <c r="J70" i="18"/>
  <c r="K70" i="18" s="1"/>
  <c r="O70" i="18"/>
  <c r="J43" i="14"/>
  <c r="K43" i="14" s="1"/>
  <c r="I7" i="10"/>
  <c r="G7" i="20" s="1"/>
  <c r="O7" i="10"/>
  <c r="J67" i="10"/>
  <c r="K67" i="10" s="1"/>
  <c r="O67" i="10"/>
  <c r="I70" i="8"/>
  <c r="E70" i="20" s="1"/>
  <c r="O70" i="8"/>
  <c r="J71" i="10"/>
  <c r="K71" i="10" s="1"/>
  <c r="O71" i="10"/>
  <c r="J43" i="8"/>
  <c r="K43" i="8" s="1"/>
  <c r="O43" i="8"/>
  <c r="I7" i="14"/>
  <c r="K7" i="20" s="1"/>
  <c r="I7" i="18"/>
  <c r="M7" i="20" s="1"/>
  <c r="O7" i="18"/>
  <c r="J67" i="18"/>
  <c r="K67" i="18" s="1"/>
  <c r="O67" i="18"/>
  <c r="J70" i="10"/>
  <c r="K70" i="10" s="1"/>
  <c r="O70" i="10"/>
  <c r="J71" i="14"/>
  <c r="K71" i="14" s="1"/>
  <c r="J35" i="10"/>
  <c r="K35" i="10" s="1"/>
  <c r="O35" i="10"/>
  <c r="I56" i="9"/>
  <c r="F56" i="20" s="1"/>
  <c r="I67" i="5"/>
  <c r="B67" i="20" s="1"/>
  <c r="J71" i="18"/>
  <c r="K71" i="18" s="1"/>
  <c r="J46" i="7"/>
  <c r="K46" i="7" s="1"/>
  <c r="J13" i="14"/>
  <c r="K13" i="14" s="1"/>
  <c r="J70" i="9"/>
  <c r="K70" i="9" s="1"/>
  <c r="J26" i="9"/>
  <c r="K26" i="9" s="1"/>
  <c r="J27" i="9"/>
  <c r="K27" i="9" s="1"/>
  <c r="C52" i="28"/>
  <c r="D52" i="28" s="1"/>
  <c r="C47" i="28"/>
  <c r="D47" i="28" s="1"/>
  <c r="C18" i="28"/>
  <c r="D18" i="28" s="1"/>
  <c r="C33" i="28"/>
  <c r="D33" i="28" s="1"/>
  <c r="C57" i="28"/>
  <c r="D57" i="28" s="1"/>
  <c r="N19" i="28"/>
  <c r="P19" i="28" s="1"/>
  <c r="L19" i="28"/>
  <c r="J19" i="20" s="1"/>
  <c r="N53" i="28"/>
  <c r="P53" i="28" s="1"/>
  <c r="L53" i="28"/>
  <c r="J53" i="20" s="1"/>
  <c r="O63" i="28"/>
  <c r="Q63" i="28" s="1"/>
  <c r="M63" i="28"/>
  <c r="O19" i="28"/>
  <c r="Q19" i="28" s="1"/>
  <c r="M19" i="28"/>
  <c r="O53" i="28"/>
  <c r="Q53" i="28" s="1"/>
  <c r="M53" i="28"/>
  <c r="C20" i="28"/>
  <c r="D20" i="28" s="1"/>
  <c r="F69" i="28"/>
  <c r="E69" i="28"/>
  <c r="N58" i="28"/>
  <c r="P58" i="28" s="1"/>
  <c r="L58" i="28"/>
  <c r="J58" i="20" s="1"/>
  <c r="N17" i="28"/>
  <c r="P17" i="28" s="1"/>
  <c r="L17" i="28"/>
  <c r="J17" i="20" s="1"/>
  <c r="N66" i="28"/>
  <c r="P66" i="28" s="1"/>
  <c r="L66" i="28"/>
  <c r="J66" i="20" s="1"/>
  <c r="F43" i="28"/>
  <c r="E43" i="28"/>
  <c r="O58" i="28"/>
  <c r="Q58" i="28" s="1"/>
  <c r="M58" i="28"/>
  <c r="O17" i="28"/>
  <c r="Q17" i="28" s="1"/>
  <c r="M17" i="28"/>
  <c r="O66" i="28"/>
  <c r="Q66" i="28" s="1"/>
  <c r="M66" i="28"/>
  <c r="N16" i="28"/>
  <c r="P16" i="28" s="1"/>
  <c r="L16" i="28"/>
  <c r="J16" i="20" s="1"/>
  <c r="F46" i="28"/>
  <c r="E46" i="28"/>
  <c r="N32" i="28"/>
  <c r="P32" i="28" s="1"/>
  <c r="L32" i="28"/>
  <c r="J32" i="20" s="1"/>
  <c r="O16" i="28"/>
  <c r="Q16" i="28" s="1"/>
  <c r="M16" i="28"/>
  <c r="F67" i="28"/>
  <c r="E67" i="28"/>
  <c r="O32" i="28"/>
  <c r="Q32" i="28" s="1"/>
  <c r="M32" i="28"/>
  <c r="F27" i="28"/>
  <c r="E27" i="28"/>
  <c r="F56" i="28"/>
  <c r="E56" i="28"/>
  <c r="N30" i="28"/>
  <c r="P30" i="28" s="1"/>
  <c r="L30" i="28"/>
  <c r="J30" i="20" s="1"/>
  <c r="N38" i="28"/>
  <c r="P38" i="28" s="1"/>
  <c r="L38" i="28"/>
  <c r="J38" i="20" s="1"/>
  <c r="N51" i="28"/>
  <c r="P51" i="28" s="1"/>
  <c r="L51" i="28"/>
  <c r="J51" i="20" s="1"/>
  <c r="O30" i="28"/>
  <c r="Q30" i="28" s="1"/>
  <c r="M30" i="28"/>
  <c r="N10" i="28"/>
  <c r="P10" i="28" s="1"/>
  <c r="L10" i="28"/>
  <c r="J10" i="20" s="1"/>
  <c r="O38" i="28"/>
  <c r="Q38" i="28" s="1"/>
  <c r="M38" i="28"/>
  <c r="O51" i="28"/>
  <c r="Q51" i="28" s="1"/>
  <c r="M51" i="28"/>
  <c r="F7" i="28"/>
  <c r="E7" i="28"/>
  <c r="F45" i="28"/>
  <c r="E45" i="28"/>
  <c r="C65" i="28"/>
  <c r="D65" i="28" s="1"/>
  <c r="M10" i="28"/>
  <c r="O10" i="28"/>
  <c r="Q10" i="28" s="1"/>
  <c r="F26" i="28"/>
  <c r="E26" i="28"/>
  <c r="N21" i="28"/>
  <c r="P21" i="28" s="1"/>
  <c r="L21" i="28"/>
  <c r="F70" i="28"/>
  <c r="E70" i="28"/>
  <c r="F35" i="28"/>
  <c r="E35" i="28"/>
  <c r="F41" i="28"/>
  <c r="E41" i="28"/>
  <c r="C50" i="28"/>
  <c r="D50" i="28" s="1"/>
  <c r="O21" i="28"/>
  <c r="Q21" i="28" s="1"/>
  <c r="M21" i="28"/>
  <c r="F71" i="28"/>
  <c r="E71" i="28"/>
  <c r="F13" i="28"/>
  <c r="E13" i="28"/>
  <c r="C28" i="28"/>
  <c r="D28" i="28" s="1"/>
  <c r="C24" i="28"/>
  <c r="D24" i="28" s="1"/>
  <c r="N63" i="28"/>
  <c r="P63" i="28" s="1"/>
  <c r="L63" i="28"/>
  <c r="J63" i="20" s="1"/>
  <c r="J45" i="6"/>
  <c r="K45" i="6" s="1"/>
  <c r="B35" i="20"/>
  <c r="M18" i="5"/>
  <c r="M10" i="5"/>
  <c r="B63" i="20"/>
  <c r="M46" i="5"/>
  <c r="B45" i="20"/>
  <c r="M13" i="5"/>
  <c r="B56" i="20"/>
  <c r="M53" i="5"/>
  <c r="I46" i="10"/>
  <c r="G46" i="20" s="1"/>
  <c r="I26" i="5"/>
  <c r="J27" i="18"/>
  <c r="K27" i="18" s="1"/>
  <c r="I41" i="8"/>
  <c r="E41" i="20" s="1"/>
  <c r="I46" i="9"/>
  <c r="F46" i="20" s="1"/>
  <c r="I45" i="18"/>
  <c r="M45" i="20" s="1"/>
  <c r="J46" i="5"/>
  <c r="K46" i="5" s="1"/>
  <c r="I41" i="5"/>
  <c r="I27" i="5"/>
  <c r="I46" i="14"/>
  <c r="K46" i="20" s="1"/>
  <c r="J46" i="18"/>
  <c r="K46" i="18" s="1"/>
  <c r="J27" i="8"/>
  <c r="K27" i="8" s="1"/>
  <c r="J41" i="10"/>
  <c r="K41" i="10" s="1"/>
  <c r="I41" i="17"/>
  <c r="L41" i="20" s="1"/>
  <c r="J26" i="14"/>
  <c r="K26" i="14" s="1"/>
  <c r="J41" i="18"/>
  <c r="K41" i="18" s="1"/>
  <c r="I35" i="14"/>
  <c r="K35" i="20" s="1"/>
  <c r="J46" i="6"/>
  <c r="K46" i="6" s="1"/>
  <c r="I41" i="6"/>
  <c r="C41" i="20" s="1"/>
  <c r="I13" i="9"/>
  <c r="F13" i="20" s="1"/>
  <c r="J27" i="10"/>
  <c r="K27" i="10" s="1"/>
  <c r="I13" i="10"/>
  <c r="G13" i="20" s="1"/>
  <c r="J27" i="14"/>
  <c r="K27" i="14" s="1"/>
  <c r="I27" i="6"/>
  <c r="C27" i="20" s="1"/>
  <c r="B13" i="20"/>
  <c r="J45" i="17"/>
  <c r="K45" i="17" s="1"/>
  <c r="I46" i="8"/>
  <c r="E46" i="20" s="1"/>
  <c r="J27" i="17"/>
  <c r="K27" i="17" s="1"/>
  <c r="J45" i="10"/>
  <c r="K45" i="10" s="1"/>
  <c r="I27" i="7"/>
  <c r="D27" i="20" s="1"/>
  <c r="M45" i="5"/>
  <c r="J41" i="9"/>
  <c r="K41" i="9" s="1"/>
  <c r="J45" i="5"/>
  <c r="K45" i="5" s="1"/>
  <c r="I45" i="14"/>
  <c r="K45" i="20" s="1"/>
  <c r="I56" i="14"/>
  <c r="K56" i="20" s="1"/>
  <c r="J13" i="5"/>
  <c r="K13" i="5" s="1"/>
  <c r="J56" i="18"/>
  <c r="K56" i="18" s="1"/>
  <c r="J26" i="17"/>
  <c r="K26" i="17" s="1"/>
  <c r="J13" i="18"/>
  <c r="K13" i="18" s="1"/>
  <c r="I69" i="18"/>
  <c r="M69" i="20" s="1"/>
  <c r="I26" i="18"/>
  <c r="M26" i="20" s="1"/>
  <c r="J35" i="9"/>
  <c r="K35" i="9" s="1"/>
  <c r="J26" i="7"/>
  <c r="K26" i="7" s="1"/>
  <c r="J35" i="17"/>
  <c r="K35" i="17" s="1"/>
  <c r="I13" i="8"/>
  <c r="E13" i="20" s="1"/>
  <c r="I69" i="10"/>
  <c r="G69" i="20" s="1"/>
  <c r="J56" i="7"/>
  <c r="K56" i="7" s="1"/>
  <c r="I45" i="7"/>
  <c r="D45" i="20" s="1"/>
  <c r="J69" i="17"/>
  <c r="K69" i="17" s="1"/>
  <c r="I45" i="8"/>
  <c r="E45" i="20" s="1"/>
  <c r="I69" i="14"/>
  <c r="K69" i="20" s="1"/>
  <c r="I56" i="10"/>
  <c r="G56" i="20" s="1"/>
  <c r="I7" i="8"/>
  <c r="E7" i="20" s="1"/>
  <c r="I13" i="7"/>
  <c r="D13" i="20" s="1"/>
  <c r="J56" i="5"/>
  <c r="K56" i="5" s="1"/>
  <c r="M56" i="5"/>
  <c r="J56" i="6"/>
  <c r="K56" i="6" s="1"/>
  <c r="J35" i="6"/>
  <c r="K35" i="6" s="1"/>
  <c r="I26" i="6"/>
  <c r="C26" i="20" s="1"/>
  <c r="I13" i="6"/>
  <c r="C13" i="20" s="1"/>
  <c r="B53" i="20"/>
  <c r="I56" i="8"/>
  <c r="E56" i="20" s="1"/>
  <c r="I35" i="8"/>
  <c r="E35" i="20" s="1"/>
  <c r="I69" i="8"/>
  <c r="E69" i="20" s="1"/>
  <c r="J35" i="7"/>
  <c r="K35" i="7" s="1"/>
  <c r="M63" i="5"/>
  <c r="I46" i="17"/>
  <c r="L46" i="20" s="1"/>
  <c r="I69" i="9"/>
  <c r="F69" i="20" s="1"/>
  <c r="J43" i="9"/>
  <c r="K43" i="9" s="1"/>
  <c r="I7" i="17"/>
  <c r="L7" i="20" s="1"/>
  <c r="J67" i="17"/>
  <c r="K67" i="17" s="1"/>
  <c r="J35" i="18"/>
  <c r="K35" i="18" s="1"/>
  <c r="I41" i="14"/>
  <c r="K41" i="20" s="1"/>
  <c r="B10" i="20"/>
  <c r="I26" i="10"/>
  <c r="G26" i="20" s="1"/>
  <c r="J35" i="5"/>
  <c r="K35" i="5" s="1"/>
  <c r="M35" i="5"/>
  <c r="J26" i="8"/>
  <c r="K26" i="8" s="1"/>
  <c r="I69" i="5"/>
  <c r="I71" i="14"/>
  <c r="K71" i="20" s="1"/>
  <c r="J69" i="6"/>
  <c r="K69" i="6" s="1"/>
  <c r="I69" i="7"/>
  <c r="D69" i="20" s="1"/>
  <c r="I71" i="5"/>
  <c r="J43" i="18"/>
  <c r="K43" i="18" s="1"/>
  <c r="I7" i="5"/>
  <c r="J7" i="9"/>
  <c r="K7" i="9" s="1"/>
  <c r="J67" i="9"/>
  <c r="K67" i="9" s="1"/>
  <c r="I70" i="5"/>
  <c r="I43" i="10"/>
  <c r="G43" i="20" s="1"/>
  <c r="J56" i="17"/>
  <c r="K56" i="17" s="1"/>
  <c r="J13" i="17"/>
  <c r="K13" i="17" s="1"/>
  <c r="J43" i="17"/>
  <c r="K43" i="17" s="1"/>
  <c r="I70" i="10"/>
  <c r="G70" i="20" s="1"/>
  <c r="I71" i="8"/>
  <c r="E71" i="20" s="1"/>
  <c r="I67" i="8"/>
  <c r="E67" i="20" s="1"/>
  <c r="I43" i="8"/>
  <c r="E43" i="20" s="1"/>
  <c r="J70" i="7"/>
  <c r="K70" i="7" s="1"/>
  <c r="I71" i="10"/>
  <c r="G71" i="20" s="1"/>
  <c r="I67" i="18"/>
  <c r="M67" i="20" s="1"/>
  <c r="I7" i="6"/>
  <c r="C7" i="20" s="1"/>
  <c r="I70" i="14"/>
  <c r="K70" i="20" s="1"/>
  <c r="I67" i="10"/>
  <c r="G67" i="20" s="1"/>
  <c r="J67" i="6"/>
  <c r="K67" i="6" s="1"/>
  <c r="I70" i="6"/>
  <c r="C70" i="20" s="1"/>
  <c r="I43" i="14"/>
  <c r="K43" i="20" s="1"/>
  <c r="I70" i="18"/>
  <c r="M70" i="20" s="1"/>
  <c r="J71" i="7"/>
  <c r="K71" i="7" s="1"/>
  <c r="J71" i="6"/>
  <c r="K71" i="6" s="1"/>
  <c r="J7" i="14"/>
  <c r="K7" i="14" s="1"/>
  <c r="I67" i="7"/>
  <c r="D67" i="20" s="1"/>
  <c r="I43" i="5"/>
  <c r="J67" i="14"/>
  <c r="K67" i="14" s="1"/>
  <c r="J7" i="7"/>
  <c r="K7" i="7" s="1"/>
  <c r="J70" i="17"/>
  <c r="K70" i="17" s="1"/>
  <c r="J7" i="10"/>
  <c r="K7" i="10" s="1"/>
  <c r="J7" i="18"/>
  <c r="K7" i="18" s="1"/>
  <c r="J71" i="9"/>
  <c r="K71" i="9" s="1"/>
  <c r="J43" i="7"/>
  <c r="K43" i="7" s="1"/>
  <c r="J43" i="6"/>
  <c r="K43" i="6" s="1"/>
  <c r="J70" i="8"/>
  <c r="K70" i="8" s="1"/>
  <c r="I71" i="17"/>
  <c r="L71" i="20" s="1"/>
  <c r="I35" i="10"/>
  <c r="G35" i="20" s="1"/>
  <c r="B32" i="20"/>
  <c r="M32" i="5"/>
  <c r="C33" i="20"/>
  <c r="B18" i="20"/>
  <c r="M66" i="5" l="1"/>
  <c r="M67" i="5"/>
  <c r="J69" i="19"/>
  <c r="O69" i="14"/>
  <c r="J43" i="19"/>
  <c r="O43" i="14"/>
  <c r="J46" i="19"/>
  <c r="O46" i="14"/>
  <c r="J67" i="19"/>
  <c r="O67" i="14"/>
  <c r="J27" i="19"/>
  <c r="O27" i="14"/>
  <c r="J56" i="19"/>
  <c r="O56" i="14"/>
  <c r="J7" i="19"/>
  <c r="O7" i="14"/>
  <c r="J45" i="19"/>
  <c r="O45" i="14"/>
  <c r="J26" i="19"/>
  <c r="O26" i="14"/>
  <c r="J70" i="19"/>
  <c r="O70" i="14"/>
  <c r="J35" i="19"/>
  <c r="O35" i="14"/>
  <c r="J41" i="19"/>
  <c r="O41" i="14"/>
  <c r="J71" i="19"/>
  <c r="O71" i="14"/>
  <c r="J13" i="19"/>
  <c r="O13" i="14"/>
  <c r="C21" i="28"/>
  <c r="D21" i="28" s="1"/>
  <c r="J21" i="20"/>
  <c r="M26" i="5"/>
  <c r="C66" i="28"/>
  <c r="D66" i="28" s="1"/>
  <c r="C10" i="28"/>
  <c r="D10" i="28" s="1"/>
  <c r="C17" i="28"/>
  <c r="D17" i="28" s="1"/>
  <c r="C30" i="28"/>
  <c r="D30" i="28" s="1"/>
  <c r="C32" i="28"/>
  <c r="D32" i="28" s="1"/>
  <c r="C38" i="28"/>
  <c r="D38" i="28" s="1"/>
  <c r="C53" i="28"/>
  <c r="D53" i="28" s="1"/>
  <c r="N35" i="28"/>
  <c r="P35" i="28" s="1"/>
  <c r="L35" i="28"/>
  <c r="J35" i="20" s="1"/>
  <c r="O45" i="28"/>
  <c r="Q45" i="28" s="1"/>
  <c r="M45" i="28"/>
  <c r="O67" i="28"/>
  <c r="Q67" i="28" s="1"/>
  <c r="M67" i="28"/>
  <c r="O69" i="28"/>
  <c r="Q69" i="28" s="1"/>
  <c r="M69" i="28"/>
  <c r="O35" i="28"/>
  <c r="Q35" i="28" s="1"/>
  <c r="M35" i="28"/>
  <c r="N7" i="28"/>
  <c r="P7" i="28" s="1"/>
  <c r="L7" i="28"/>
  <c r="J7" i="20" s="1"/>
  <c r="N70" i="28"/>
  <c r="P70" i="28" s="1"/>
  <c r="L70" i="28"/>
  <c r="J70" i="20" s="1"/>
  <c r="O7" i="28"/>
  <c r="Q7" i="28" s="1"/>
  <c r="M7" i="28"/>
  <c r="N13" i="28"/>
  <c r="P13" i="28" s="1"/>
  <c r="L13" i="28"/>
  <c r="J13" i="20" s="1"/>
  <c r="O70" i="28"/>
  <c r="Q70" i="28" s="1"/>
  <c r="M70" i="28"/>
  <c r="N43" i="28"/>
  <c r="P43" i="28" s="1"/>
  <c r="L43" i="28"/>
  <c r="J43" i="20" s="1"/>
  <c r="O13" i="28"/>
  <c r="Q13" i="28" s="1"/>
  <c r="M13" i="28"/>
  <c r="O43" i="28"/>
  <c r="Q43" i="28" s="1"/>
  <c r="M43" i="28"/>
  <c r="N71" i="28"/>
  <c r="P71" i="28" s="1"/>
  <c r="L71" i="28"/>
  <c r="J71" i="20" s="1"/>
  <c r="N56" i="28"/>
  <c r="P56" i="28" s="1"/>
  <c r="L56" i="28"/>
  <c r="J56" i="20" s="1"/>
  <c r="N46" i="28"/>
  <c r="P46" i="28" s="1"/>
  <c r="L46" i="28"/>
  <c r="J46" i="20" s="1"/>
  <c r="O71" i="28"/>
  <c r="Q71" i="28" s="1"/>
  <c r="M71" i="28"/>
  <c r="N26" i="28"/>
  <c r="P26" i="28" s="1"/>
  <c r="L26" i="28"/>
  <c r="J26" i="20" s="1"/>
  <c r="O56" i="28"/>
  <c r="Q56" i="28" s="1"/>
  <c r="M56" i="28"/>
  <c r="O46" i="28"/>
  <c r="Q46" i="28" s="1"/>
  <c r="M46" i="28"/>
  <c r="O26" i="28"/>
  <c r="Q26" i="28" s="1"/>
  <c r="M26" i="28"/>
  <c r="N27" i="28"/>
  <c r="P27" i="28" s="1"/>
  <c r="L27" i="28"/>
  <c r="J27" i="20" s="1"/>
  <c r="C16" i="28"/>
  <c r="D16" i="28" s="1"/>
  <c r="O27" i="28"/>
  <c r="Q27" i="28" s="1"/>
  <c r="M27" i="28"/>
  <c r="C58" i="28"/>
  <c r="D58" i="28" s="1"/>
  <c r="N41" i="28"/>
  <c r="P41" i="28" s="1"/>
  <c r="L41" i="28"/>
  <c r="J41" i="20" s="1"/>
  <c r="C19" i="28"/>
  <c r="D19" i="28" s="1"/>
  <c r="C63" i="28"/>
  <c r="D63" i="28" s="1"/>
  <c r="O41" i="28"/>
  <c r="Q41" i="28" s="1"/>
  <c r="M41" i="28"/>
  <c r="N45" i="28"/>
  <c r="P45" i="28" s="1"/>
  <c r="L45" i="28"/>
  <c r="J45" i="20" s="1"/>
  <c r="C51" i="28"/>
  <c r="D51" i="28" s="1"/>
  <c r="N67" i="28"/>
  <c r="P67" i="28" s="1"/>
  <c r="L67" i="28"/>
  <c r="J67" i="20" s="1"/>
  <c r="N69" i="28"/>
  <c r="P69" i="28" s="1"/>
  <c r="L69" i="28"/>
  <c r="J69" i="20" s="1"/>
  <c r="M41" i="5"/>
  <c r="B41" i="20"/>
  <c r="B26" i="20"/>
  <c r="M27" i="5"/>
  <c r="B43" i="20"/>
  <c r="M69" i="5"/>
  <c r="B7" i="20"/>
  <c r="M70" i="5"/>
  <c r="M71" i="5"/>
  <c r="B27" i="20"/>
  <c r="M7" i="5"/>
  <c r="K76" i="5"/>
  <c r="B71" i="20"/>
  <c r="K76" i="7"/>
  <c r="B69" i="20"/>
  <c r="M43" i="5"/>
  <c r="B70" i="20"/>
  <c r="C56" i="28" l="1"/>
  <c r="D56" i="28" s="1"/>
  <c r="C46" i="28"/>
  <c r="D46" i="28" s="1"/>
  <c r="C45" i="28"/>
  <c r="D45" i="28" s="1"/>
  <c r="Q76" i="28"/>
  <c r="C43" i="28"/>
  <c r="D43" i="28" s="1"/>
  <c r="C67" i="28"/>
  <c r="D67" i="28" s="1"/>
  <c r="C26" i="28"/>
  <c r="D26" i="28" s="1"/>
  <c r="C7" i="28"/>
  <c r="D7" i="28" s="1"/>
  <c r="C13" i="28"/>
  <c r="D13" i="28" s="1"/>
  <c r="C71" i="28"/>
  <c r="D71" i="28" s="1"/>
  <c r="C27" i="28"/>
  <c r="D27" i="28" s="1"/>
  <c r="C41" i="28"/>
  <c r="D41" i="28" s="1"/>
  <c r="C70" i="28"/>
  <c r="D70" i="28" s="1"/>
  <c r="C35" i="28"/>
  <c r="D35" i="28" s="1"/>
  <c r="P76" i="28"/>
  <c r="C69" i="28"/>
  <c r="D69" i="28" s="1"/>
</calcChain>
</file>

<file path=xl/sharedStrings.xml><?xml version="1.0" encoding="utf-8"?>
<sst xmlns="http://schemas.openxmlformats.org/spreadsheetml/2006/main" count="7248" uniqueCount="1296">
  <si>
    <t>CS41000</t>
  </si>
  <si>
    <t>CS41005</t>
  </si>
  <si>
    <t>CS41008</t>
  </si>
  <si>
    <t>CS41010</t>
  </si>
  <si>
    <t>CS41011</t>
  </si>
  <si>
    <t>CS41043</t>
  </si>
  <si>
    <t>CS41044</t>
  </si>
  <si>
    <t>CV50633</t>
  </si>
  <si>
    <t>CV50634</t>
  </si>
  <si>
    <t>FF105</t>
  </si>
  <si>
    <t>FF171</t>
  </si>
  <si>
    <t>FF172</t>
  </si>
  <si>
    <t>FF185</t>
  </si>
  <si>
    <t>FF202</t>
  </si>
  <si>
    <t>FF211</t>
  </si>
  <si>
    <t>FF2200</t>
  </si>
  <si>
    <t>FF2203</t>
  </si>
  <si>
    <t>FF222</t>
  </si>
  <si>
    <t>FF236</t>
  </si>
  <si>
    <t>FF252</t>
  </si>
  <si>
    <t>FF42003</t>
  </si>
  <si>
    <t>FF5019</t>
  </si>
  <si>
    <t>FF5020</t>
  </si>
  <si>
    <t>FF5137</t>
  </si>
  <si>
    <t>FF5138</t>
  </si>
  <si>
    <t>FF5206</t>
  </si>
  <si>
    <t>FF5207</t>
  </si>
  <si>
    <t>FF5227</t>
  </si>
  <si>
    <t>FF5269</t>
  </si>
  <si>
    <t>FF5272</t>
  </si>
  <si>
    <t>FF5311</t>
  </si>
  <si>
    <t>FF5319</t>
  </si>
  <si>
    <t>FF5320</t>
  </si>
  <si>
    <t>FF5321</t>
  </si>
  <si>
    <t>FF5324</t>
  </si>
  <si>
    <t>FF5367</t>
  </si>
  <si>
    <t>FF5369-W</t>
  </si>
  <si>
    <t>FF5380</t>
  </si>
  <si>
    <t>FF5381</t>
  </si>
  <si>
    <t>FF5382</t>
  </si>
  <si>
    <t>FF5405</t>
  </si>
  <si>
    <t>FF5418</t>
  </si>
  <si>
    <t>FF5488</t>
  </si>
  <si>
    <t>FF5507</t>
  </si>
  <si>
    <t>FF5588</t>
  </si>
  <si>
    <t>FF5632</t>
  </si>
  <si>
    <t>FF5636</t>
  </si>
  <si>
    <t>FF5643</t>
  </si>
  <si>
    <t>FF5686</t>
  </si>
  <si>
    <t>FF5776</t>
  </si>
  <si>
    <t>FF5825-NN</t>
  </si>
  <si>
    <t>FK13850-NN</t>
  </si>
  <si>
    <t>FK22005</t>
  </si>
  <si>
    <t>FK48000</t>
  </si>
  <si>
    <t>FK48556</t>
  </si>
  <si>
    <t>FS1000</t>
  </si>
  <si>
    <t>FS1001</t>
  </si>
  <si>
    <t>FS1011</t>
  </si>
  <si>
    <t>FS1022</t>
  </si>
  <si>
    <t>FS1023</t>
  </si>
  <si>
    <t>FS1029-W</t>
  </si>
  <si>
    <t>FS1040</t>
  </si>
  <si>
    <t>FS1065</t>
  </si>
  <si>
    <t>FS1206</t>
  </si>
  <si>
    <t>FS1212</t>
  </si>
  <si>
    <t>FS1251</t>
  </si>
  <si>
    <t>FS1281</t>
  </si>
  <si>
    <t>FS1287</t>
  </si>
  <si>
    <t>FS1298</t>
  </si>
  <si>
    <t>FS19513</t>
  </si>
  <si>
    <t>FS19520</t>
  </si>
  <si>
    <t>FS19521</t>
  </si>
  <si>
    <t>FS19536</t>
  </si>
  <si>
    <t>FS19537</t>
  </si>
  <si>
    <t>FS19551</t>
  </si>
  <si>
    <t>FS19591</t>
  </si>
  <si>
    <t>FS19593</t>
  </si>
  <si>
    <t>FS19596</t>
  </si>
  <si>
    <t>FS19624</t>
  </si>
  <si>
    <t>FS19684-E</t>
  </si>
  <si>
    <t>FS19704</t>
  </si>
  <si>
    <t>FS19727</t>
  </si>
  <si>
    <t>FS19728</t>
  </si>
  <si>
    <t>FS19729</t>
  </si>
  <si>
    <t>FS19738</t>
  </si>
  <si>
    <t>FS19764</t>
  </si>
  <si>
    <t>FS19765</t>
  </si>
  <si>
    <t>FS19799</t>
  </si>
  <si>
    <t>FS19856</t>
  </si>
  <si>
    <t>FS19915</t>
  </si>
  <si>
    <t>FS19932</t>
  </si>
  <si>
    <t>FS19942</t>
  </si>
  <si>
    <t>FS19947</t>
  </si>
  <si>
    <t>FS19966</t>
  </si>
  <si>
    <t>FS20002</t>
  </si>
  <si>
    <t>FS20040</t>
  </si>
  <si>
    <t>FS20081</t>
  </si>
  <si>
    <t>FS20083</t>
  </si>
  <si>
    <t>FS20172</t>
  </si>
  <si>
    <t>FS20173</t>
  </si>
  <si>
    <t>FS20201</t>
  </si>
  <si>
    <t>FS20207</t>
  </si>
  <si>
    <t>FS36401</t>
  </si>
  <si>
    <t>LF14000-NN</t>
  </si>
  <si>
    <t>LF16035</t>
  </si>
  <si>
    <t>LF16046</t>
  </si>
  <si>
    <t>LF16102</t>
  </si>
  <si>
    <t>LF16109</t>
  </si>
  <si>
    <t>LF16166</t>
  </si>
  <si>
    <t>LF16176</t>
  </si>
  <si>
    <t>LF16231</t>
  </si>
  <si>
    <t>LF16233</t>
  </si>
  <si>
    <t>LF17494</t>
  </si>
  <si>
    <t>LF17499</t>
  </si>
  <si>
    <t>LF17502</t>
  </si>
  <si>
    <t>LF17511</t>
  </si>
  <si>
    <t>LF17514</t>
  </si>
  <si>
    <t>LF17515</t>
  </si>
  <si>
    <t>LF17531</t>
  </si>
  <si>
    <t>LF17549</t>
  </si>
  <si>
    <t>LF3000</t>
  </si>
  <si>
    <t>LF3316</t>
  </si>
  <si>
    <t>LF3328</t>
  </si>
  <si>
    <t>LF3333</t>
  </si>
  <si>
    <t>LF3335</t>
  </si>
  <si>
    <t>LF3344</t>
  </si>
  <si>
    <t>LF3349</t>
  </si>
  <si>
    <t>LF3420</t>
  </si>
  <si>
    <t>LF3443</t>
  </si>
  <si>
    <t>LF3462</t>
  </si>
  <si>
    <t>LF3472</t>
  </si>
  <si>
    <t>LF3620</t>
  </si>
  <si>
    <t>LF3630</t>
  </si>
  <si>
    <t>LF3654</t>
  </si>
  <si>
    <t>LF3675</t>
  </si>
  <si>
    <t>LF3692</t>
  </si>
  <si>
    <t>LF3817</t>
  </si>
  <si>
    <t>LF3818</t>
  </si>
  <si>
    <t>LF3827</t>
  </si>
  <si>
    <t>LF3854</t>
  </si>
  <si>
    <t>LF3883</t>
  </si>
  <si>
    <t>LF3914</t>
  </si>
  <si>
    <t>LF3931</t>
  </si>
  <si>
    <t>LF3959</t>
  </si>
  <si>
    <t>LF3970</t>
  </si>
  <si>
    <t>LF653</t>
  </si>
  <si>
    <t>LF667</t>
  </si>
  <si>
    <t>LF670</t>
  </si>
  <si>
    <t>LF689</t>
  </si>
  <si>
    <t>LF691</t>
  </si>
  <si>
    <t>LF691-A</t>
  </si>
  <si>
    <t>LF734</t>
  </si>
  <si>
    <t>LF777</t>
  </si>
  <si>
    <t>LF782</t>
  </si>
  <si>
    <t>LF9009</t>
  </si>
  <si>
    <t>LF9025</t>
  </si>
  <si>
    <t>LF9031</t>
  </si>
  <si>
    <t>LF9070</t>
  </si>
  <si>
    <t>LF9620</t>
  </si>
  <si>
    <t>UF101</t>
  </si>
  <si>
    <t>WF2015</t>
  </si>
  <si>
    <t>WF2051</t>
  </si>
  <si>
    <t>WF2071</t>
  </si>
  <si>
    <t>WF2077</t>
  </si>
  <si>
    <t>WF2078</t>
  </si>
  <si>
    <t>WF2108</t>
  </si>
  <si>
    <t>WF2109</t>
  </si>
  <si>
    <t>WF2126</t>
  </si>
  <si>
    <t>WF2127</t>
  </si>
  <si>
    <t>WF2131</t>
  </si>
  <si>
    <t>List Price</t>
  </si>
  <si>
    <t>Over Counter
Price</t>
  </si>
  <si>
    <t>With Service
Price</t>
  </si>
  <si>
    <t>Fleetguard</t>
  </si>
  <si>
    <t>Manufactur</t>
  </si>
  <si>
    <t>Part #</t>
  </si>
  <si>
    <t>Oil Spinner</t>
  </si>
  <si>
    <t>CV Filter</t>
  </si>
  <si>
    <t>Fuel Filter</t>
  </si>
  <si>
    <t>Fuel Separator</t>
  </si>
  <si>
    <t>Oil Filter</t>
  </si>
  <si>
    <t>Coolant Filter</t>
  </si>
  <si>
    <t>Without Service
Price</t>
  </si>
  <si>
    <t>Spinner</t>
  </si>
  <si>
    <t xml:space="preserve"> </t>
  </si>
  <si>
    <t>AF26235</t>
  </si>
  <si>
    <t>AF26405</t>
  </si>
  <si>
    <t>AF26418</t>
  </si>
  <si>
    <t>AF26430</t>
  </si>
  <si>
    <t>AF26435</t>
  </si>
  <si>
    <t>AF26449</t>
  </si>
  <si>
    <t>AF27958</t>
  </si>
  <si>
    <t>AF55832</t>
  </si>
  <si>
    <t>AF55836</t>
  </si>
  <si>
    <t>AF55839</t>
  </si>
  <si>
    <t>F37-1018</t>
  </si>
  <si>
    <t>N83 325400</t>
  </si>
  <si>
    <t>N83 328345</t>
  </si>
  <si>
    <t>X1987001</t>
  </si>
  <si>
    <t>W2084001</t>
  </si>
  <si>
    <t>T1000917R</t>
  </si>
  <si>
    <t>SR2000057</t>
  </si>
  <si>
    <t>1R0716</t>
  </si>
  <si>
    <t>1R0749</t>
  </si>
  <si>
    <t>1R0751</t>
  </si>
  <si>
    <t>1R1807</t>
  </si>
  <si>
    <t>1R1808</t>
  </si>
  <si>
    <t>21099700301L</t>
  </si>
  <si>
    <t>5S0153380000</t>
  </si>
  <si>
    <t>A0000101385</t>
  </si>
  <si>
    <t>A0000903651</t>
  </si>
  <si>
    <t>A0000905051</t>
  </si>
  <si>
    <t>A0000905151</t>
  </si>
  <si>
    <t>A0001420289</t>
  </si>
  <si>
    <t>A0179979345</t>
  </si>
  <si>
    <t>A2109970032</t>
  </si>
  <si>
    <t>A3892690321</t>
  </si>
  <si>
    <t>A3899932101</t>
  </si>
  <si>
    <t>A4700903151</t>
  </si>
  <si>
    <t>A4700921608</t>
  </si>
  <si>
    <t>A4711800209</t>
  </si>
  <si>
    <t>A4720920008</t>
  </si>
  <si>
    <t>A4720920308</t>
  </si>
  <si>
    <t>A4720920408</t>
  </si>
  <si>
    <t>A4721840308</t>
  </si>
  <si>
    <t>A4721841108</t>
  </si>
  <si>
    <t>A4721860095</t>
  </si>
  <si>
    <t>A4722030086</t>
  </si>
  <si>
    <t>A4722030355</t>
  </si>
  <si>
    <t>A4729900217</t>
  </si>
  <si>
    <t>A4730920508</t>
  </si>
  <si>
    <t>A4731800909</t>
  </si>
  <si>
    <t>DDE R61709</t>
  </si>
  <si>
    <t>DVC 482017</t>
  </si>
  <si>
    <t>M130X4</t>
  </si>
  <si>
    <t>N00000000577</t>
  </si>
  <si>
    <t>N000908 024000</t>
  </si>
  <si>
    <t>N007603024105</t>
  </si>
  <si>
    <t>23401-1402</t>
  </si>
  <si>
    <t>23401-1630</t>
  </si>
  <si>
    <t>S2340-11441</t>
  </si>
  <si>
    <t>1847170C94</t>
  </si>
  <si>
    <t>1847174C91</t>
  </si>
  <si>
    <t>1858063C91</t>
  </si>
  <si>
    <t>1873910C91</t>
  </si>
  <si>
    <t>1876533C93</t>
  </si>
  <si>
    <t>1884207C92</t>
  </si>
  <si>
    <t>1899332C91</t>
  </si>
  <si>
    <t>2606467C92</t>
  </si>
  <si>
    <t>2611236C1</t>
  </si>
  <si>
    <t>3004473C93</t>
  </si>
  <si>
    <t>3004475C92</t>
  </si>
  <si>
    <t>3005808C91</t>
  </si>
  <si>
    <t>3006874C91</t>
  </si>
  <si>
    <t>3007498C94</t>
  </si>
  <si>
    <t>3007511C92</t>
  </si>
  <si>
    <t>3014300C1</t>
  </si>
  <si>
    <t>4080114C2</t>
  </si>
  <si>
    <t>7092005C91</t>
  </si>
  <si>
    <t>2-90654-404-0</t>
  </si>
  <si>
    <t>2-94561-104-0</t>
  </si>
  <si>
    <t>MV 1878</t>
  </si>
  <si>
    <t>32GB2159M</t>
  </si>
  <si>
    <t>395AM5014</t>
  </si>
  <si>
    <t>39AX23</t>
  </si>
  <si>
    <t>39AX40</t>
  </si>
  <si>
    <t>744GB236A</t>
  </si>
  <si>
    <t>10-26150-04</t>
  </si>
  <si>
    <t>A0000901351</t>
  </si>
  <si>
    <t>A0000925208</t>
  </si>
  <si>
    <t>A0001800033</t>
  </si>
  <si>
    <t>A3149900363</t>
  </si>
  <si>
    <t>A5411840208</t>
  </si>
  <si>
    <t>A9061800209</t>
  </si>
  <si>
    <t>A9061840408</t>
  </si>
  <si>
    <t>ME222135</t>
  </si>
  <si>
    <t>ME306306</t>
  </si>
  <si>
    <t>N00000000107</t>
  </si>
  <si>
    <t>N000000001072</t>
  </si>
  <si>
    <t>N000908020004</t>
  </si>
  <si>
    <t>N000908022011</t>
  </si>
  <si>
    <t>N007603014102</t>
  </si>
  <si>
    <t>N007603022100</t>
  </si>
  <si>
    <t>N007603026100</t>
  </si>
  <si>
    <t>N007604014110</t>
  </si>
  <si>
    <t>QY009004</t>
  </si>
  <si>
    <t>0119132PE</t>
  </si>
  <si>
    <t>0119135PE</t>
  </si>
  <si>
    <t>0243562PE</t>
  </si>
  <si>
    <t>0336744PE</t>
  </si>
  <si>
    <t>1655115PE</t>
  </si>
  <si>
    <t>1843659PE</t>
  </si>
  <si>
    <t>1862831PE</t>
  </si>
  <si>
    <t>1869224PE</t>
  </si>
  <si>
    <t>1922496PE</t>
  </si>
  <si>
    <t>1936325PE</t>
  </si>
  <si>
    <t>1948921PE</t>
  </si>
  <si>
    <t>1982821PE</t>
  </si>
  <si>
    <t>2011888PE</t>
  </si>
  <si>
    <t>2188295PE</t>
  </si>
  <si>
    <t>2234788PE</t>
  </si>
  <si>
    <t>2234944PE</t>
  </si>
  <si>
    <t>4388378CUM</t>
  </si>
  <si>
    <t>K37-1004</t>
  </si>
  <si>
    <t>K37-1012</t>
  </si>
  <si>
    <t>K37-1021</t>
  </si>
  <si>
    <t>K37-1022</t>
  </si>
  <si>
    <t>K37-1029</t>
  </si>
  <si>
    <t>RK6166302</t>
  </si>
  <si>
    <t>WUR884 103E-D</t>
  </si>
  <si>
    <t>03-36867-010</t>
  </si>
  <si>
    <t>03-42776-010</t>
  </si>
  <si>
    <t>2515573C1</t>
  </si>
  <si>
    <t>2599273C92</t>
  </si>
  <si>
    <t>AC1001</t>
  </si>
  <si>
    <t>AF25550</t>
  </si>
  <si>
    <t>AF25707</t>
  </si>
  <si>
    <t>AF25732</t>
  </si>
  <si>
    <t>AF26268</t>
  </si>
  <si>
    <t>AF26403</t>
  </si>
  <si>
    <t>AF27690</t>
  </si>
  <si>
    <t>AF27693</t>
  </si>
  <si>
    <t>AF27905</t>
  </si>
  <si>
    <t>AF27906</t>
  </si>
  <si>
    <t>AF4878</t>
  </si>
  <si>
    <t>AF890</t>
  </si>
  <si>
    <t>AH8501</t>
  </si>
  <si>
    <t>CA30132</t>
  </si>
  <si>
    <t>CA4700</t>
  </si>
  <si>
    <t>CA5368</t>
  </si>
  <si>
    <t>CA5500</t>
  </si>
  <si>
    <t>CA5790</t>
  </si>
  <si>
    <t>ME073821</t>
  </si>
  <si>
    <t>P129396</t>
  </si>
  <si>
    <t>P141317</t>
  </si>
  <si>
    <t>P150695</t>
  </si>
  <si>
    <t>P151097</t>
  </si>
  <si>
    <t>P153551</t>
  </si>
  <si>
    <t>P154927</t>
  </si>
  <si>
    <t>P181009</t>
  </si>
  <si>
    <t>P181016</t>
  </si>
  <si>
    <t>P181028</t>
  </si>
  <si>
    <t>P181041</t>
  </si>
  <si>
    <t>P181186</t>
  </si>
  <si>
    <t>P181189</t>
  </si>
  <si>
    <t>P522293</t>
  </si>
  <si>
    <t>P527682</t>
  </si>
  <si>
    <t>P532966</t>
  </si>
  <si>
    <t>P533235</t>
  </si>
  <si>
    <t>P533814</t>
  </si>
  <si>
    <t>P533930</t>
  </si>
  <si>
    <t>P533938</t>
  </si>
  <si>
    <t>P534096</t>
  </si>
  <si>
    <t>P534816</t>
  </si>
  <si>
    <t>P534925</t>
  </si>
  <si>
    <t>P539765</t>
  </si>
  <si>
    <t>P540388</t>
  </si>
  <si>
    <t>P549644</t>
  </si>
  <si>
    <t>P600676</t>
  </si>
  <si>
    <t>P606503</t>
  </si>
  <si>
    <t>P606720</t>
  </si>
  <si>
    <t>P607955</t>
  </si>
  <si>
    <t>P607965</t>
  </si>
  <si>
    <t>P610260</t>
  </si>
  <si>
    <t>P613336</t>
  </si>
  <si>
    <t>P614556</t>
  </si>
  <si>
    <t>P614986</t>
  </si>
  <si>
    <t>P616056</t>
  </si>
  <si>
    <t>P618478</t>
  </si>
  <si>
    <t>P619498</t>
  </si>
  <si>
    <t>P621725</t>
  </si>
  <si>
    <t>P625128</t>
  </si>
  <si>
    <t>P625287</t>
  </si>
  <si>
    <t>P634517</t>
  </si>
  <si>
    <t>P637453</t>
  </si>
  <si>
    <t>P637454</t>
  </si>
  <si>
    <t>P780622</t>
  </si>
  <si>
    <t>PA2333</t>
  </si>
  <si>
    <t>PA2357</t>
  </si>
  <si>
    <t>PA2493</t>
  </si>
  <si>
    <t>PA2521</t>
  </si>
  <si>
    <t>PA2525</t>
  </si>
  <si>
    <t>PA2608</t>
  </si>
  <si>
    <t>PA2642</t>
  </si>
  <si>
    <t>PA2680</t>
  </si>
  <si>
    <t>PA2703</t>
  </si>
  <si>
    <t>PA2705</t>
  </si>
  <si>
    <t>PA2732</t>
  </si>
  <si>
    <t>PA2789</t>
  </si>
  <si>
    <t>PA3951</t>
  </si>
  <si>
    <t>PA5306</t>
  </si>
  <si>
    <t>RS3516</t>
  </si>
  <si>
    <t>RS3517</t>
  </si>
  <si>
    <t>RS3518</t>
  </si>
  <si>
    <t>RS3530</t>
  </si>
  <si>
    <t>RS3534</t>
  </si>
  <si>
    <t>RS3539</t>
  </si>
  <si>
    <t>RS3540</t>
  </si>
  <si>
    <t>RS3548</t>
  </si>
  <si>
    <t>RS3738</t>
  </si>
  <si>
    <t>RS3740</t>
  </si>
  <si>
    <t>RS3743</t>
  </si>
  <si>
    <t>RS3750</t>
  </si>
  <si>
    <t>RS4634</t>
  </si>
  <si>
    <t>RS4636</t>
  </si>
  <si>
    <t>RS4642</t>
  </si>
  <si>
    <t>RS4646</t>
  </si>
  <si>
    <t>RS4862</t>
  </si>
  <si>
    <t>RS5287XP</t>
  </si>
  <si>
    <t>RS5288XP</t>
  </si>
  <si>
    <t>N122 HBK4884</t>
  </si>
  <si>
    <t>N122 R50418</t>
  </si>
  <si>
    <t>N122 R50422</t>
  </si>
  <si>
    <t>N122 R50423</t>
  </si>
  <si>
    <t>N122 R50550</t>
  </si>
  <si>
    <t>N122 R50551</t>
  </si>
  <si>
    <t>RK 21527</t>
  </si>
  <si>
    <t>BF1259</t>
  </si>
  <si>
    <t>BF1339SP</t>
  </si>
  <si>
    <t>BF1348SP</t>
  </si>
  <si>
    <t>QTL Cost With MHSW</t>
  </si>
  <si>
    <t>Cat</t>
  </si>
  <si>
    <t>Detroit</t>
  </si>
  <si>
    <t>Hino</t>
  </si>
  <si>
    <t>Inter</t>
  </si>
  <si>
    <t>Isuzu</t>
  </si>
  <si>
    <t>Mack</t>
  </si>
  <si>
    <t>Mercedes</t>
  </si>
  <si>
    <t>Paccar</t>
  </si>
  <si>
    <t>Volvo</t>
  </si>
  <si>
    <t>Cab Filter</t>
  </si>
  <si>
    <t>Kleen Oil</t>
  </si>
  <si>
    <t>Air Filter</t>
  </si>
  <si>
    <t>Alliance</t>
  </si>
  <si>
    <t>Baldwin</t>
  </si>
  <si>
    <t>Void Price</t>
  </si>
  <si>
    <t>3T8642</t>
  </si>
  <si>
    <t>9X6451</t>
  </si>
  <si>
    <t>Labour</t>
  </si>
  <si>
    <t>Fuel
Filter</t>
  </si>
  <si>
    <t>Oil
Filter</t>
  </si>
  <si>
    <t>Over
Counter</t>
  </si>
  <si>
    <t>Cost Source</t>
  </si>
  <si>
    <t>Coolant
Filter</t>
  </si>
  <si>
    <t>Void
Price</t>
  </si>
  <si>
    <t>Cabin
Filter</t>
  </si>
  <si>
    <t>Air
Filter</t>
  </si>
  <si>
    <t>Type</t>
  </si>
  <si>
    <t>Oil FIlter</t>
  </si>
  <si>
    <t>DEF Pump Filter</t>
  </si>
  <si>
    <t>Cabin Air Filter</t>
  </si>
  <si>
    <t>Pan Plug</t>
  </si>
  <si>
    <t>Pan Plug ORing</t>
  </si>
  <si>
    <t>Fuel Filter Fass System</t>
  </si>
  <si>
    <t>DT12 Trans Drain Plug</t>
  </si>
  <si>
    <t>Pan Plug Female</t>
  </si>
  <si>
    <t>Oil Filter Insert Adapter</t>
  </si>
  <si>
    <t>Trans Kit</t>
  </si>
  <si>
    <t>Trans Filter Kit</t>
  </si>
  <si>
    <t>Stud Spin In (1IN-14)</t>
  </si>
  <si>
    <t>Coolant Res Drain Plug</t>
  </si>
  <si>
    <t>Oil Cap DD15</t>
  </si>
  <si>
    <t>Oil Filter ORing Secondary Filter</t>
  </si>
  <si>
    <t>DT12 Drain Plug</t>
  </si>
  <si>
    <t>DT12 Trans Filter</t>
  </si>
  <si>
    <t>DT12 Trans Spring</t>
  </si>
  <si>
    <t>Fuel Filter Cover Secondary</t>
  </si>
  <si>
    <t>Oil Filter Cover</t>
  </si>
  <si>
    <t>Oil Filter Cover 209</t>
  </si>
  <si>
    <t>DD15 Oil Filter Support</t>
  </si>
  <si>
    <t>Coolant Filter Cover</t>
  </si>
  <si>
    <t>Fuel Filter Cover 3151 Kit</t>
  </si>
  <si>
    <t>9" Davco Collar Wrench</t>
  </si>
  <si>
    <t>DT12 Trans Fill Plug</t>
  </si>
  <si>
    <t>DT12 Trans Drain Plug Washer</t>
  </si>
  <si>
    <t>Fuel Filter Cover Navistar</t>
  </si>
  <si>
    <t>Prescreen Strainer Filter</t>
  </si>
  <si>
    <t>Fuel Filter Cover</t>
  </si>
  <si>
    <t>Fuel Filter?</t>
  </si>
  <si>
    <t xml:space="preserve">Oil Filter </t>
  </si>
  <si>
    <t>Pan Plug Washer</t>
  </si>
  <si>
    <t>Fuel Filter Adaptor</t>
  </si>
  <si>
    <t>Fuel Filter Insert</t>
  </si>
  <si>
    <t>Oil Spinner Hose</t>
  </si>
  <si>
    <t>Oil &amp; Fuel Filter Kit</t>
  </si>
  <si>
    <t>Pan Plug No Spill</t>
  </si>
  <si>
    <t>Fuel Priming Valve</t>
  </si>
  <si>
    <t>Strainer Filter</t>
  </si>
  <si>
    <t xml:space="preserve">Fuel Filter Cover </t>
  </si>
  <si>
    <t>Oil Drain Valve Mercedes</t>
  </si>
  <si>
    <t xml:space="preserve">Oil Filter Cover </t>
  </si>
  <si>
    <t>Oil Spinner Cover MB900</t>
  </si>
  <si>
    <t>Pan plug</t>
  </si>
  <si>
    <t>Pan Plug Copper Washer</t>
  </si>
  <si>
    <t>Fuel Filter Breather Screw</t>
  </si>
  <si>
    <t>Bleeder Plug Washer</t>
  </si>
  <si>
    <t>Oil Filter Cover 8921PE</t>
  </si>
  <si>
    <t>Oil Spinner Cover</t>
  </si>
  <si>
    <t>Fuel Filter Cover 4463PE</t>
  </si>
  <si>
    <t>Oil Filter Cover 4788PE</t>
  </si>
  <si>
    <t>DEF Pump Filter Paccar</t>
  </si>
  <si>
    <t>Fuel Separator Bowl Kit</t>
  </si>
  <si>
    <t>Fitting</t>
  </si>
  <si>
    <t>Fitting Elbow</t>
  </si>
  <si>
    <t>Adapter</t>
  </si>
  <si>
    <t>Air Filter Screws Volvo</t>
  </si>
  <si>
    <t>Oil Filler Cap</t>
  </si>
  <si>
    <t>Oil FIlter Insert</t>
  </si>
  <si>
    <t>DEF Filler Pump Filter</t>
  </si>
  <si>
    <t>Oil Filter IShift ORing</t>
  </si>
  <si>
    <t>Coupler</t>
  </si>
  <si>
    <t>Air Dryer Filter</t>
  </si>
  <si>
    <t xml:space="preserve">Fuel Separator Glass </t>
  </si>
  <si>
    <t>DEF
Filter</t>
  </si>
  <si>
    <t>CV
Filter</t>
  </si>
  <si>
    <t>Without Service</t>
  </si>
  <si>
    <t>With Service</t>
  </si>
  <si>
    <t>QTL Cost Without MHSW</t>
  </si>
  <si>
    <t>MHSW</t>
  </si>
  <si>
    <t>A0001420789</t>
  </si>
  <si>
    <t>A4720921705</t>
  </si>
  <si>
    <t>A9341801410</t>
  </si>
  <si>
    <t>A9360900651</t>
  </si>
  <si>
    <t>A9361807410</t>
  </si>
  <si>
    <t>M121X4.5</t>
  </si>
  <si>
    <t>M122X3.5</t>
  </si>
  <si>
    <t>M46X3</t>
  </si>
  <si>
    <t>M65X3</t>
  </si>
  <si>
    <t>M76X2.5</t>
  </si>
  <si>
    <t>FF254</t>
  </si>
  <si>
    <t>FF4212800-NN</t>
  </si>
  <si>
    <t>FF5971-NN</t>
  </si>
  <si>
    <t>FF63041-NN</t>
  </si>
  <si>
    <t>FF63054-NN</t>
  </si>
  <si>
    <t>FS1007</t>
  </si>
  <si>
    <t>FS19557</t>
  </si>
  <si>
    <t>FS20087-MX</t>
  </si>
  <si>
    <t>FS20089</t>
  </si>
  <si>
    <t>FS20208-MX</t>
  </si>
  <si>
    <t>HF28943</t>
  </si>
  <si>
    <t>HF35153</t>
  </si>
  <si>
    <t>HF6057</t>
  </si>
  <si>
    <t>HF6510</t>
  </si>
  <si>
    <t>HF6586</t>
  </si>
  <si>
    <t>HF6601</t>
  </si>
  <si>
    <t>HF6720</t>
  </si>
  <si>
    <t>HF35296</t>
  </si>
  <si>
    <t>LF14001-NN</t>
  </si>
  <si>
    <t>SP1327</t>
  </si>
  <si>
    <t>UF106</t>
  </si>
  <si>
    <t>WF2122</t>
  </si>
  <si>
    <t>WF2129</t>
  </si>
  <si>
    <t>Hydraulic Filter</t>
  </si>
  <si>
    <t>483GB441</t>
  </si>
  <si>
    <t>483GB444</t>
  </si>
  <si>
    <t>483GB472M</t>
  </si>
  <si>
    <t>483GB476M</t>
  </si>
  <si>
    <t>483GB477M</t>
  </si>
  <si>
    <t>485GB4365M</t>
  </si>
  <si>
    <t>57GC2206</t>
  </si>
  <si>
    <t>57GC2231A</t>
  </si>
  <si>
    <t>483GB4365M</t>
  </si>
  <si>
    <t>2270400PE</t>
  </si>
  <si>
    <t>2277129PE</t>
  </si>
  <si>
    <t>K37-1009</t>
  </si>
  <si>
    <t>1----10</t>
  </si>
  <si>
    <t>10---15</t>
  </si>
  <si>
    <t>15---20</t>
  </si>
  <si>
    <t>20---25</t>
  </si>
  <si>
    <t>25---30</t>
  </si>
  <si>
    <t>30---35</t>
  </si>
  <si>
    <t>35---40</t>
  </si>
  <si>
    <t>40---45</t>
  </si>
  <si>
    <t>45---50</t>
  </si>
  <si>
    <t>50---60</t>
  </si>
  <si>
    <t>60---70</t>
  </si>
  <si>
    <t>70---80</t>
  </si>
  <si>
    <t>80---90</t>
  </si>
  <si>
    <t>90---100</t>
  </si>
  <si>
    <t>100--110</t>
  </si>
  <si>
    <t>110--120</t>
  </si>
  <si>
    <t>120--130</t>
  </si>
  <si>
    <t>2P4304</t>
  </si>
  <si>
    <t>Insert</t>
  </si>
  <si>
    <t>FS20176</t>
  </si>
  <si>
    <t>Other</t>
  </si>
  <si>
    <t>A0000901551</t>
  </si>
  <si>
    <t>A0001801609</t>
  </si>
  <si>
    <t>A0001802909</t>
  </si>
  <si>
    <t>A5410900151</t>
  </si>
  <si>
    <t>A9061810086</t>
  </si>
  <si>
    <t>950011-G3</t>
  </si>
  <si>
    <t>P521598</t>
  </si>
  <si>
    <t>P611696</t>
  </si>
  <si>
    <t>P645114</t>
  </si>
  <si>
    <t>RS3936</t>
  </si>
  <si>
    <t>X011622</t>
  </si>
  <si>
    <t>B495</t>
  </si>
  <si>
    <t>CarQuest</t>
  </si>
  <si>
    <t>BF1330SP</t>
  </si>
  <si>
    <t>BF1355SP</t>
  </si>
  <si>
    <t>CF194206</t>
  </si>
  <si>
    <t>22-46891</t>
  </si>
  <si>
    <t>23-15619</t>
  </si>
  <si>
    <t>AF26442</t>
  </si>
  <si>
    <t>CAF1815P</t>
  </si>
  <si>
    <t>P630281</t>
  </si>
  <si>
    <t>20-28512-01</t>
  </si>
  <si>
    <t>No Spill</t>
  </si>
  <si>
    <t>226821-437</t>
  </si>
  <si>
    <t>227805-437</t>
  </si>
  <si>
    <t>CC2825X</t>
  </si>
  <si>
    <t>IOL11035</t>
  </si>
  <si>
    <t>Coolant</t>
  </si>
  <si>
    <t>DEF</t>
  </si>
  <si>
    <t>FF5040</t>
  </si>
  <si>
    <t>FF5625</t>
  </si>
  <si>
    <t>FF5797</t>
  </si>
  <si>
    <t>FS1003</t>
  </si>
  <si>
    <t>FS19616</t>
  </si>
  <si>
    <t>FS19930</t>
  </si>
  <si>
    <t>LF16110</t>
  </si>
  <si>
    <t>LF17518</t>
  </si>
  <si>
    <t>15613-E0110</t>
  </si>
  <si>
    <t>S2340-11700</t>
  </si>
  <si>
    <t>STANDARD JOB LIST</t>
  </si>
  <si>
    <t>Filtre</t>
  </si>
  <si>
    <t>Auto Greaser Refill</t>
  </si>
  <si>
    <t>Cost</t>
  </si>
  <si>
    <t>FILTER</t>
  </si>
  <si>
    <t>Oil</t>
  </si>
  <si>
    <t>Fuel</t>
  </si>
  <si>
    <t>C 7 / 10 / 3126 With Cat Filter</t>
  </si>
  <si>
    <t>C 7 / 10 / 3126 With Fleetguard Filter</t>
  </si>
  <si>
    <t>C 12 / 3406 With  Cat Filter</t>
  </si>
  <si>
    <t>C 12 / 3406 With Fleetguard Filter</t>
  </si>
  <si>
    <t>LF691A</t>
  </si>
  <si>
    <t>C 13 / 15 With  Cat Filter</t>
  </si>
  <si>
    <t>C 13 / 15 With Fleetguard Filter</t>
  </si>
  <si>
    <t>Cummins N14</t>
  </si>
  <si>
    <t>Cummins 5.9L/6.7L</t>
  </si>
  <si>
    <t>Cummins ISC / ISL</t>
  </si>
  <si>
    <t>Cummins ISB</t>
  </si>
  <si>
    <t>Cummins ISM</t>
  </si>
  <si>
    <t>LF14000NN</t>
  </si>
  <si>
    <t>Cummins ISX</t>
  </si>
  <si>
    <t>Cummins M11</t>
  </si>
  <si>
    <t>Detroit With Detroit Filter</t>
  </si>
  <si>
    <t>Detroit With Detroit Filter (DD8)</t>
  </si>
  <si>
    <t>Detroit With Detroit Filter (DD13,DD15,DD16)</t>
  </si>
  <si>
    <t>Detroit With Fleetguard Filter (DD13,DD15.DD16)</t>
  </si>
  <si>
    <t>Detroit With Fleetguard</t>
  </si>
  <si>
    <t>Duramax / Vortec 8100L</t>
  </si>
  <si>
    <t>F250 / F350 / F550 / F650</t>
  </si>
  <si>
    <t>Hino With Fleetguard</t>
  </si>
  <si>
    <t>International</t>
  </si>
  <si>
    <t>Mack With Fleetguard Filter</t>
  </si>
  <si>
    <t>Mack With Fleetguard Filter(52L)</t>
  </si>
  <si>
    <t>Mack With Mack Filter</t>
  </si>
  <si>
    <t>Mack With Mack Filter( 52L )</t>
  </si>
  <si>
    <t>Max Force 7</t>
  </si>
  <si>
    <t>Max Force 7 With Fleetguard</t>
  </si>
  <si>
    <t>Max Force 13</t>
  </si>
  <si>
    <t>Max Force 13 With Fleetguard</t>
  </si>
  <si>
    <t>FS20087MX</t>
  </si>
  <si>
    <t>Mercedes  Benz 4000</t>
  </si>
  <si>
    <t>Mercedes  Benz 4000 With Fleeguard Filter</t>
  </si>
  <si>
    <t>Mercedes  Benz 900</t>
  </si>
  <si>
    <t>Mercedes  Benz 900 With Fleetguard Filter</t>
  </si>
  <si>
    <t>Mercedes Benz Sprinter</t>
  </si>
  <si>
    <t>Mitsubishi</t>
  </si>
  <si>
    <t>Mitsubishi With Fleetguard</t>
  </si>
  <si>
    <t>FF5795</t>
  </si>
  <si>
    <t>Navistar</t>
  </si>
  <si>
    <t>Paccer</t>
  </si>
  <si>
    <t>Paccer With Fleetguard</t>
  </si>
  <si>
    <t>Paccer Small</t>
  </si>
  <si>
    <t>Volvo With Fleetguard</t>
  </si>
  <si>
    <t>Volvo With Fleetguard(D16 42L)</t>
  </si>
  <si>
    <t>Volvo With Fleetguard(D16 52L)</t>
  </si>
  <si>
    <t>Volvo With Volvo Filter</t>
  </si>
  <si>
    <t>Volvo With Volvo Filter (D16 42L)</t>
  </si>
  <si>
    <t>Volvo With Volvo Filter (D16 52L)</t>
  </si>
  <si>
    <t>15W40</t>
  </si>
  <si>
    <t>selling</t>
  </si>
  <si>
    <t>cost</t>
  </si>
  <si>
    <t>Litre</t>
  </si>
  <si>
    <t>Profit</t>
  </si>
  <si>
    <t>Grease</t>
  </si>
  <si>
    <t>Max Force 7 / 9 / 10</t>
  </si>
  <si>
    <t>Max Force 7 / 9 / 10 With Fleetguard</t>
  </si>
  <si>
    <t>Mitsubushi</t>
  </si>
  <si>
    <t>10W30</t>
  </si>
  <si>
    <t>8--20</t>
  </si>
  <si>
    <t>21--38</t>
  </si>
  <si>
    <t>39--46</t>
  </si>
  <si>
    <t>47&amp; UP</t>
  </si>
  <si>
    <t>T5</t>
  </si>
  <si>
    <t>T6</t>
  </si>
  <si>
    <t>Delo 5W30</t>
  </si>
  <si>
    <t>Delo Syn</t>
  </si>
  <si>
    <t>Gallon</t>
  </si>
  <si>
    <t>5W30</t>
  </si>
  <si>
    <t>Delo</t>
  </si>
  <si>
    <r>
      <rPr>
        <b/>
        <sz val="8"/>
        <color rgb="FFFF0000"/>
        <rFont val="Arial"/>
        <family val="2"/>
      </rPr>
      <t>5W30</t>
    </r>
    <r>
      <rPr>
        <b/>
        <sz val="8"/>
        <rFont val="Arial"/>
        <family val="2"/>
      </rPr>
      <t>/5W40</t>
    </r>
  </si>
  <si>
    <t>Delo SYN</t>
  </si>
  <si>
    <t>T5 Gallon</t>
  </si>
  <si>
    <t>Price</t>
  </si>
  <si>
    <t>Allison Trans 2500</t>
  </si>
  <si>
    <t>Allison Trans 4500</t>
  </si>
  <si>
    <t>Allison Trans 4500 ( Dump )</t>
  </si>
  <si>
    <t>Diff Oil Change Reg</t>
  </si>
  <si>
    <t>Diff Oil Change Reg ( Single )</t>
  </si>
  <si>
    <t>Diff Oil Change Syn</t>
  </si>
  <si>
    <t>Diff Oil Change Syn ( Single )</t>
  </si>
  <si>
    <t>Trans &amp; Diff Oil Change Reg</t>
  </si>
  <si>
    <t>Trans &amp; Diff Oil Change Syn</t>
  </si>
  <si>
    <t>Trans Oil Change Reg</t>
  </si>
  <si>
    <t>Trans Oil Change Syn</t>
  </si>
  <si>
    <t>Trans &amp; Single Diff Reg</t>
  </si>
  <si>
    <t>Trans &amp; Single Diff Syn</t>
  </si>
  <si>
    <t>Trans DT12</t>
  </si>
  <si>
    <t>Trans I Shift</t>
  </si>
  <si>
    <t>Shell</t>
  </si>
  <si>
    <t>Fass System Service</t>
  </si>
  <si>
    <t>With
Service</t>
  </si>
  <si>
    <t>Without
Service</t>
  </si>
  <si>
    <t>Optional</t>
  </si>
  <si>
    <t>No Extra Cost</t>
  </si>
  <si>
    <t>Counter</t>
  </si>
  <si>
    <t>Void</t>
  </si>
  <si>
    <t>discontinued</t>
  </si>
  <si>
    <t>P640017</t>
  </si>
  <si>
    <t>1---20</t>
  </si>
  <si>
    <t>20---35</t>
  </si>
  <si>
    <t>35---50</t>
  </si>
  <si>
    <t>50---70</t>
  </si>
  <si>
    <t>70---90</t>
  </si>
  <si>
    <t>90---110</t>
  </si>
  <si>
    <t>T6 5W40 Gallon</t>
  </si>
  <si>
    <t>Mobil</t>
  </si>
  <si>
    <t>Gallon Case
Cost</t>
  </si>
  <si>
    <t>Gallon
Cost</t>
  </si>
  <si>
    <t>Drum
Cost</t>
  </si>
  <si>
    <t>Drum Per Litre Cost</t>
  </si>
  <si>
    <t>Filter
Price</t>
  </si>
  <si>
    <t>Syn-Gear XDM SAE 75W90</t>
  </si>
  <si>
    <t>Syn-Trans XE 75W90</t>
  </si>
  <si>
    <t>Gallon Per Litre
 Cost</t>
  </si>
  <si>
    <t>Pail Per Litre
Cost</t>
  </si>
  <si>
    <t>Bulk Sell
Price</t>
  </si>
  <si>
    <t>Gallon Sell
Price</t>
  </si>
  <si>
    <t>5W30/5W40</t>
  </si>
  <si>
    <t>Pail Sell
Price</t>
  </si>
  <si>
    <t>Bulk
Cost</t>
  </si>
  <si>
    <t>222290-990</t>
  </si>
  <si>
    <t>A0000904851</t>
  </si>
  <si>
    <t>DD8 Oil Filter</t>
  </si>
  <si>
    <t>DD8 Fuel Filter</t>
  </si>
  <si>
    <t>DD5 Oil Filter</t>
  </si>
  <si>
    <t>DD15 Fuel Filter Cover ( 5151 )</t>
  </si>
  <si>
    <t>DD15 Secondary FUEL Filter Cap with Seal( 3151)</t>
  </si>
  <si>
    <t>Oil Filter Cover ( 909 )</t>
  </si>
  <si>
    <t>DD15 Prescreen Cover ( 5151 )</t>
  </si>
  <si>
    <t>Detroit DEF Pump Filter</t>
  </si>
  <si>
    <t>Gallon
MHSW</t>
  </si>
  <si>
    <t>Pail
MHSW</t>
  </si>
  <si>
    <t>T4  ( 15W40 )</t>
  </si>
  <si>
    <t>T5  ( 10W30 )</t>
  </si>
  <si>
    <t>T6  ( 5W30 ) SYN</t>
  </si>
  <si>
    <t>Syn-Trans XV 75W80 ( IShift )</t>
  </si>
  <si>
    <t>Syn-AMT XDT SAE 75W90 (DT12)</t>
  </si>
  <si>
    <t>15W40 ( Super 1300 )</t>
  </si>
  <si>
    <t>10W30 ( Super 1300 )</t>
  </si>
  <si>
    <t>10W30 ( Rubia 1300 )</t>
  </si>
  <si>
    <t>03-43216-010</t>
  </si>
  <si>
    <t>Pail
Cost</t>
  </si>
  <si>
    <t>222290-464</t>
  </si>
  <si>
    <t>257000-990</t>
  </si>
  <si>
    <t>257000-464</t>
  </si>
  <si>
    <t>10W30 400 XLE Syn Blend</t>
  </si>
  <si>
    <t>257001-990</t>
  </si>
  <si>
    <t>257001-981</t>
  </si>
  <si>
    <t>257001-448</t>
  </si>
  <si>
    <t>257001-464</t>
  </si>
  <si>
    <t>257002-464</t>
  </si>
  <si>
    <t>223022-990</t>
  </si>
  <si>
    <t>223022-983</t>
  </si>
  <si>
    <t>223079-990</t>
  </si>
  <si>
    <t>223079-953</t>
  </si>
  <si>
    <t>223030-990</t>
  </si>
  <si>
    <t>223030-953</t>
  </si>
  <si>
    <t>223080-361</t>
  </si>
  <si>
    <t>223078-773</t>
  </si>
  <si>
    <t>Gear EP-5 SAE 80W90</t>
  </si>
  <si>
    <t>5W30 400XSP</t>
  </si>
  <si>
    <t>5W40 400XSP</t>
  </si>
  <si>
    <t>AF26427</t>
  </si>
  <si>
    <t>Devco</t>
  </si>
  <si>
    <t>3944448-S</t>
  </si>
  <si>
    <t>5479-102425</t>
  </si>
  <si>
    <t>5479-240023</t>
  </si>
  <si>
    <t>Wrench</t>
  </si>
  <si>
    <t>Davco Glass Cover New</t>
  </si>
  <si>
    <t>Davco Filter Wrench</t>
  </si>
  <si>
    <t>Davco Spring</t>
  </si>
  <si>
    <t>Davco Collar ( Large 482 )</t>
  </si>
  <si>
    <t>Davco Cover Asmb ( Large )</t>
  </si>
  <si>
    <t>Davco Check Valve</t>
  </si>
  <si>
    <t xml:space="preserve">Devco Collar </t>
  </si>
  <si>
    <t>Vent Cap &amp; Seal</t>
  </si>
  <si>
    <t>Donaldson</t>
  </si>
  <si>
    <t>P550425</t>
  </si>
  <si>
    <t>P550428</t>
  </si>
  <si>
    <t>P550519</t>
  </si>
  <si>
    <t>P550529</t>
  </si>
  <si>
    <t>P550769</t>
  </si>
  <si>
    <t>P550824</t>
  </si>
  <si>
    <t>P550949</t>
  </si>
  <si>
    <t>P551000</t>
  </si>
  <si>
    <t>P551311</t>
  </si>
  <si>
    <t>P551853</t>
  </si>
  <si>
    <t>P551855</t>
  </si>
  <si>
    <t>P552100</t>
  </si>
  <si>
    <t>P555776</t>
  </si>
  <si>
    <t>P551145</t>
  </si>
  <si>
    <t>Filter Head</t>
  </si>
  <si>
    <t>142784-S</t>
  </si>
  <si>
    <t>204163-S</t>
  </si>
  <si>
    <t>3833198-S</t>
  </si>
  <si>
    <t>3833199-S</t>
  </si>
  <si>
    <t>3833200-S</t>
  </si>
  <si>
    <t>3948395-S</t>
  </si>
  <si>
    <t>DDE23533674</t>
  </si>
  <si>
    <t>DDE23539256</t>
  </si>
  <si>
    <t>RK22098</t>
  </si>
  <si>
    <t>Filter Head ( 1212 on Bracket )</t>
  </si>
  <si>
    <t>Volvo Filter Head 5272</t>
  </si>
  <si>
    <t>WF Head PK</t>
  </si>
  <si>
    <t>Filter Head ( 5207 )</t>
  </si>
  <si>
    <t>Filter Head ( 1212 Without Bracket )</t>
  </si>
  <si>
    <t>Filter Head ( 5206 )</t>
  </si>
  <si>
    <t>Filter Head ( 19532 )</t>
  </si>
  <si>
    <t>Filter Bowl ( 19551 )</t>
  </si>
  <si>
    <t>2-94654-200-0</t>
  </si>
  <si>
    <t>25126202A</t>
  </si>
  <si>
    <t>Spiner Cap ( 85136709 )</t>
  </si>
  <si>
    <t>Spiner Center Shaft ( 85136709 )</t>
  </si>
  <si>
    <t>Come in Package( 25126202 )</t>
  </si>
  <si>
    <t>Upgrade 20998367</t>
  </si>
  <si>
    <t>Upgrade 20879806</t>
  </si>
  <si>
    <t>Upgrade 21516229</t>
  </si>
  <si>
    <t>LF17503</t>
  </si>
  <si>
    <t>Cleaner</t>
  </si>
  <si>
    <t>Howes</t>
  </si>
  <si>
    <t>Plug</t>
  </si>
  <si>
    <t>10-14125-03</t>
  </si>
  <si>
    <t>10-14150-03</t>
  </si>
  <si>
    <t>10-18150-06</t>
  </si>
  <si>
    <t>10-20150-02</t>
  </si>
  <si>
    <t>10-22150-11</t>
  </si>
  <si>
    <t>10-24150-03</t>
  </si>
  <si>
    <t>10-26150-01</t>
  </si>
  <si>
    <t>10-27200-01</t>
  </si>
  <si>
    <t>10-27200-02</t>
  </si>
  <si>
    <t>11083-6</t>
  </si>
  <si>
    <t>1250L 1286</t>
  </si>
  <si>
    <t>359-5915</t>
  </si>
  <si>
    <t>359-5990</t>
  </si>
  <si>
    <t>3973071CUM</t>
  </si>
  <si>
    <t>40-26814-01</t>
  </si>
  <si>
    <t>.85 per gallon</t>
  </si>
  <si>
    <t>.17 per Litre</t>
  </si>
  <si>
    <t>RS5287XP / X011622</t>
  </si>
  <si>
    <t>50-25418-01</t>
  </si>
  <si>
    <t>A-206</t>
  </si>
  <si>
    <t>A-207</t>
  </si>
  <si>
    <t>A-211</t>
  </si>
  <si>
    <t>A-22</t>
  </si>
  <si>
    <t>ETN075130</t>
  </si>
  <si>
    <t>EZ-203</t>
  </si>
  <si>
    <t>EZ-205</t>
  </si>
  <si>
    <t>EZ-207</t>
  </si>
  <si>
    <t>EZ-211</t>
  </si>
  <si>
    <t>EZ-7B</t>
  </si>
  <si>
    <t>EZ-8</t>
  </si>
  <si>
    <t>F75Z6730BA</t>
  </si>
  <si>
    <t>H-002</t>
  </si>
  <si>
    <t>L-002</t>
  </si>
  <si>
    <t>MD050316</t>
  </si>
  <si>
    <t>MD050317</t>
  </si>
  <si>
    <t>N000908042001</t>
  </si>
  <si>
    <t>N007603042100</t>
  </si>
  <si>
    <t>SC3044</t>
  </si>
  <si>
    <t>TDAA119R4048</t>
  </si>
  <si>
    <t>TDAKIT2902</t>
  </si>
  <si>
    <t>VM23X3</t>
  </si>
  <si>
    <t>X12-2007</t>
  </si>
  <si>
    <t>Havoline 50/50 GRN</t>
  </si>
  <si>
    <t>Chev 50/50 Red</t>
  </si>
  <si>
    <t>Det Coolant</t>
  </si>
  <si>
    <t>Fleetguard Blue</t>
  </si>
  <si>
    <t>Fleetguard 50/50 Red</t>
  </si>
  <si>
    <t>Mobil 50/50 Red</t>
  </si>
  <si>
    <t>CC36077-X</t>
  </si>
  <si>
    <t>Plug ( No Spill</t>
  </si>
  <si>
    <t>Cummins ISX / X15</t>
  </si>
  <si>
    <t>MP 7 / MP8 With Fleetguard</t>
  </si>
  <si>
    <t>MP 7 / MP8</t>
  </si>
  <si>
    <t>MP 7/MP8/ MP10 With Fleetguard ( 52L)</t>
  </si>
  <si>
    <t>MP 7/MP8/ MP10 With Mack (52L)</t>
  </si>
  <si>
    <t>MP 7 / MP8 With Mack</t>
  </si>
  <si>
    <t>MP 7 / MP8 With Mack Filter</t>
  </si>
  <si>
    <t>MP 7 / MP8 With Fleetguard Filter</t>
  </si>
  <si>
    <t>FS19532</t>
  </si>
  <si>
    <t>FK11011-NN</t>
  </si>
  <si>
    <t>LF17810</t>
  </si>
  <si>
    <t>2272926PE</t>
  </si>
  <si>
    <t>AF56060</t>
  </si>
  <si>
    <t>Fuel Conditioner</t>
  </si>
  <si>
    <t>AD27747</t>
  </si>
  <si>
    <t>AD27750</t>
  </si>
  <si>
    <t>Diff Plug Medium</t>
  </si>
  <si>
    <t>No Spill Ford</t>
  </si>
  <si>
    <t>No Spill Ram</t>
  </si>
  <si>
    <t>No Spill ISB / ISC Cum 5.9</t>
  </si>
  <si>
    <t>No Spill Mack / Side Paccar</t>
  </si>
  <si>
    <t>No Spill Mer 4000 /Cum 6.7</t>
  </si>
  <si>
    <t>No Spill Volvo / MP7/8</t>
  </si>
  <si>
    <t>No Spill Paccar MX</t>
  </si>
  <si>
    <t>No Spill DD15</t>
  </si>
  <si>
    <t>No Spill ISX</t>
  </si>
  <si>
    <t>No Spill Drain Hose</t>
  </si>
  <si>
    <t>No Spill Drain Hose L</t>
  </si>
  <si>
    <t>No Spill Dust Cap</t>
  </si>
  <si>
    <t>Dill Plug Male</t>
  </si>
  <si>
    <t>No Spill Cat</t>
  </si>
  <si>
    <t>Pan Plug Washer Mack</t>
  </si>
  <si>
    <t>I Shift Trans Plug</t>
  </si>
  <si>
    <t>Pan Plug N14</t>
  </si>
  <si>
    <t>Pan Plug Volvo / MP7/8</t>
  </si>
  <si>
    <t>Hub Cap Plug</t>
  </si>
  <si>
    <t>Need to Delete</t>
  </si>
  <si>
    <t>Pan Plug O Ring ISX</t>
  </si>
  <si>
    <t>Pan Plug Washer Small Paccar / ISB/6.7</t>
  </si>
  <si>
    <t>Pan Plug Small Paccar /Cum 4.7</t>
  </si>
  <si>
    <t>Trans Plug With O Ring</t>
  </si>
  <si>
    <t>Pan Plu ISX</t>
  </si>
  <si>
    <t>Pan Plug ISX</t>
  </si>
  <si>
    <t>No Spill N14</t>
  </si>
  <si>
    <t>Pan Plug ISB</t>
  </si>
  <si>
    <t>Pan Plug Cum ISB</t>
  </si>
  <si>
    <t>Pan Plug Ford</t>
  </si>
  <si>
    <t>Pan Plug Mitsubishi</t>
  </si>
  <si>
    <t>Pan Plug Washer Mitsubishi</t>
  </si>
  <si>
    <t>No Spill Quick Conect Straight</t>
  </si>
  <si>
    <t>No Spill Quick Conect L</t>
  </si>
  <si>
    <t>SC3048</t>
  </si>
  <si>
    <t>Breather ( Meritor )</t>
  </si>
  <si>
    <t xml:space="preserve">Breather &amp; Tube </t>
  </si>
  <si>
    <t>Trans Plug Big</t>
  </si>
  <si>
    <t xml:space="preserve">No Spill Det </t>
  </si>
  <si>
    <t>Volvo DEF Pump Filter Cap</t>
  </si>
  <si>
    <t>D37-1061</t>
  </si>
  <si>
    <t>SR2000092</t>
  </si>
  <si>
    <t>DD15 Oil Filter O Ring</t>
  </si>
  <si>
    <t>P551063</t>
  </si>
  <si>
    <t>New # 25168319</t>
  </si>
  <si>
    <t>Not Install</t>
  </si>
  <si>
    <t>need to calculate pail</t>
  </si>
  <si>
    <t>Oil Lucas</t>
  </si>
  <si>
    <t>MotorKote</t>
  </si>
  <si>
    <t>Lucas Oil Stablizer</t>
  </si>
  <si>
    <t>Lucas Bulk</t>
  </si>
  <si>
    <t>Lucas Fuel Conditioner</t>
  </si>
  <si>
    <t>Motorkote</t>
  </si>
  <si>
    <t>Lucas Oil Stablizer ( Syn )</t>
  </si>
  <si>
    <t>273277-448</t>
  </si>
  <si>
    <t>CHHS010004</t>
  </si>
  <si>
    <t>CHLES53004</t>
  </si>
  <si>
    <t>Chev ( Hydraulic )</t>
  </si>
  <si>
    <t>Shell T4 ( Bucket )</t>
  </si>
  <si>
    <t>Chev ( Compressor Oil )</t>
  </si>
  <si>
    <t>Chev Delo 5W30XSP ( Pail )</t>
  </si>
  <si>
    <t>Chev Delo 5W30XSP( Gallon )</t>
  </si>
  <si>
    <t>Delvac Super 1300 15W40 ( Gallon )</t>
  </si>
  <si>
    <t>Shell T5 10W30 5L ( Gallon )</t>
  </si>
  <si>
    <t>Shell T4 15W40 5L ( Gallon )</t>
  </si>
  <si>
    <t>Shell T6 5W30 5L ( Gallon )</t>
  </si>
  <si>
    <t>Shell T6 5W40 5L ( Gallon )</t>
  </si>
  <si>
    <t>Shell T5 10W30 5L Ultra ( Gallon )</t>
  </si>
  <si>
    <t>Total Rubia Opt 1300FE 15W40 5L</t>
  </si>
  <si>
    <t>Total Rubia Opt 1300FE 10W30 5L</t>
  </si>
  <si>
    <t>Chev Delo 15W40 400LE( Gallon )</t>
  </si>
  <si>
    <t>Chev Delo 10W30 400XLE( Gallon )</t>
  </si>
  <si>
    <t>Delvac Super 1300 10W30 ( Gallon )</t>
  </si>
  <si>
    <t>Oil Gallon</t>
  </si>
  <si>
    <t>Chev Rando HD 68</t>
  </si>
  <si>
    <t>Power Stearing 500ml ( Kleen Flo )</t>
  </si>
  <si>
    <t>Chev Auto Trans Flud )</t>
  </si>
  <si>
    <t>KFT585</t>
  </si>
  <si>
    <t>KFT586</t>
  </si>
  <si>
    <t>Power Stearing Flud 1L ( Kleen Flo )</t>
  </si>
  <si>
    <t>273279-448</t>
  </si>
  <si>
    <t>FS20313</t>
  </si>
  <si>
    <t>10W30 Gallon</t>
  </si>
  <si>
    <t>T6 Gallon</t>
  </si>
  <si>
    <t>Delo 5W30 Gallon</t>
  </si>
  <si>
    <t>Allison Transynd</t>
  </si>
  <si>
    <t>Chev Delo 5W40 SYN ( Gallon )</t>
  </si>
  <si>
    <t>Need to Check price</t>
  </si>
  <si>
    <t>Need OEM Part # and Price</t>
  </si>
  <si>
    <t>OIL QUART</t>
  </si>
  <si>
    <t>Allison Trans Syn Fluid ( Castrol )</t>
  </si>
  <si>
    <t>Allison Transynd ( Castrol ) Pail</t>
  </si>
  <si>
    <t>Air Dryer Filter ( Webco )</t>
  </si>
  <si>
    <t>Air Dryer Filter( TRP )</t>
  </si>
  <si>
    <t>D37-1032</t>
  </si>
  <si>
    <t>New</t>
  </si>
  <si>
    <t>SR2000091</t>
  </si>
  <si>
    <t>INACTIV</t>
  </si>
  <si>
    <t>FF5973</t>
  </si>
  <si>
    <t>FF5974</t>
  </si>
  <si>
    <t>16465MX</t>
  </si>
  <si>
    <t>LF16465MX</t>
  </si>
  <si>
    <t>Total</t>
  </si>
  <si>
    <t>new volvo sep</t>
  </si>
  <si>
    <t>FK11011</t>
  </si>
  <si>
    <t>New aug Price</t>
  </si>
  <si>
    <t>Each</t>
  </si>
  <si>
    <t>Customer
Supplies Filter</t>
  </si>
  <si>
    <t>Fuel Separator( Bowl )</t>
  </si>
  <si>
    <t>Fuel Filter( Cartridge )</t>
  </si>
  <si>
    <t>Oil Filter( Cartridge )</t>
  </si>
  <si>
    <t>Fuel Filter( Spin On )</t>
  </si>
  <si>
    <t>Oil Filter( Spin On )</t>
  </si>
  <si>
    <t>Coolant Filter( Spin On )</t>
  </si>
  <si>
    <t>Fuel Separator( Spin On )</t>
  </si>
  <si>
    <t>Fuel Separator( Cartridge )</t>
  </si>
  <si>
    <t>Oil Filter ( Ishift ) Cartridge</t>
  </si>
  <si>
    <t>Oil &amp; Fuel Filter Kit( Spin On )</t>
  </si>
  <si>
    <t>Hydraulic Filter( Cartridge )</t>
  </si>
  <si>
    <t>Oil Spiner Housing</t>
  </si>
  <si>
    <t>Same as 485GB4365M</t>
  </si>
  <si>
    <t>New 21074769</t>
  </si>
  <si>
    <t>Per Ltr</t>
  </si>
  <si>
    <t>Old 32GB2160M</t>
  </si>
  <si>
    <t>NEW 20706140</t>
  </si>
  <si>
    <t>Old 395AM5014</t>
  </si>
  <si>
    <t>Old 39AX23</t>
  </si>
  <si>
    <t>New 20704613</t>
  </si>
  <si>
    <t>New 20704867</t>
  </si>
  <si>
    <t>New 25100073</t>
  </si>
  <si>
    <t>New 25502423</t>
  </si>
  <si>
    <t>New 25127839</t>
  </si>
  <si>
    <t>New 21075041</t>
  </si>
  <si>
    <t>Allison Trans</t>
  </si>
  <si>
    <t>Chev 80W90 Multi Gear</t>
  </si>
  <si>
    <t>Chev Delo Syn Gear XDM SAE 75W90</t>
  </si>
  <si>
    <t>Chev Delo Syn Trans XE 75W90</t>
  </si>
  <si>
    <t>Chev DT12 Syn Trans AMT XDT</t>
  </si>
  <si>
    <t>Chev Ishift Syn Trans</t>
  </si>
  <si>
    <t>10-17800-50</t>
  </si>
  <si>
    <t>10-17800-0</t>
  </si>
  <si>
    <t>No Spill Paccar</t>
  </si>
  <si>
    <t>Dec 18,2023</t>
  </si>
  <si>
    <t>CV Filter Secrew</t>
  </si>
  <si>
    <t>FF5052</t>
  </si>
  <si>
    <t>LF3681</t>
  </si>
  <si>
    <t>LF17472</t>
  </si>
  <si>
    <t>FS20132</t>
  </si>
  <si>
    <t>AF55831</t>
  </si>
  <si>
    <t>Upgrade 24225154</t>
  </si>
  <si>
    <t>Upgradw 24225156</t>
  </si>
  <si>
    <t>Lucas Stop Leak</t>
  </si>
  <si>
    <t>Coolant Flush Extended Life ( Red )</t>
  </si>
  <si>
    <t>Coolant Flush Extended Life ( Detroit )</t>
  </si>
  <si>
    <t>Coolant Flush  ( Green )</t>
  </si>
  <si>
    <t>Avrage Red</t>
  </si>
  <si>
    <t>CFR19501</t>
  </si>
  <si>
    <t>15W40 400 XLE SB</t>
  </si>
  <si>
    <t>257004-990</t>
  </si>
  <si>
    <t>5th Wheel Grease</t>
  </si>
  <si>
    <t>Auto Greaser Refill Reg</t>
  </si>
  <si>
    <t>Auto Greaser Refill Large</t>
  </si>
  <si>
    <t>Free Grease</t>
  </si>
  <si>
    <t>Tow Truck Slider Bar Grease</t>
  </si>
  <si>
    <t>Trailer Grease</t>
  </si>
  <si>
    <t>Trailer Grease 3 Axle+</t>
  </si>
  <si>
    <t>Trailer Grease 5 Axle+</t>
  </si>
  <si>
    <t>Trailer Grease 7 Axle+</t>
  </si>
  <si>
    <t>Trailer Grease 5 Axle+( Extra Fitting )</t>
  </si>
  <si>
    <t>Trailer Grease ( Dump )</t>
  </si>
  <si>
    <t>Truck Drive Shaft Grease</t>
  </si>
  <si>
    <t>Truck Grease</t>
  </si>
  <si>
    <t>Truck Grease ( Dump )</t>
  </si>
  <si>
    <t>Cost Kg</t>
  </si>
  <si>
    <t>Cost Drum</t>
  </si>
  <si>
    <t>Use</t>
  </si>
  <si>
    <t>Selling Kg</t>
  </si>
  <si>
    <t>Qty Use</t>
  </si>
  <si>
    <t>Cost Keg
EP 0</t>
  </si>
  <si>
    <t>Selling
With Service</t>
  </si>
  <si>
    <t>Selling Without Service</t>
  </si>
  <si>
    <t>15W40 ( Rubia 1100 )</t>
  </si>
  <si>
    <t>Customer Supplies Filter</t>
  </si>
  <si>
    <t>25503129A</t>
  </si>
  <si>
    <t>Spiner Cap ( 25503228 )</t>
  </si>
  <si>
    <t>Spiner Center Shaft ( 25503228 )</t>
  </si>
  <si>
    <t>A9900104300 New Part #</t>
  </si>
  <si>
    <t>P648156</t>
  </si>
  <si>
    <t>RK61663</t>
  </si>
  <si>
    <t>Fuel Separator Bowl Kit Without Heater</t>
  </si>
  <si>
    <t>RK3047603</t>
  </si>
  <si>
    <t>Fuel Separator Bowl Kit Drain</t>
  </si>
  <si>
    <t>2253146PE</t>
  </si>
  <si>
    <t>2380464PE</t>
  </si>
  <si>
    <t>Fuel Filter Cap (2 Filter Kit Long )</t>
  </si>
  <si>
    <t>Fuel Filter Cap (2 Filter Kit Short )</t>
  </si>
  <si>
    <t>LF14002-NN</t>
  </si>
  <si>
    <t>FS20288</t>
  </si>
  <si>
    <t>New Part</t>
  </si>
  <si>
    <t>8-98237-341-0</t>
  </si>
  <si>
    <t>1-87617-016-0</t>
  </si>
  <si>
    <t>Isuzu With Fleetguard Filter</t>
  </si>
  <si>
    <t>Isuzu With Fleetguard</t>
  </si>
  <si>
    <t>sep</t>
  </si>
  <si>
    <t>oil</t>
  </si>
  <si>
    <t>fuel</t>
  </si>
  <si>
    <t>FF5877</t>
  </si>
  <si>
    <t>LF17537</t>
  </si>
  <si>
    <t>FS1098</t>
  </si>
  <si>
    <t>No Cross</t>
  </si>
  <si>
    <t>No Stock ( No Sale )</t>
  </si>
  <si>
    <t>Same as 15613-E0030</t>
  </si>
  <si>
    <t>71.49 new price Aug 15,2024</t>
  </si>
  <si>
    <t>Service Cost</t>
  </si>
  <si>
    <t>P648156 / P634517</t>
  </si>
  <si>
    <t>P181099 / P182099</t>
  </si>
  <si>
    <t>P181015</t>
  </si>
  <si>
    <t>P522926</t>
  </si>
  <si>
    <t>P821883</t>
  </si>
  <si>
    <t>PP150695</t>
  </si>
  <si>
    <t>P522993</t>
  </si>
  <si>
    <t>P614222</t>
  </si>
  <si>
    <t>Oil Sale</t>
  </si>
  <si>
    <t>Pr Ltr</t>
  </si>
  <si>
    <t>%</t>
  </si>
  <si>
    <t>Margin</t>
  </si>
  <si>
    <t>AD</t>
  </si>
  <si>
    <t xml:space="preserve">Per Ltr </t>
  </si>
  <si>
    <t>On Service</t>
  </si>
  <si>
    <t>Sale Price</t>
  </si>
  <si>
    <t>Charge</t>
  </si>
  <si>
    <t>KFT313</t>
  </si>
  <si>
    <t>Break Cleaner</t>
  </si>
  <si>
    <t>4040481C1</t>
  </si>
  <si>
    <t>4169395C1</t>
  </si>
  <si>
    <t>P583713</t>
  </si>
  <si>
    <t>P551005</t>
  </si>
  <si>
    <t>P550954</t>
  </si>
  <si>
    <t>Nanak Shahi ( 15W40 ) Det 60</t>
  </si>
  <si>
    <t>J &amp; J Trans ( T6 ) DD15</t>
  </si>
  <si>
    <t>2071607 Ont ( 15W40 ) ISX</t>
  </si>
  <si>
    <t>Same as # 24008818</t>
  </si>
  <si>
    <t>New 24633960</t>
  </si>
  <si>
    <t>E22-1008</t>
  </si>
  <si>
    <t xml:space="preserve">Paccar / Eaton Trans Plug </t>
  </si>
  <si>
    <t>J37-1007</t>
  </si>
  <si>
    <t>Power Stearing ( Paccar )</t>
  </si>
  <si>
    <t>355 in np</t>
  </si>
  <si>
    <t>84.97 in np</t>
  </si>
  <si>
    <t>52.99 in np</t>
  </si>
  <si>
    <t>13.04 in np</t>
  </si>
  <si>
    <t>10.85 in np</t>
  </si>
  <si>
    <t>91.96 in np</t>
  </si>
  <si>
    <t>check price</t>
  </si>
  <si>
    <t>32.80 in np</t>
  </si>
  <si>
    <t>7.46 in np</t>
  </si>
  <si>
    <t>114.26 in np</t>
  </si>
  <si>
    <t>96.44 in np</t>
  </si>
  <si>
    <t>Not in List</t>
  </si>
  <si>
    <t>Cummins ISX / X12 / 15</t>
  </si>
  <si>
    <t>LF14000</t>
  </si>
  <si>
    <t>QTL1010</t>
  </si>
  <si>
    <t>QTL1011</t>
  </si>
  <si>
    <t>FF5825</t>
  </si>
  <si>
    <t>FF5971</t>
  </si>
  <si>
    <t>FF4212800</t>
  </si>
  <si>
    <t>Jan 13,2025</t>
  </si>
  <si>
    <t>If only Fuel Filter</t>
  </si>
  <si>
    <t>If only Fuel filter</t>
  </si>
  <si>
    <t>Same As FS19765</t>
  </si>
  <si>
    <t>A0001485007</t>
  </si>
  <si>
    <t>Same as A0000905051</t>
  </si>
  <si>
    <t>Same as A0001485007</t>
  </si>
  <si>
    <t>FS20385</t>
  </si>
  <si>
    <t>old</t>
  </si>
  <si>
    <t>Diff</t>
  </si>
  <si>
    <t>9M2342</t>
  </si>
  <si>
    <t>Fuel Strainer Filter</t>
  </si>
  <si>
    <t>Oil MHSW</t>
  </si>
  <si>
    <t>4.30     Oil</t>
  </si>
  <si>
    <t>4  Filter MHSW</t>
  </si>
  <si>
    <t>3  Filter MHSW</t>
  </si>
  <si>
    <t>Regular 4 oil Fuel  0372</t>
  </si>
  <si>
    <t>Regular 4 oil Fuel  0469</t>
  </si>
  <si>
    <t>New 3 Fuel</t>
  </si>
  <si>
    <t>Fro</t>
  </si>
  <si>
    <t>A4720920908</t>
  </si>
  <si>
    <t>Fuel Filter Cover ( 1705 )</t>
  </si>
  <si>
    <t>A0004700892</t>
  </si>
  <si>
    <t>A0039904817</t>
  </si>
  <si>
    <t>DT12 Filling Plug</t>
  </si>
  <si>
    <t>AF25139M</t>
  </si>
  <si>
    <t>AF26163M</t>
  </si>
  <si>
    <t>AF26113</t>
  </si>
  <si>
    <t>FS1242</t>
  </si>
  <si>
    <t>FS20194</t>
  </si>
  <si>
    <t>LF16368</t>
  </si>
  <si>
    <t>LF3586</t>
  </si>
  <si>
    <t>WF2187</t>
  </si>
  <si>
    <t>257004-464</t>
  </si>
  <si>
    <t>ATFD3MC12</t>
  </si>
  <si>
    <t>1250L 1286W</t>
  </si>
  <si>
    <t>Dill Plug Male With Washer</t>
  </si>
  <si>
    <t>328-2266</t>
  </si>
  <si>
    <t>ISB Plug</t>
  </si>
  <si>
    <t>Breather &amp; Tube Spicer</t>
  </si>
  <si>
    <t>X12 Plug</t>
  </si>
  <si>
    <t>P551047</t>
  </si>
  <si>
    <t>Same as FS1007</t>
  </si>
  <si>
    <t>P644827</t>
  </si>
  <si>
    <t>Same as 2277235PE</t>
  </si>
  <si>
    <t>2277235PE</t>
  </si>
  <si>
    <t>FS20260</t>
  </si>
  <si>
    <t>Replace  21376707</t>
  </si>
  <si>
    <t>New  24472550</t>
  </si>
  <si>
    <t>With</t>
  </si>
  <si>
    <t>Drum</t>
  </si>
  <si>
    <t>Sell</t>
  </si>
  <si>
    <t>112630N1-IH</t>
  </si>
  <si>
    <t>2523693C92-IH</t>
  </si>
  <si>
    <t>500010120P</t>
  </si>
  <si>
    <t>FF5995</t>
  </si>
  <si>
    <t>International S13</t>
  </si>
  <si>
    <t>2523693C92</t>
  </si>
  <si>
    <t>112630N1</t>
  </si>
  <si>
    <t>P544243</t>
  </si>
  <si>
    <t>International Vista</t>
  </si>
  <si>
    <t>Price Diff</t>
  </si>
  <si>
    <t>Cost Diff</t>
  </si>
  <si>
    <t>Profit %</t>
  </si>
  <si>
    <t>Cost %</t>
  </si>
  <si>
    <t>Last Month</t>
  </si>
  <si>
    <t>Profit Diff</t>
  </si>
  <si>
    <t>Petro</t>
  </si>
  <si>
    <t>15W40 ( Duron )</t>
  </si>
  <si>
    <t>DHP15BLK</t>
  </si>
  <si>
    <t>10W30 ( Duron SHP )</t>
  </si>
  <si>
    <t>10W30 ( UHP )</t>
  </si>
  <si>
    <t>DSHP13BLK</t>
  </si>
  <si>
    <t>DUHP13BLK</t>
  </si>
  <si>
    <t>Full Synthetic</t>
  </si>
  <si>
    <t>DUHP53BLK</t>
  </si>
  <si>
    <t>Petro 5W30</t>
  </si>
  <si>
    <t>Petro 5W30 Gallon</t>
  </si>
  <si>
    <t>Petro 10W30</t>
  </si>
  <si>
    <t>Petro SYN</t>
  </si>
  <si>
    <t xml:space="preserve">Petro </t>
  </si>
  <si>
    <t>Jan 1,2026</t>
  </si>
  <si>
    <t>Fleetguard  and OEM Price</t>
  </si>
  <si>
    <t>Need Price Update</t>
  </si>
  <si>
    <t>Temp</t>
  </si>
  <si>
    <t>1873917C91</t>
  </si>
  <si>
    <t>Air Filter ( Spin On )</t>
  </si>
  <si>
    <t>Dec 30,2025</t>
  </si>
  <si>
    <t>802 90281S1</t>
  </si>
  <si>
    <t>N14 Plug Washer</t>
  </si>
  <si>
    <t>142784S</t>
  </si>
  <si>
    <t>204163S</t>
  </si>
  <si>
    <t>3833198S</t>
  </si>
  <si>
    <t>3833199S</t>
  </si>
  <si>
    <t>3833200S</t>
  </si>
  <si>
    <t>3948395S</t>
  </si>
  <si>
    <t>B40150</t>
  </si>
  <si>
    <t>New Add Jan 2026</t>
  </si>
  <si>
    <t>167.78 org pprice</t>
  </si>
  <si>
    <t>AF1651</t>
  </si>
  <si>
    <t>LF17539</t>
  </si>
  <si>
    <t>Compressor Air Filter</t>
  </si>
  <si>
    <t>RK61680</t>
  </si>
  <si>
    <t>Sep Bowl Wrench</t>
  </si>
  <si>
    <t>SYN</t>
  </si>
  <si>
    <t>Need to check price in napanee</t>
  </si>
  <si>
    <t>A0000905251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</si>
</sst>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mmm\-dd\-yyyy"/>
  </numFmts>
  <fonts count="3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rgb="FFFF0000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name val="Times New Roman"/>
      <family val="2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2"/>
    </font>
    <font>
      <sz val="1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2"/>
    </font>
    <font>
      <sz val="11"/>
      <color theme="1"/>
      <name val="Times New Roman"/>
      <family val="1"/>
    </font>
    <font>
      <b/>
      <sz val="13"/>
      <color rgb="FF00B0F0"/>
      <name val="Calibri"/>
      <family val="2"/>
      <scheme val="minor"/>
    </font>
    <font>
      <sz val="10"/>
      <color theme="7" tint="0.79998168889431442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47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wrapText="1"/>
    </xf>
    <xf numFmtId="0" fontId="3" fillId="0" borderId="0" xfId="0" applyFont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2" fillId="0" borderId="2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2" fontId="6" fillId="0" borderId="0" xfId="0" applyNumberFormat="1" applyFont="1"/>
    <xf numFmtId="0" fontId="8" fillId="0" borderId="0" xfId="0" applyFont="1"/>
    <xf numFmtId="0" fontId="6" fillId="0" borderId="0" xfId="0" applyFont="1"/>
    <xf numFmtId="0" fontId="1" fillId="0" borderId="0" xfId="0" applyFont="1"/>
    <xf numFmtId="2" fontId="1" fillId="0" borderId="0" xfId="0" applyNumberFormat="1" applyFont="1"/>
    <xf numFmtId="0" fontId="0" fillId="9" borderId="0" xfId="0" applyFill="1" applyAlignment="1">
      <alignment horizontal="center" wrapText="1"/>
    </xf>
    <xf numFmtId="2" fontId="9" fillId="0" borderId="0" xfId="0" applyNumberFormat="1" applyFont="1"/>
    <xf numFmtId="0" fontId="0" fillId="0" borderId="7" xfId="0" applyBorder="1"/>
    <xf numFmtId="0" fontId="3" fillId="0" borderId="7" xfId="0" applyFont="1" applyBorder="1"/>
    <xf numFmtId="2" fontId="0" fillId="0" borderId="7" xfId="0" applyNumberFormat="1" applyBorder="1"/>
    <xf numFmtId="1" fontId="3" fillId="0" borderId="7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2" fontId="1" fillId="0" borderId="7" xfId="0" applyNumberFormat="1" applyFont="1" applyBorder="1"/>
    <xf numFmtId="0" fontId="1" fillId="0" borderId="7" xfId="0" applyFont="1" applyBorder="1"/>
    <xf numFmtId="0" fontId="6" fillId="0" borderId="7" xfId="0" applyFont="1" applyBorder="1"/>
    <xf numFmtId="2" fontId="6" fillId="0" borderId="7" xfId="0" applyNumberFormat="1" applyFont="1" applyBorder="1"/>
    <xf numFmtId="0" fontId="9" fillId="0" borderId="7" xfId="0" applyFont="1" applyBorder="1"/>
    <xf numFmtId="1" fontId="9" fillId="0" borderId="7" xfId="0" applyNumberFormat="1" applyFont="1" applyBorder="1" applyAlignment="1">
      <alignment horizontal="left"/>
    </xf>
    <xf numFmtId="0" fontId="9" fillId="0" borderId="0" xfId="0" applyFont="1"/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  <xf numFmtId="0" fontId="14" fillId="0" borderId="0" xfId="0" applyFont="1"/>
    <xf numFmtId="2" fontId="14" fillId="0" borderId="0" xfId="0" applyNumberFormat="1" applyFont="1"/>
    <xf numFmtId="2" fontId="10" fillId="0" borderId="0" xfId="0" applyNumberFormat="1" applyFont="1"/>
    <xf numFmtId="0" fontId="19" fillId="0" borderId="0" xfId="0" applyFont="1"/>
    <xf numFmtId="2" fontId="16" fillId="0" borderId="0" xfId="0" applyNumberFormat="1" applyFont="1"/>
    <xf numFmtId="0" fontId="17" fillId="0" borderId="0" xfId="0" applyFont="1"/>
    <xf numFmtId="17" fontId="10" fillId="0" borderId="0" xfId="0" applyNumberFormat="1" applyFont="1"/>
    <xf numFmtId="2" fontId="13" fillId="0" borderId="0" xfId="0" applyNumberFormat="1" applyFont="1"/>
    <xf numFmtId="10" fontId="14" fillId="0" borderId="0" xfId="0" applyNumberFormat="1" applyFont="1"/>
    <xf numFmtId="10" fontId="10" fillId="0" borderId="0" xfId="0" applyNumberFormat="1" applyFont="1"/>
    <xf numFmtId="0" fontId="11" fillId="0" borderId="0" xfId="0" applyFont="1" applyAlignment="1">
      <alignment horizontal="center"/>
    </xf>
    <xf numFmtId="0" fontId="10" fillId="11" borderId="0" xfId="0" applyFont="1" applyFill="1"/>
    <xf numFmtId="0" fontId="14" fillId="11" borderId="0" xfId="0" applyFont="1" applyFill="1"/>
    <xf numFmtId="0" fontId="10" fillId="0" borderId="0" xfId="0" applyFont="1" applyAlignment="1">
      <alignment horizontal="center"/>
    </xf>
    <xf numFmtId="0" fontId="13" fillId="0" borderId="0" xfId="0" applyFont="1"/>
    <xf numFmtId="0" fontId="13" fillId="4" borderId="0" xfId="0" applyFont="1" applyFill="1"/>
    <xf numFmtId="0" fontId="13" fillId="5" borderId="0" xfId="0" applyFont="1" applyFill="1"/>
    <xf numFmtId="0" fontId="13" fillId="8" borderId="0" xfId="0" applyFont="1" applyFill="1"/>
    <xf numFmtId="0" fontId="13" fillId="7" borderId="0" xfId="0" applyFont="1" applyFill="1"/>
    <xf numFmtId="0" fontId="15" fillId="8" borderId="0" xfId="0" applyFont="1" applyFill="1"/>
    <xf numFmtId="0" fontId="15" fillId="4" borderId="0" xfId="0" applyFont="1" applyFill="1"/>
    <xf numFmtId="0" fontId="15" fillId="5" borderId="0" xfId="0" applyFont="1" applyFill="1"/>
    <xf numFmtId="0" fontId="10" fillId="0" borderId="0" xfId="0" applyFont="1" applyAlignment="1">
      <alignment wrapText="1"/>
    </xf>
    <xf numFmtId="0" fontId="12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10" borderId="12" xfId="0" applyFont="1" applyFill="1" applyBorder="1"/>
    <xf numFmtId="0" fontId="10" fillId="12" borderId="12" xfId="0" applyFont="1" applyFill="1" applyBorder="1"/>
    <xf numFmtId="2" fontId="10" fillId="10" borderId="12" xfId="0" applyNumberFormat="1" applyFont="1" applyFill="1" applyBorder="1"/>
    <xf numFmtId="2" fontId="10" fillId="12" borderId="12" xfId="0" applyNumberFormat="1" applyFont="1" applyFill="1" applyBorder="1"/>
    <xf numFmtId="0" fontId="0" fillId="0" borderId="0" xfId="0" applyAlignment="1">
      <alignment horizontal="center"/>
    </xf>
    <xf numFmtId="0" fontId="21" fillId="8" borderId="9" xfId="0" applyFont="1" applyFill="1" applyBorder="1"/>
    <xf numFmtId="0" fontId="21" fillId="4" borderId="9" xfId="0" applyFont="1" applyFill="1" applyBorder="1"/>
    <xf numFmtId="0" fontId="21" fillId="7" borderId="9" xfId="0" applyFont="1" applyFill="1" applyBorder="1"/>
    <xf numFmtId="0" fontId="21" fillId="8" borderId="8" xfId="0" applyFont="1" applyFill="1" applyBorder="1"/>
    <xf numFmtId="0" fontId="21" fillId="4" borderId="8" xfId="0" applyFont="1" applyFill="1" applyBorder="1"/>
    <xf numFmtId="0" fontId="21" fillId="7" borderId="8" xfId="0" applyFont="1" applyFill="1" applyBorder="1"/>
    <xf numFmtId="0" fontId="22" fillId="0" borderId="0" xfId="0" applyFont="1"/>
    <xf numFmtId="0" fontId="21" fillId="8" borderId="0" xfId="0" applyFont="1" applyFill="1"/>
    <xf numFmtId="0" fontId="21" fillId="4" borderId="0" xfId="0" applyFont="1" applyFill="1"/>
    <xf numFmtId="0" fontId="21" fillId="8" borderId="11" xfId="0" applyFont="1" applyFill="1" applyBorder="1"/>
    <xf numFmtId="0" fontId="21" fillId="4" borderId="11" xfId="0" applyFont="1" applyFill="1" applyBorder="1"/>
    <xf numFmtId="0" fontId="22" fillId="0" borderId="8" xfId="0" applyFont="1" applyBorder="1"/>
    <xf numFmtId="0" fontId="22" fillId="8" borderId="8" xfId="0" applyFont="1" applyFill="1" applyBorder="1"/>
    <xf numFmtId="0" fontId="22" fillId="4" borderId="8" xfId="0" applyFont="1" applyFill="1" applyBorder="1"/>
    <xf numFmtId="0" fontId="22" fillId="7" borderId="8" xfId="0" applyFont="1" applyFill="1" applyBorder="1"/>
    <xf numFmtId="0" fontId="22" fillId="7" borderId="9" xfId="0" applyFont="1" applyFill="1" applyBorder="1"/>
    <xf numFmtId="0" fontId="22" fillId="4" borderId="9" xfId="0" applyFont="1" applyFill="1" applyBorder="1"/>
    <xf numFmtId="0" fontId="22" fillId="8" borderId="0" xfId="0" applyFont="1" applyFill="1"/>
    <xf numFmtId="0" fontId="22" fillId="4" borderId="0" xfId="0" applyFont="1" applyFill="1"/>
    <xf numFmtId="0" fontId="22" fillId="7" borderId="0" xfId="0" applyFont="1" applyFill="1"/>
    <xf numFmtId="0" fontId="23" fillId="0" borderId="8" xfId="0" applyFont="1" applyBorder="1"/>
    <xf numFmtId="0" fontId="24" fillId="0" borderId="0" xfId="0" applyFont="1"/>
    <xf numFmtId="0" fontId="24" fillId="0" borderId="8" xfId="0" applyFont="1" applyBorder="1"/>
    <xf numFmtId="0" fontId="23" fillId="0" borderId="0" xfId="0" applyFont="1"/>
    <xf numFmtId="0" fontId="21" fillId="0" borderId="9" xfId="0" applyFont="1" applyBorder="1"/>
    <xf numFmtId="0" fontId="21" fillId="0" borderId="0" xfId="0" applyFont="1"/>
    <xf numFmtId="0" fontId="22" fillId="0" borderId="11" xfId="0" applyFont="1" applyBorder="1"/>
    <xf numFmtId="0" fontId="21" fillId="0" borderId="8" xfId="0" applyFont="1" applyBorder="1"/>
    <xf numFmtId="0" fontId="22" fillId="8" borderId="9" xfId="0" applyFont="1" applyFill="1" applyBorder="1"/>
    <xf numFmtId="0" fontId="22" fillId="8" borderId="11" xfId="0" applyFont="1" applyFill="1" applyBorder="1"/>
    <xf numFmtId="0" fontId="22" fillId="4" borderId="11" xfId="0" applyFont="1" applyFill="1" applyBorder="1"/>
    <xf numFmtId="0" fontId="22" fillId="7" borderId="11" xfId="0" applyFont="1" applyFill="1" applyBorder="1"/>
    <xf numFmtId="0" fontId="23" fillId="0" borderId="9" xfId="0" applyFont="1" applyBorder="1"/>
    <xf numFmtId="0" fontId="10" fillId="13" borderId="0" xfId="0" applyFont="1" applyFill="1"/>
    <xf numFmtId="0" fontId="0" fillId="13" borderId="0" xfId="0" applyFill="1"/>
    <xf numFmtId="0" fontId="15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0" fillId="0" borderId="13" xfId="0" applyFont="1" applyBorder="1"/>
    <xf numFmtId="0" fontId="10" fillId="0" borderId="8" xfId="0" applyFont="1" applyBorder="1"/>
    <xf numFmtId="2" fontId="10" fillId="0" borderId="8" xfId="0" applyNumberFormat="1" applyFont="1" applyBorder="1"/>
    <xf numFmtId="10" fontId="10" fillId="0" borderId="8" xfId="0" applyNumberFormat="1" applyFont="1" applyBorder="1"/>
    <xf numFmtId="10" fontId="10" fillId="0" borderId="10" xfId="0" applyNumberFormat="1" applyFont="1" applyBorder="1"/>
    <xf numFmtId="0" fontId="10" fillId="15" borderId="0" xfId="0" applyFont="1" applyFill="1" applyAlignment="1">
      <alignment horizontal="center" wrapText="1"/>
    </xf>
    <xf numFmtId="0" fontId="10" fillId="10" borderId="0" xfId="0" applyFont="1" applyFill="1" applyAlignment="1">
      <alignment horizontal="center" wrapText="1"/>
    </xf>
    <xf numFmtId="0" fontId="10" fillId="14" borderId="0" xfId="0" applyFont="1" applyFill="1" applyAlignment="1">
      <alignment horizontal="center" wrapText="1"/>
    </xf>
    <xf numFmtId="2" fontId="10" fillId="0" borderId="0" xfId="0" applyNumberFormat="1" applyFont="1" applyAlignment="1">
      <alignment horizontal="center"/>
    </xf>
    <xf numFmtId="0" fontId="25" fillId="16" borderId="0" xfId="0" applyFont="1" applyFill="1" applyAlignment="1">
      <alignment horizontal="center" wrapText="1"/>
    </xf>
    <xf numFmtId="0" fontId="10" fillId="16" borderId="0" xfId="0" applyFont="1" applyFill="1"/>
    <xf numFmtId="2" fontId="10" fillId="16" borderId="0" xfId="0" applyNumberFormat="1" applyFont="1" applyFill="1" applyAlignment="1">
      <alignment horizontal="center"/>
    </xf>
    <xf numFmtId="2" fontId="25" fillId="16" borderId="0" xfId="0" applyNumberFormat="1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 wrapText="1"/>
    </xf>
    <xf numFmtId="0" fontId="26" fillId="0" borderId="0" xfId="0" applyFont="1" applyAlignment="1">
      <alignment horizontal="center" wrapText="1"/>
    </xf>
    <xf numFmtId="2" fontId="25" fillId="0" borderId="0" xfId="0" applyNumberFormat="1" applyFont="1" applyAlignment="1">
      <alignment horizontal="center"/>
    </xf>
    <xf numFmtId="0" fontId="0" fillId="0" borderId="8" xfId="0" applyBorder="1"/>
    <xf numFmtId="0" fontId="3" fillId="0" borderId="8" xfId="0" applyFont="1" applyBorder="1"/>
    <xf numFmtId="2" fontId="11" fillId="0" borderId="0" xfId="0" applyNumberFormat="1" applyFont="1" applyAlignment="1">
      <alignment horizontal="center"/>
    </xf>
    <xf numFmtId="2" fontId="26" fillId="0" borderId="0" xfId="0" applyNumberFormat="1" applyFont="1"/>
    <xf numFmtId="2" fontId="1" fillId="0" borderId="8" xfId="0" applyNumberFormat="1" applyFont="1" applyBorder="1"/>
    <xf numFmtId="1" fontId="3" fillId="0" borderId="8" xfId="0" applyNumberFormat="1" applyFont="1" applyBorder="1" applyAlignment="1">
      <alignment horizontal="left"/>
    </xf>
    <xf numFmtId="2" fontId="0" fillId="0" borderId="8" xfId="0" applyNumberFormat="1" applyBorder="1"/>
    <xf numFmtId="0" fontId="1" fillId="0" borderId="8" xfId="0" applyFont="1" applyBorder="1"/>
    <xf numFmtId="1" fontId="9" fillId="0" borderId="8" xfId="0" applyNumberFormat="1" applyFont="1" applyBorder="1" applyAlignment="1">
      <alignment horizontal="left"/>
    </xf>
    <xf numFmtId="2" fontId="0" fillId="0" borderId="9" xfId="0" applyNumberFormat="1" applyBorder="1"/>
    <xf numFmtId="2" fontId="0" fillId="0" borderId="11" xfId="0" applyNumberFormat="1" applyBorder="1"/>
    <xf numFmtId="0" fontId="3" fillId="0" borderId="8" xfId="0" applyFont="1" applyBorder="1" applyAlignment="1">
      <alignment horizontal="left"/>
    </xf>
    <xf numFmtId="0" fontId="1" fillId="0" borderId="11" xfId="0" applyFont="1" applyBorder="1"/>
    <xf numFmtId="0" fontId="9" fillId="0" borderId="11" xfId="0" applyFont="1" applyBorder="1"/>
    <xf numFmtId="2" fontId="1" fillId="0" borderId="11" xfId="0" applyNumberFormat="1" applyFont="1" applyBorder="1"/>
    <xf numFmtId="0" fontId="9" fillId="0" borderId="8" xfId="0" applyFont="1" applyBorder="1"/>
    <xf numFmtId="0" fontId="0" fillId="0" borderId="9" xfId="0" applyBorder="1"/>
    <xf numFmtId="0" fontId="9" fillId="0" borderId="8" xfId="0" applyFont="1" applyBorder="1" applyAlignment="1">
      <alignment horizontal="left"/>
    </xf>
    <xf numFmtId="0" fontId="1" fillId="0" borderId="9" xfId="0" applyFont="1" applyBorder="1"/>
    <xf numFmtId="0" fontId="0" fillId="0" borderId="11" xfId="0" applyBorder="1"/>
    <xf numFmtId="0" fontId="3" fillId="0" borderId="11" xfId="0" applyFont="1" applyBorder="1"/>
    <xf numFmtId="0" fontId="2" fillId="9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16" fillId="0" borderId="0" xfId="0" applyFont="1"/>
    <xf numFmtId="0" fontId="3" fillId="0" borderId="11" xfId="0" applyFont="1" applyBorder="1" applyAlignment="1">
      <alignment horizontal="left"/>
    </xf>
    <xf numFmtId="0" fontId="16" fillId="0" borderId="8" xfId="0" applyFont="1" applyBorder="1"/>
    <xf numFmtId="0" fontId="14" fillId="0" borderId="8" xfId="0" applyFont="1" applyBorder="1"/>
    <xf numFmtId="0" fontId="28" fillId="0" borderId="0" xfId="0" applyFont="1" applyAlignment="1">
      <alignment horizontal="left"/>
    </xf>
    <xf numFmtId="0" fontId="6" fillId="0" borderId="8" xfId="0" applyFont="1" applyBorder="1"/>
    <xf numFmtId="0" fontId="26" fillId="17" borderId="14" xfId="0" applyFont="1" applyFill="1" applyBorder="1"/>
    <xf numFmtId="2" fontId="25" fillId="17" borderId="15" xfId="0" applyNumberFormat="1" applyFont="1" applyFill="1" applyBorder="1" applyAlignment="1">
      <alignment horizontal="center"/>
    </xf>
    <xf numFmtId="2" fontId="10" fillId="17" borderId="15" xfId="0" applyNumberFormat="1" applyFont="1" applyFill="1" applyBorder="1" applyAlignment="1">
      <alignment horizontal="center"/>
    </xf>
    <xf numFmtId="2" fontId="10" fillId="17" borderId="15" xfId="0" applyNumberFormat="1" applyFont="1" applyFill="1" applyBorder="1"/>
    <xf numFmtId="2" fontId="10" fillId="17" borderId="16" xfId="0" applyNumberFormat="1" applyFont="1" applyFill="1" applyBorder="1"/>
    <xf numFmtId="0" fontId="10" fillId="17" borderId="14" xfId="0" applyFont="1" applyFill="1" applyBorder="1"/>
    <xf numFmtId="0" fontId="25" fillId="17" borderId="15" xfId="0" applyFont="1" applyFill="1" applyBorder="1" applyAlignment="1">
      <alignment horizontal="center"/>
    </xf>
    <xf numFmtId="0" fontId="10" fillId="17" borderId="15" xfId="0" applyFont="1" applyFill="1" applyBorder="1" applyAlignment="1">
      <alignment horizontal="center"/>
    </xf>
    <xf numFmtId="0" fontId="10" fillId="17" borderId="15" xfId="0" applyFont="1" applyFill="1" applyBorder="1"/>
    <xf numFmtId="0" fontId="10" fillId="17" borderId="16" xfId="0" applyFont="1" applyFill="1" applyBorder="1"/>
    <xf numFmtId="0" fontId="5" fillId="0" borderId="8" xfId="0" applyFont="1" applyBorder="1" applyAlignment="1">
      <alignment horizontal="left"/>
    </xf>
    <xf numFmtId="0" fontId="10" fillId="10" borderId="0" xfId="0" applyFont="1" applyFill="1"/>
    <xf numFmtId="164" fontId="25" fillId="0" borderId="0" xfId="0" applyNumberFormat="1" applyFont="1"/>
    <xf numFmtId="2" fontId="21" fillId="4" borderId="9" xfId="0" applyNumberFormat="1" applyFont="1" applyFill="1" applyBorder="1"/>
    <xf numFmtId="2" fontId="21" fillId="4" borderId="8" xfId="0" applyNumberFormat="1" applyFont="1" applyFill="1" applyBorder="1"/>
    <xf numFmtId="2" fontId="22" fillId="0" borderId="11" xfId="0" applyNumberFormat="1" applyFont="1" applyBorder="1"/>
    <xf numFmtId="2" fontId="22" fillId="4" borderId="8" xfId="0" applyNumberFormat="1" applyFont="1" applyFill="1" applyBorder="1"/>
    <xf numFmtId="2" fontId="22" fillId="4" borderId="11" xfId="0" applyNumberFormat="1" applyFont="1" applyFill="1" applyBorder="1"/>
    <xf numFmtId="2" fontId="22" fillId="0" borderId="0" xfId="0" applyNumberFormat="1" applyFont="1"/>
    <xf numFmtId="2" fontId="22" fillId="4" borderId="0" xfId="0" applyNumberFormat="1" applyFont="1" applyFill="1"/>
    <xf numFmtId="2" fontId="21" fillId="4" borderId="0" xfId="0" applyNumberFormat="1" applyFont="1" applyFill="1"/>
    <xf numFmtId="2" fontId="21" fillId="4" borderId="11" xfId="0" applyNumberFormat="1" applyFont="1" applyFill="1" applyBorder="1"/>
    <xf numFmtId="2" fontId="22" fillId="0" borderId="8" xfId="0" applyNumberFormat="1" applyFont="1" applyBorder="1"/>
    <xf numFmtId="2" fontId="22" fillId="4" borderId="9" xfId="0" applyNumberFormat="1" applyFont="1" applyFill="1" applyBorder="1"/>
    <xf numFmtId="2" fontId="21" fillId="5" borderId="8" xfId="0" applyNumberFormat="1" applyFont="1" applyFill="1" applyBorder="1"/>
    <xf numFmtId="2" fontId="21" fillId="5" borderId="0" xfId="0" applyNumberFormat="1" applyFont="1" applyFill="1"/>
    <xf numFmtId="2" fontId="22" fillId="5" borderId="0" xfId="0" applyNumberFormat="1" applyFont="1" applyFill="1"/>
    <xf numFmtId="2" fontId="22" fillId="5" borderId="8" xfId="0" applyNumberFormat="1" applyFont="1" applyFill="1" applyBorder="1"/>
    <xf numFmtId="0" fontId="11" fillId="0" borderId="0" xfId="0" applyFont="1" applyAlignment="1">
      <alignment horizontal="left"/>
    </xf>
    <xf numFmtId="2" fontId="1" fillId="0" borderId="9" xfId="0" applyNumberFormat="1" applyFont="1" applyBorder="1"/>
    <xf numFmtId="0" fontId="8" fillId="0" borderId="8" xfId="0" applyFont="1" applyBorder="1"/>
    <xf numFmtId="2" fontId="6" fillId="0" borderId="8" xfId="0" applyNumberFormat="1" applyFont="1" applyBorder="1"/>
    <xf numFmtId="0" fontId="7" fillId="0" borderId="8" xfId="0" applyFont="1" applyBorder="1"/>
    <xf numFmtId="0" fontId="27" fillId="0" borderId="8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0" borderId="8" xfId="0" applyFont="1" applyBorder="1" applyAlignment="1">
      <alignment horizontal="left"/>
    </xf>
    <xf numFmtId="0" fontId="30" fillId="0" borderId="0" xfId="0" applyFont="1"/>
    <xf numFmtId="0" fontId="10" fillId="0" borderId="1" xfId="0" applyFont="1" applyBorder="1"/>
    <xf numFmtId="0" fontId="10" fillId="0" borderId="9" xfId="0" applyFont="1" applyBorder="1"/>
    <xf numFmtId="2" fontId="10" fillId="0" borderId="9" xfId="0" applyNumberFormat="1" applyFont="1" applyBorder="1"/>
    <xf numFmtId="10" fontId="10" fillId="0" borderId="9" xfId="0" applyNumberFormat="1" applyFont="1" applyBorder="1"/>
    <xf numFmtId="10" fontId="10" fillId="0" borderId="3" xfId="0" applyNumberFormat="1" applyFont="1" applyBorder="1"/>
    <xf numFmtId="2" fontId="14" fillId="0" borderId="8" xfId="0" applyNumberFormat="1" applyFont="1" applyBorder="1"/>
    <xf numFmtId="0" fontId="10" fillId="19" borderId="13" xfId="0" applyFont="1" applyFill="1" applyBorder="1"/>
    <xf numFmtId="0" fontId="10" fillId="19" borderId="8" xfId="0" applyFont="1" applyFill="1" applyBorder="1"/>
    <xf numFmtId="2" fontId="10" fillId="19" borderId="8" xfId="0" applyNumberFormat="1" applyFont="1" applyFill="1" applyBorder="1"/>
    <xf numFmtId="10" fontId="10" fillId="19" borderId="8" xfId="0" applyNumberFormat="1" applyFont="1" applyFill="1" applyBorder="1"/>
    <xf numFmtId="10" fontId="10" fillId="19" borderId="10" xfId="0" applyNumberFormat="1" applyFont="1" applyFill="1" applyBorder="1"/>
    <xf numFmtId="0" fontId="10" fillId="18" borderId="13" xfId="0" applyFont="1" applyFill="1" applyBorder="1"/>
    <xf numFmtId="0" fontId="10" fillId="18" borderId="8" xfId="0" applyFont="1" applyFill="1" applyBorder="1"/>
    <xf numFmtId="2" fontId="10" fillId="18" borderId="8" xfId="0" applyNumberFormat="1" applyFont="1" applyFill="1" applyBorder="1"/>
    <xf numFmtId="10" fontId="10" fillId="18" borderId="8" xfId="0" applyNumberFormat="1" applyFont="1" applyFill="1" applyBorder="1"/>
    <xf numFmtId="10" fontId="10" fillId="18" borderId="10" xfId="0" applyNumberFormat="1" applyFont="1" applyFill="1" applyBorder="1"/>
    <xf numFmtId="0" fontId="0" fillId="13" borderId="0" xfId="0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2" fontId="6" fillId="3" borderId="7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2" fontId="6" fillId="3" borderId="11" xfId="0" applyNumberFormat="1" applyFont="1" applyFill="1" applyBorder="1" applyAlignment="1">
      <alignment horizontal="center"/>
    </xf>
    <xf numFmtId="2" fontId="1" fillId="3" borderId="9" xfId="0" applyNumberFormat="1" applyFon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2" fontId="1" fillId="8" borderId="7" xfId="0" applyNumberFormat="1" applyFon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8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2" fontId="1" fillId="8" borderId="0" xfId="0" applyNumberFormat="1" applyFont="1" applyFill="1" applyAlignment="1">
      <alignment horizontal="center"/>
    </xf>
    <xf numFmtId="2" fontId="1" fillId="8" borderId="8" xfId="0" applyNumberFormat="1" applyFont="1" applyFill="1" applyBorder="1" applyAlignment="1">
      <alignment horizontal="center"/>
    </xf>
    <xf numFmtId="2" fontId="1" fillId="8" borderId="11" xfId="0" applyNumberFormat="1" applyFont="1" applyFill="1" applyBorder="1" applyAlignment="1">
      <alignment horizontal="center"/>
    </xf>
    <xf numFmtId="2" fontId="6" fillId="8" borderId="0" xfId="0" applyNumberFormat="1" applyFont="1" applyFill="1" applyAlignment="1">
      <alignment horizontal="center"/>
    </xf>
    <xf numFmtId="0" fontId="0" fillId="8" borderId="7" xfId="0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2" fontId="6" fillId="8" borderId="7" xfId="0" applyNumberFormat="1" applyFont="1" applyFill="1" applyBorder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2" fontId="6" fillId="8" borderId="8" xfId="0" applyNumberFormat="1" applyFont="1" applyFill="1" applyBorder="1" applyAlignment="1">
      <alignment horizontal="center"/>
    </xf>
    <xf numFmtId="2" fontId="6" fillId="8" borderId="9" xfId="0" applyNumberFormat="1" applyFon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6" borderId="0" xfId="0" applyNumberFormat="1" applyFont="1" applyFill="1" applyAlignment="1">
      <alignment horizontal="center"/>
    </xf>
    <xf numFmtId="2" fontId="0" fillId="6" borderId="9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1" fillId="6" borderId="7" xfId="0" applyNumberFormat="1" applyFont="1" applyFill="1" applyBorder="1" applyAlignment="1">
      <alignment horizontal="center"/>
    </xf>
    <xf numFmtId="2" fontId="6" fillId="6" borderId="8" xfId="0" applyNumberFormat="1" applyFont="1" applyFill="1" applyBorder="1" applyAlignment="1">
      <alignment horizontal="center"/>
    </xf>
    <xf numFmtId="2" fontId="6" fillId="6" borderId="0" xfId="0" applyNumberFormat="1" applyFont="1" applyFill="1" applyAlignment="1">
      <alignment horizontal="center"/>
    </xf>
    <xf numFmtId="2" fontId="6" fillId="6" borderId="7" xfId="0" applyNumberFormat="1" applyFont="1" applyFill="1" applyBorder="1" applyAlignment="1">
      <alignment horizontal="center"/>
    </xf>
    <xf numFmtId="2" fontId="1" fillId="6" borderId="11" xfId="0" applyNumberFormat="1" applyFont="1" applyFill="1" applyBorder="1" applyAlignment="1">
      <alignment horizontal="center"/>
    </xf>
    <xf numFmtId="2" fontId="6" fillId="6" borderId="9" xfId="0" applyNumberFormat="1" applyFont="1" applyFill="1" applyBorder="1" applyAlignment="1">
      <alignment horizontal="center"/>
    </xf>
    <xf numFmtId="2" fontId="1" fillId="6" borderId="9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2" fontId="0" fillId="8" borderId="9" xfId="0" applyNumberFormat="1" applyFill="1" applyBorder="1" applyAlignment="1">
      <alignment horizontal="center"/>
    </xf>
    <xf numFmtId="0" fontId="4" fillId="0" borderId="8" xfId="0" applyFont="1" applyBorder="1"/>
    <xf numFmtId="2" fontId="0" fillId="6" borderId="11" xfId="0" applyNumberFormat="1" applyFill="1" applyBorder="1" applyAlignment="1">
      <alignment horizontal="center"/>
    </xf>
    <xf numFmtId="0" fontId="28" fillId="0" borderId="0" xfId="0" applyFont="1"/>
    <xf numFmtId="2" fontId="0" fillId="0" borderId="0" xfId="1" applyNumberFormat="1" applyFont="1" applyFill="1"/>
    <xf numFmtId="2" fontId="6" fillId="0" borderId="0" xfId="1" applyNumberFormat="1" applyFont="1" applyFill="1"/>
    <xf numFmtId="0" fontId="0" fillId="21" borderId="0" xfId="0" applyFill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6" fillId="21" borderId="0" xfId="0" applyFont="1" applyFill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21" borderId="0" xfId="0" applyFont="1" applyFill="1" applyAlignment="1">
      <alignment horizontal="center"/>
    </xf>
    <xf numFmtId="0" fontId="6" fillId="21" borderId="8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left"/>
    </xf>
    <xf numFmtId="0" fontId="10" fillId="20" borderId="0" xfId="0" applyFont="1" applyFill="1"/>
    <xf numFmtId="2" fontId="10" fillId="20" borderId="0" xfId="0" applyNumberFormat="1" applyFont="1" applyFill="1"/>
    <xf numFmtId="0" fontId="10" fillId="22" borderId="0" xfId="0" applyFont="1" applyFill="1"/>
    <xf numFmtId="2" fontId="10" fillId="22" borderId="0" xfId="0" applyNumberFormat="1" applyFont="1" applyFill="1"/>
    <xf numFmtId="10" fontId="10" fillId="22" borderId="0" xfId="0" applyNumberFormat="1" applyFont="1" applyFill="1"/>
    <xf numFmtId="10" fontId="10" fillId="22" borderId="10" xfId="0" applyNumberFormat="1" applyFont="1" applyFill="1" applyBorder="1"/>
    <xf numFmtId="0" fontId="10" fillId="22" borderId="13" xfId="0" applyFont="1" applyFill="1" applyBorder="1"/>
    <xf numFmtId="0" fontId="10" fillId="22" borderId="8" xfId="0" applyFont="1" applyFill="1" applyBorder="1"/>
    <xf numFmtId="2" fontId="10" fillId="22" borderId="8" xfId="0" applyNumberFormat="1" applyFont="1" applyFill="1" applyBorder="1"/>
    <xf numFmtId="10" fontId="10" fillId="22" borderId="8" xfId="0" applyNumberFormat="1" applyFont="1" applyFill="1" applyBorder="1"/>
    <xf numFmtId="2" fontId="10" fillId="0" borderId="11" xfId="0" applyNumberFormat="1" applyFont="1" applyBorder="1"/>
    <xf numFmtId="0" fontId="10" fillId="0" borderId="17" xfId="0" applyFont="1" applyBorder="1"/>
    <xf numFmtId="10" fontId="10" fillId="0" borderId="18" xfId="0" applyNumberFormat="1" applyFont="1" applyBorder="1"/>
    <xf numFmtId="0" fontId="10" fillId="20" borderId="19" xfId="0" applyFont="1" applyFill="1" applyBorder="1"/>
    <xf numFmtId="10" fontId="10" fillId="20" borderId="0" xfId="0" applyNumberFormat="1" applyFont="1" applyFill="1"/>
    <xf numFmtId="10" fontId="10" fillId="20" borderId="20" xfId="0" applyNumberFormat="1" applyFont="1" applyFill="1" applyBorder="1"/>
    <xf numFmtId="0" fontId="10" fillId="18" borderId="19" xfId="0" applyFont="1" applyFill="1" applyBorder="1"/>
    <xf numFmtId="0" fontId="10" fillId="18" borderId="0" xfId="0" applyFont="1" applyFill="1"/>
    <xf numFmtId="2" fontId="10" fillId="18" borderId="0" xfId="0" applyNumberFormat="1" applyFont="1" applyFill="1"/>
    <xf numFmtId="10" fontId="10" fillId="18" borderId="0" xfId="0" applyNumberFormat="1" applyFont="1" applyFill="1"/>
    <xf numFmtId="10" fontId="10" fillId="18" borderId="20" xfId="0" applyNumberFormat="1" applyFont="1" applyFill="1" applyBorder="1"/>
    <xf numFmtId="15" fontId="10" fillId="10" borderId="0" xfId="0" applyNumberFormat="1" applyFont="1" applyFill="1" applyAlignment="1">
      <alignment horizontal="left"/>
    </xf>
    <xf numFmtId="1" fontId="29" fillId="0" borderId="0" xfId="0" applyNumberFormat="1" applyFont="1" applyAlignment="1">
      <alignment horizontal="left"/>
    </xf>
    <xf numFmtId="0" fontId="3" fillId="0" borderId="9" xfId="0" applyFont="1" applyBorder="1"/>
    <xf numFmtId="1" fontId="3" fillId="0" borderId="11" xfId="0" applyNumberFormat="1" applyFont="1" applyBorder="1" applyAlignment="1">
      <alignment horizontal="left"/>
    </xf>
    <xf numFmtId="2" fontId="10" fillId="10" borderId="0" xfId="0" applyNumberFormat="1" applyFont="1" applyFill="1"/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9" fillId="0" borderId="9" xfId="0" applyFont="1" applyBorder="1"/>
    <xf numFmtId="1" fontId="9" fillId="0" borderId="9" xfId="0" applyNumberFormat="1" applyFont="1" applyBorder="1" applyAlignment="1">
      <alignment horizontal="left"/>
    </xf>
    <xf numFmtId="2" fontId="10" fillId="23" borderId="0" xfId="0" applyNumberFormat="1" applyFont="1" applyFill="1"/>
    <xf numFmtId="0" fontId="0" fillId="10" borderId="0" xfId="0" applyFill="1"/>
    <xf numFmtId="0" fontId="0" fillId="24" borderId="0" xfId="0" applyFill="1"/>
    <xf numFmtId="2" fontId="0" fillId="24" borderId="0" xfId="0" applyNumberFormat="1" applyFill="1"/>
    <xf numFmtId="0" fontId="0" fillId="20" borderId="0" xfId="0" applyFill="1"/>
    <xf numFmtId="2" fontId="0" fillId="20" borderId="0" xfId="0" applyNumberFormat="1" applyFill="1"/>
    <xf numFmtId="2" fontId="0" fillId="24" borderId="8" xfId="0" applyNumberFormat="1" applyFill="1" applyBorder="1"/>
    <xf numFmtId="2" fontId="0" fillId="20" borderId="8" xfId="0" applyNumberFormat="1" applyFill="1" applyBorder="1"/>
    <xf numFmtId="0" fontId="0" fillId="24" borderId="8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20" borderId="8" xfId="0" applyFill="1" applyBorder="1" applyAlignment="1">
      <alignment wrapText="1"/>
    </xf>
    <xf numFmtId="0" fontId="10" fillId="25" borderId="0" xfId="0" applyFont="1" applyFill="1"/>
    <xf numFmtId="17" fontId="33" fillId="0" borderId="0" xfId="0" applyNumberFormat="1" applyFont="1"/>
    <xf numFmtId="0" fontId="6" fillId="0" borderId="11" xfId="0" applyFont="1" applyBorder="1"/>
    <xf numFmtId="0" fontId="29" fillId="0" borderId="0" xfId="0" applyFont="1"/>
    <xf numFmtId="165" fontId="10" fillId="10" borderId="0" xfId="0" applyNumberFormat="1" applyFont="1" applyFill="1" applyAlignment="1">
      <alignment horizontal="left"/>
    </xf>
    <xf numFmtId="0" fontId="14" fillId="11" borderId="8" xfId="0" applyFont="1" applyFill="1" applyBorder="1"/>
    <xf numFmtId="0" fontId="10" fillId="11" borderId="8" xfId="0" applyFont="1" applyFill="1" applyBorder="1"/>
    <xf numFmtId="0" fontId="1" fillId="21" borderId="11" xfId="0" applyFont="1" applyFill="1" applyBorder="1" applyAlignment="1">
      <alignment horizontal="center"/>
    </xf>
    <xf numFmtId="10" fontId="0" fillId="0" borderId="0" xfId="0" applyNumberFormat="1"/>
    <xf numFmtId="2" fontId="10" fillId="21" borderId="8" xfId="0" applyNumberFormat="1" applyFont="1" applyFill="1" applyBorder="1"/>
    <xf numFmtId="2" fontId="10" fillId="26" borderId="8" xfId="0" applyNumberFormat="1" applyFont="1" applyFill="1" applyBorder="1"/>
    <xf numFmtId="2" fontId="34" fillId="18" borderId="8" xfId="0" applyNumberFormat="1" applyFont="1" applyFill="1" applyBorder="1"/>
    <xf numFmtId="2" fontId="25" fillId="0" borderId="8" xfId="0" applyNumberFormat="1" applyFont="1" applyBorder="1"/>
    <xf numFmtId="0" fontId="25" fillId="0" borderId="8" xfId="0" applyFont="1" applyBorder="1"/>
    <xf numFmtId="2" fontId="10" fillId="21" borderId="0" xfId="0" applyNumberFormat="1" applyFont="1" applyFill="1"/>
    <xf numFmtId="0" fontId="25" fillId="19" borderId="8" xfId="0" applyFont="1" applyFill="1" applyBorder="1"/>
    <xf numFmtId="2" fontId="6" fillId="0" borderId="11" xfId="0" applyNumberFormat="1" applyFont="1" applyBorder="1"/>
    <xf numFmtId="2" fontId="6" fillId="8" borderId="11" xfId="0" applyNumberFormat="1" applyFont="1" applyFill="1" applyBorder="1" applyAlignment="1">
      <alignment horizontal="center"/>
    </xf>
    <xf numFmtId="2" fontId="6" fillId="6" borderId="11" xfId="0" applyNumberFormat="1" applyFont="1" applyFill="1" applyBorder="1" applyAlignment="1">
      <alignment horizontal="center"/>
    </xf>
    <xf numFmtId="1" fontId="5" fillId="0" borderId="8" xfId="0" applyNumberFormat="1" applyFont="1" applyBorder="1" applyAlignment="1">
      <alignment horizontal="left"/>
    </xf>
    <xf numFmtId="2" fontId="13" fillId="10" borderId="0" xfId="0" applyNumberFormat="1" applyFont="1" applyFill="1"/>
    <xf numFmtId="0" fontId="0" fillId="12" borderId="0" xfId="0" applyFill="1"/>
    <xf numFmtId="2" fontId="3" fillId="10" borderId="0" xfId="0" applyNumberFormat="1" applyFont="1" applyFill="1"/>
    <xf numFmtId="0" fontId="14" fillId="0" borderId="0" xfId="0" applyFont="1" applyAlignment="1">
      <alignment horizontal="right"/>
    </xf>
    <xf numFmtId="2" fontId="0" fillId="12" borderId="0" xfId="0" applyNumberFormat="1" applyFill="1"/>
    <xf numFmtId="0" fontId="4" fillId="12" borderId="0" xfId="0" applyFont="1" applyFill="1"/>
    <xf numFmtId="0" fontId="5" fillId="12" borderId="0" xfId="0" applyFont="1" applyFill="1" applyAlignment="1">
      <alignment horizontal="left"/>
    </xf>
    <xf numFmtId="0" fontId="36" fillId="21" borderId="0" xfId="0" applyFont="1" applyFill="1" applyAlignment="1">
      <alignment horizontal="center" wrapText="1"/>
    </xf>
    <xf numFmtId="0" fontId="37" fillId="0" borderId="0" xfId="0" applyFont="1" applyAlignment="1">
      <alignment horizontal="center" wrapText="1"/>
    </xf>
    <xf numFmtId="0" fontId="37" fillId="8" borderId="0" xfId="0" applyFont="1" applyFill="1" applyAlignment="1">
      <alignment horizontal="center" wrapText="1"/>
    </xf>
    <xf numFmtId="0" fontId="37" fillId="3" borderId="0" xfId="0" applyFont="1" applyFill="1" applyAlignment="1">
      <alignment horizontal="center" wrapText="1"/>
    </xf>
    <xf numFmtId="1" fontId="5" fillId="0" borderId="11" xfId="0" applyNumberFormat="1" applyFont="1" applyBorder="1" applyAlignment="1">
      <alignment horizontal="left"/>
    </xf>
    <xf numFmtId="2" fontId="14" fillId="24" borderId="0" xfId="0" applyNumberFormat="1" applyFont="1" applyFill="1"/>
    <xf numFmtId="0" fontId="14" fillId="24" borderId="0" xfId="0" applyFont="1" applyFill="1"/>
    <xf numFmtId="0" fontId="10" fillId="24" borderId="0" xfId="0" applyFont="1" applyFill="1"/>
    <xf numFmtId="2" fontId="10" fillId="24" borderId="0" xfId="0" applyNumberFormat="1" applyFont="1" applyFill="1"/>
    <xf numFmtId="2" fontId="13" fillId="24" borderId="0" xfId="0" applyNumberFormat="1" applyFont="1" applyFill="1"/>
    <xf numFmtId="10" fontId="14" fillId="24" borderId="0" xfId="0" applyNumberFormat="1" applyFont="1" applyFill="1"/>
    <xf numFmtId="2" fontId="14" fillId="18" borderId="8" xfId="0" applyNumberFormat="1" applyFont="1" applyFill="1" applyBorder="1"/>
    <xf numFmtId="2" fontId="14" fillId="18" borderId="0" xfId="0" applyNumberFormat="1" applyFont="1" applyFill="1"/>
    <xf numFmtId="2" fontId="14" fillId="20" borderId="8" xfId="0" applyNumberFormat="1" applyFont="1" applyFill="1" applyBorder="1"/>
    <xf numFmtId="2" fontId="14" fillId="20" borderId="0" xfId="0" applyNumberFormat="1" applyFont="1" applyFill="1"/>
    <xf numFmtId="2" fontId="21" fillId="7" borderId="9" xfId="0" applyNumberFormat="1" applyFont="1" applyFill="1" applyBorder="1"/>
    <xf numFmtId="2" fontId="21" fillId="7" borderId="8" xfId="0" applyNumberFormat="1" applyFont="1" applyFill="1" applyBorder="1"/>
    <xf numFmtId="2" fontId="22" fillId="7" borderId="8" xfId="0" applyNumberFormat="1" applyFont="1" applyFill="1" applyBorder="1"/>
    <xf numFmtId="2" fontId="22" fillId="7" borderId="11" xfId="0" applyNumberFormat="1" applyFont="1" applyFill="1" applyBorder="1"/>
    <xf numFmtId="2" fontId="22" fillId="7" borderId="0" xfId="0" applyNumberFormat="1" applyFont="1" applyFill="1"/>
    <xf numFmtId="2" fontId="21" fillId="7" borderId="0" xfId="0" applyNumberFormat="1" applyFont="1" applyFill="1"/>
    <xf numFmtId="2" fontId="21" fillId="7" borderId="11" xfId="0" applyNumberFormat="1" applyFont="1" applyFill="1" applyBorder="1"/>
    <xf numFmtId="2" fontId="22" fillId="7" borderId="9" xfId="0" applyNumberFormat="1" applyFont="1" applyFill="1" applyBorder="1"/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3" fillId="21" borderId="0" xfId="0" applyFont="1" applyFill="1" applyAlignment="1">
      <alignment horizontal="center"/>
    </xf>
    <xf numFmtId="0" fontId="13" fillId="21" borderId="0" xfId="0" applyFont="1" applyFill="1"/>
    <xf numFmtId="0" fontId="21" fillId="21" borderId="9" xfId="0" applyFont="1" applyFill="1" applyBorder="1"/>
    <xf numFmtId="0" fontId="22" fillId="21" borderId="9" xfId="0" applyFont="1" applyFill="1" applyBorder="1"/>
    <xf numFmtId="0" fontId="22" fillId="21" borderId="8" xfId="0" applyFont="1" applyFill="1" applyBorder="1"/>
    <xf numFmtId="0" fontId="21" fillId="21" borderId="8" xfId="0" applyFont="1" applyFill="1" applyBorder="1"/>
    <xf numFmtId="0" fontId="10" fillId="27" borderId="0" xfId="0" applyFont="1" applyFill="1"/>
    <xf numFmtId="0" fontId="21" fillId="5" borderId="0" xfId="0" applyFont="1" applyFill="1"/>
    <xf numFmtId="0" fontId="22" fillId="5" borderId="0" xfId="0" applyFont="1" applyFill="1"/>
    <xf numFmtId="0" fontId="21" fillId="5" borderId="9" xfId="0" applyFont="1" applyFill="1" applyBorder="1"/>
    <xf numFmtId="0" fontId="21" fillId="5" borderId="11" xfId="0" applyFont="1" applyFill="1" applyBorder="1"/>
    <xf numFmtId="0" fontId="21" fillId="5" borderId="8" xfId="0" applyFont="1" applyFill="1" applyBorder="1"/>
    <xf numFmtId="0" fontId="22" fillId="5" borderId="8" xfId="0" applyFont="1" applyFill="1" applyBorder="1"/>
    <xf numFmtId="0" fontId="15" fillId="21" borderId="0" xfId="0" applyFont="1" applyFill="1"/>
    <xf numFmtId="0" fontId="15" fillId="21" borderId="0" xfId="0" applyFont="1" applyFill="1" applyAlignment="1">
      <alignment horizontal="center"/>
    </xf>
    <xf numFmtId="0" fontId="22" fillId="21" borderId="11" xfId="0" applyFont="1" applyFill="1" applyBorder="1"/>
    <xf numFmtId="0" fontId="22" fillId="21" borderId="0" xfId="0" applyFont="1" applyFill="1"/>
    <xf numFmtId="0" fontId="21" fillId="21" borderId="0" xfId="0" applyFont="1" applyFill="1"/>
    <xf numFmtId="2" fontId="22" fillId="21" borderId="0" xfId="0" applyNumberFormat="1" applyFont="1" applyFill="1"/>
    <xf numFmtId="2" fontId="22" fillId="21" borderId="8" xfId="0" applyNumberFormat="1" applyFont="1" applyFill="1" applyBorder="1"/>
    <xf numFmtId="2" fontId="21" fillId="21" borderId="8" xfId="0" applyNumberFormat="1" applyFont="1" applyFill="1" applyBorder="1"/>
    <xf numFmtId="2" fontId="21" fillId="21" borderId="0" xfId="0" applyNumberFormat="1" applyFont="1" applyFill="1"/>
    <xf numFmtId="2" fontId="21" fillId="21" borderId="11" xfId="0" applyNumberFormat="1" applyFont="1" applyFill="1" applyBorder="1"/>
    <xf numFmtId="2" fontId="22" fillId="21" borderId="11" xfId="0" applyNumberFormat="1" applyFont="1" applyFill="1" applyBorder="1"/>
    <xf numFmtId="2" fontId="22" fillId="21" borderId="9" xfId="0" applyNumberFormat="1" applyFont="1" applyFill="1" applyBorder="1"/>
    <xf numFmtId="0" fontId="13" fillId="20" borderId="0" xfId="0" applyFont="1" applyFill="1"/>
    <xf numFmtId="0" fontId="13" fillId="20" borderId="0" xfId="0" applyFont="1" applyFill="1" applyAlignment="1">
      <alignment horizontal="center"/>
    </xf>
    <xf numFmtId="0" fontId="13" fillId="20" borderId="9" xfId="0" applyFont="1" applyFill="1" applyBorder="1"/>
    <xf numFmtId="0" fontId="13" fillId="20" borderId="8" xfId="0" applyFont="1" applyFill="1" applyBorder="1"/>
    <xf numFmtId="0" fontId="13" fillId="18" borderId="0" xfId="0" applyFont="1" applyFill="1"/>
    <xf numFmtId="0" fontId="13" fillId="18" borderId="0" xfId="0" applyFont="1" applyFill="1" applyAlignment="1">
      <alignment horizontal="center"/>
    </xf>
    <xf numFmtId="2" fontId="13" fillId="18" borderId="8" xfId="0" applyNumberFormat="1" applyFont="1" applyFill="1" applyBorder="1"/>
    <xf numFmtId="2" fontId="13" fillId="18" borderId="0" xfId="0" applyNumberFormat="1" applyFont="1" applyFill="1"/>
    <xf numFmtId="0" fontId="13" fillId="0" borderId="9" xfId="0" applyFont="1" applyBorder="1"/>
    <xf numFmtId="0" fontId="22" fillId="0" borderId="9" xfId="0" applyFont="1" applyBorder="1"/>
    <xf numFmtId="0" fontId="13" fillId="0" borderId="8" xfId="0" applyFont="1" applyBorder="1"/>
    <xf numFmtId="2" fontId="13" fillId="0" borderId="8" xfId="0" applyNumberFormat="1" applyFont="1" applyBorder="1"/>
    <xf numFmtId="0" fontId="15" fillId="20" borderId="9" xfId="0" applyFont="1" applyFill="1" applyBorder="1"/>
    <xf numFmtId="2" fontId="15" fillId="18" borderId="9" xfId="0" applyNumberFormat="1" applyFont="1" applyFill="1" applyBorder="1"/>
    <xf numFmtId="2" fontId="15" fillId="18" borderId="8" xfId="0" applyNumberFormat="1" applyFont="1" applyFill="1" applyBorder="1"/>
    <xf numFmtId="2" fontId="15" fillId="18" borderId="0" xfId="0" applyNumberFormat="1" applyFont="1" applyFill="1"/>
    <xf numFmtId="0" fontId="15" fillId="20" borderId="8" xfId="0" applyFont="1" applyFill="1" applyBorder="1"/>
    <xf numFmtId="2" fontId="15" fillId="18" borderId="11" xfId="0" applyNumberFormat="1" applyFont="1" applyFill="1" applyBorder="1"/>
    <xf numFmtId="0" fontId="10" fillId="0" borderId="21" xfId="0" applyFont="1" applyBorder="1"/>
    <xf numFmtId="0" fontId="15" fillId="20" borderId="0" xfId="0" applyFont="1" applyFill="1"/>
    <xf numFmtId="0" fontId="15" fillId="20" borderId="11" xfId="0" applyFont="1" applyFill="1" applyBorder="1"/>
    <xf numFmtId="0" fontId="14" fillId="0" borderId="21" xfId="0" applyFont="1" applyBorder="1"/>
    <xf numFmtId="2" fontId="14" fillId="0" borderId="9" xfId="0" applyNumberFormat="1" applyFont="1" applyBorder="1"/>
    <xf numFmtId="2" fontId="14" fillId="0" borderId="11" xfId="0" applyNumberFormat="1" applyFont="1" applyBorder="1"/>
    <xf numFmtId="0" fontId="18" fillId="0" borderId="0" xfId="0" applyFont="1"/>
    <xf numFmtId="0" fontId="13" fillId="22" borderId="0" xfId="0" applyFont="1" applyFill="1"/>
    <xf numFmtId="2" fontId="14" fillId="22" borderId="8" xfId="0" applyNumberFormat="1" applyFont="1" applyFill="1" applyBorder="1"/>
    <xf numFmtId="2" fontId="14" fillId="22" borderId="0" xfId="0" applyNumberFormat="1" applyFont="1" applyFill="1"/>
    <xf numFmtId="0" fontId="13" fillId="20" borderId="0" xfId="0" applyFont="1" applyFill="1" applyAlignment="1">
      <alignment horizontal="center" wrapText="1"/>
    </xf>
    <xf numFmtId="2" fontId="14" fillId="20" borderId="9" xfId="0" applyNumberFormat="1" applyFont="1" applyFill="1" applyBorder="1"/>
    <xf numFmtId="0" fontId="10" fillId="21" borderId="0" xfId="0" applyFont="1" applyFill="1"/>
    <xf numFmtId="0" fontId="18" fillId="21" borderId="0" xfId="0" applyFont="1" applyFill="1"/>
    <xf numFmtId="0" fontId="38" fillId="21" borderId="0" xfId="0" applyFont="1" applyFill="1"/>
    <xf numFmtId="2" fontId="14" fillId="21" borderId="8" xfId="0" applyNumberFormat="1" applyFont="1" applyFill="1" applyBorder="1"/>
    <xf numFmtId="2" fontId="17" fillId="21" borderId="8" xfId="0" applyNumberFormat="1" applyFont="1" applyFill="1" applyBorder="1"/>
    <xf numFmtId="2" fontId="17" fillId="21" borderId="0" xfId="0" applyNumberFormat="1" applyFont="1" applyFill="1"/>
    <xf numFmtId="2" fontId="18" fillId="21" borderId="0" xfId="0" applyNumberFormat="1" applyFont="1" applyFill="1"/>
    <xf numFmtId="2" fontId="14" fillId="21" borderId="9" xfId="0" applyNumberFormat="1" applyFont="1" applyFill="1" applyBorder="1"/>
    <xf numFmtId="2" fontId="14" fillId="21" borderId="0" xfId="0" applyNumberFormat="1" applyFont="1" applyFill="1"/>
    <xf numFmtId="0" fontId="10" fillId="28" borderId="0" xfId="0" applyFont="1" applyFill="1"/>
    <xf numFmtId="0" fontId="13" fillId="28" borderId="0" xfId="0" applyFont="1" applyFill="1"/>
    <xf numFmtId="2" fontId="14" fillId="28" borderId="8" xfId="0" applyNumberFormat="1" applyFont="1" applyFill="1" applyBorder="1"/>
    <xf numFmtId="2" fontId="14" fillId="28" borderId="0" xfId="0" applyNumberFormat="1" applyFont="1" applyFill="1"/>
    <xf numFmtId="2" fontId="14" fillId="18" borderId="9" xfId="0" applyNumberFormat="1" applyFont="1" applyFill="1" applyBorder="1"/>
    <xf numFmtId="2" fontId="14" fillId="18" borderId="11" xfId="0" applyNumberFormat="1" applyFont="1" applyFill="1" applyBorder="1"/>
    <xf numFmtId="2" fontId="6" fillId="20" borderId="0" xfId="0" applyNumberFormat="1" applyFont="1" applyFill="1"/>
    <xf numFmtId="2" fontId="6" fillId="20" borderId="0" xfId="1" applyNumberFormat="1" applyFont="1" applyFill="1"/>
    <xf numFmtId="2" fontId="0" fillId="20" borderId="0" xfId="1" applyNumberFormat="1" applyFont="1" applyFill="1"/>
    <xf numFmtId="0" fontId="6" fillId="20" borderId="0" xfId="0" applyFont="1" applyFill="1"/>
    <xf numFmtId="0" fontId="3" fillId="20" borderId="0" xfId="0" applyFont="1" applyFill="1"/>
    <xf numFmtId="0" fontId="16" fillId="10" borderId="0" xfId="0" applyFont="1" applyFill="1"/>
    <xf numFmtId="0" fontId="0" fillId="0" borderId="9" xfId="0" applyBorder="1" applyAlignment="1">
      <alignment horizontal="center"/>
    </xf>
    <xf numFmtId="2" fontId="13" fillId="18" borderId="10" xfId="0" applyNumberFormat="1" applyFont="1" applyFill="1" applyBorder="1"/>
    <xf numFmtId="2" fontId="3" fillId="16" borderId="0" xfId="0" applyNumberFormat="1" applyFont="1" applyFill="1"/>
    <xf numFmtId="0" fontId="14" fillId="16" borderId="0" xfId="0" applyFont="1" applyFill="1"/>
    <xf numFmtId="2" fontId="3" fillId="20" borderId="0" xfId="0" applyNumberFormat="1" applyFont="1" applyFill="1"/>
    <xf numFmtId="2" fontId="10" fillId="10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2" fontId="10" fillId="12" borderId="12" xfId="0" applyNumberFormat="1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9"/>
  <sheetViews>
    <sheetView zoomScale="120" zoomScaleNormal="100" workbookViewId="0">
      <pane ySplit="2" topLeftCell="A318" activePane="bottomLeft" state="frozen"/>
      <selection pane="bottomLeft" activeCell="D202" sqref="D202"/>
    </sheetView>
  </sheetViews>
  <sheetFormatPr defaultRowHeight="15" x14ac:dyDescent="0.25"/>
  <cols>
    <col min="1" max="1" width="16.7109375" customWidth="1"/>
    <col min="2" max="2" width="14.85546875" customWidth="1"/>
    <col min="3" max="4" width="9.140625" customWidth="1"/>
    <col min="8" max="9" width="9.140625" customWidth="1"/>
    <col min="10" max="10" width="10.42578125" customWidth="1"/>
  </cols>
  <sheetData>
    <row r="1" spans="1:18" x14ac:dyDescent="0.25">
      <c r="B1" s="113"/>
      <c r="C1" s="113"/>
    </row>
    <row r="2" spans="1:18" ht="45" x14ac:dyDescent="0.25">
      <c r="A2" t="s">
        <v>174</v>
      </c>
      <c r="B2" t="s">
        <v>175</v>
      </c>
      <c r="C2" s="2" t="s">
        <v>420</v>
      </c>
      <c r="D2" s="21" t="s">
        <v>518</v>
      </c>
      <c r="E2" s="2" t="s">
        <v>517</v>
      </c>
      <c r="F2" s="21" t="s">
        <v>170</v>
      </c>
      <c r="G2" t="s">
        <v>434</v>
      </c>
      <c r="H2" t="s">
        <v>811</v>
      </c>
      <c r="I2" t="s">
        <v>173</v>
      </c>
    </row>
    <row r="3" spans="1:18" x14ac:dyDescent="0.25">
      <c r="A3" t="s">
        <v>432</v>
      </c>
      <c r="B3" s="3" t="s">
        <v>310</v>
      </c>
      <c r="C3" s="6">
        <v>345</v>
      </c>
      <c r="D3" t="s">
        <v>1170</v>
      </c>
      <c r="K3" t="s">
        <v>729</v>
      </c>
      <c r="L3" t="s">
        <v>729</v>
      </c>
      <c r="M3" t="s">
        <v>730</v>
      </c>
      <c r="N3" t="s">
        <v>730</v>
      </c>
    </row>
    <row r="4" spans="1:18" x14ac:dyDescent="0.25">
      <c r="A4" t="s">
        <v>432</v>
      </c>
      <c r="B4" s="3" t="s">
        <v>311</v>
      </c>
      <c r="C4" s="6">
        <v>115</v>
      </c>
      <c r="K4" t="s">
        <v>565</v>
      </c>
      <c r="L4" s="78">
        <v>7</v>
      </c>
      <c r="M4" s="78" t="s">
        <v>733</v>
      </c>
      <c r="N4" s="78">
        <v>5</v>
      </c>
      <c r="Q4" s="1"/>
      <c r="R4" s="1"/>
    </row>
    <row r="5" spans="1:18" x14ac:dyDescent="0.25">
      <c r="A5" t="s">
        <v>432</v>
      </c>
      <c r="B5" s="3" t="s">
        <v>775</v>
      </c>
      <c r="C5" s="6">
        <v>165.31</v>
      </c>
      <c r="K5" t="s">
        <v>566</v>
      </c>
      <c r="L5" s="78">
        <v>8</v>
      </c>
      <c r="M5" s="78" t="s">
        <v>734</v>
      </c>
      <c r="N5" s="78">
        <v>10</v>
      </c>
      <c r="Q5" s="1"/>
      <c r="R5" s="1"/>
    </row>
    <row r="6" spans="1:18" x14ac:dyDescent="0.25">
      <c r="A6" t="s">
        <v>432</v>
      </c>
      <c r="B6" s="4">
        <v>21715813</v>
      </c>
      <c r="C6" s="6">
        <v>114.08</v>
      </c>
      <c r="K6" t="s">
        <v>567</v>
      </c>
      <c r="L6" s="78">
        <v>9</v>
      </c>
      <c r="M6" s="78" t="s">
        <v>735</v>
      </c>
      <c r="N6" s="78">
        <v>15</v>
      </c>
      <c r="Q6" s="1"/>
      <c r="R6" s="1"/>
    </row>
    <row r="7" spans="1:18" x14ac:dyDescent="0.25">
      <c r="A7" t="s">
        <v>432</v>
      </c>
      <c r="B7" s="4">
        <v>23883251</v>
      </c>
      <c r="C7" s="469">
        <v>301.77999999999997</v>
      </c>
      <c r="L7" s="78"/>
      <c r="M7" s="78"/>
      <c r="N7" s="78"/>
      <c r="Q7" s="1"/>
      <c r="R7" s="1"/>
    </row>
    <row r="8" spans="1:18" x14ac:dyDescent="0.25">
      <c r="A8" t="s">
        <v>432</v>
      </c>
      <c r="B8" s="3" t="s">
        <v>312</v>
      </c>
      <c r="C8" s="6">
        <v>181.62</v>
      </c>
      <c r="K8" t="s">
        <v>568</v>
      </c>
      <c r="L8" s="78">
        <v>10</v>
      </c>
      <c r="M8" s="78" t="s">
        <v>736</v>
      </c>
      <c r="N8" s="78">
        <v>20</v>
      </c>
      <c r="Q8" s="1"/>
      <c r="R8" s="1"/>
    </row>
    <row r="9" spans="1:18" x14ac:dyDescent="0.25">
      <c r="A9" t="s">
        <v>432</v>
      </c>
      <c r="B9" s="3" t="s">
        <v>313</v>
      </c>
      <c r="C9" s="6">
        <v>591.98</v>
      </c>
      <c r="K9" t="s">
        <v>569</v>
      </c>
      <c r="L9" s="78">
        <v>11</v>
      </c>
      <c r="M9" s="78" t="s">
        <v>737</v>
      </c>
      <c r="N9" s="78">
        <v>25</v>
      </c>
      <c r="Q9" s="1"/>
      <c r="R9" s="1"/>
    </row>
    <row r="10" spans="1:18" x14ac:dyDescent="0.25">
      <c r="A10" t="s">
        <v>432</v>
      </c>
      <c r="B10" s="5">
        <v>4329012482</v>
      </c>
      <c r="C10" s="471">
        <v>95.69</v>
      </c>
      <c r="D10" t="s">
        <v>1171</v>
      </c>
      <c r="L10" s="78"/>
      <c r="M10" s="78"/>
      <c r="N10" s="78"/>
      <c r="Q10" s="1"/>
      <c r="R10" s="1"/>
    </row>
    <row r="11" spans="1:18" x14ac:dyDescent="0.25">
      <c r="A11" t="s">
        <v>432</v>
      </c>
      <c r="B11" s="3" t="s">
        <v>591</v>
      </c>
      <c r="C11" s="6">
        <v>22.52</v>
      </c>
      <c r="K11" t="s">
        <v>570</v>
      </c>
      <c r="L11" s="78">
        <v>12</v>
      </c>
      <c r="M11" s="78" t="s">
        <v>738</v>
      </c>
      <c r="N11" s="78">
        <v>30</v>
      </c>
      <c r="Q11" s="1"/>
      <c r="R11" s="1"/>
    </row>
    <row r="12" spans="1:18" x14ac:dyDescent="0.25">
      <c r="A12" t="s">
        <v>432</v>
      </c>
      <c r="B12" s="3" t="s">
        <v>314</v>
      </c>
      <c r="C12" s="471">
        <v>70.95</v>
      </c>
      <c r="D12" t="s">
        <v>1172</v>
      </c>
      <c r="K12" t="s">
        <v>571</v>
      </c>
      <c r="L12" s="78">
        <v>13</v>
      </c>
      <c r="Q12" s="1"/>
      <c r="R12" s="1"/>
    </row>
    <row r="13" spans="1:18" x14ac:dyDescent="0.25">
      <c r="A13" t="s">
        <v>432</v>
      </c>
      <c r="B13" s="3" t="s">
        <v>920</v>
      </c>
      <c r="C13" s="6">
        <f t="shared" ref="C13:C16" si="0">D13+E13</f>
        <v>45.769600000000004</v>
      </c>
      <c r="E13" s="1">
        <f t="shared" ref="E13:E26" si="1">F13*0.32</f>
        <v>45.769600000000004</v>
      </c>
      <c r="F13" s="333">
        <v>143.03</v>
      </c>
      <c r="L13" s="78"/>
      <c r="Q13" s="1"/>
      <c r="R13" s="1"/>
    </row>
    <row r="14" spans="1:18" x14ac:dyDescent="0.25">
      <c r="A14" t="s">
        <v>432</v>
      </c>
      <c r="B14" s="3" t="s">
        <v>921</v>
      </c>
      <c r="C14" s="6">
        <f t="shared" si="0"/>
        <v>46.256000000000007</v>
      </c>
      <c r="E14" s="1">
        <f t="shared" si="1"/>
        <v>46.256000000000007</v>
      </c>
      <c r="F14" s="333">
        <v>144.55000000000001</v>
      </c>
      <c r="L14" s="78"/>
      <c r="Q14" s="1"/>
      <c r="R14" s="1"/>
    </row>
    <row r="15" spans="1:18" x14ac:dyDescent="0.25">
      <c r="A15" t="s">
        <v>432</v>
      </c>
      <c r="B15" s="3" t="s">
        <v>1288</v>
      </c>
      <c r="C15" s="6">
        <v>6.49</v>
      </c>
      <c r="E15" s="1"/>
      <c r="F15" s="333"/>
      <c r="L15" s="78"/>
      <c r="Q15" s="1"/>
      <c r="R15" s="1"/>
    </row>
    <row r="16" spans="1:18" x14ac:dyDescent="0.25">
      <c r="A16" t="s">
        <v>432</v>
      </c>
      <c r="B16" s="3" t="s">
        <v>1214</v>
      </c>
      <c r="C16" s="6">
        <f t="shared" si="0"/>
        <v>55.4176</v>
      </c>
      <c r="E16" s="1">
        <f t="shared" si="1"/>
        <v>55.4176</v>
      </c>
      <c r="F16" s="333">
        <v>173.18</v>
      </c>
      <c r="L16" s="78"/>
      <c r="Q16" s="1"/>
      <c r="R16" s="1"/>
    </row>
    <row r="17" spans="1:16" x14ac:dyDescent="0.25">
      <c r="A17" t="s">
        <v>432</v>
      </c>
      <c r="B17" s="3" t="s">
        <v>315</v>
      </c>
      <c r="C17" s="6">
        <f>D17+E17</f>
        <v>13.2896</v>
      </c>
      <c r="E17" s="1">
        <f t="shared" si="1"/>
        <v>13.2896</v>
      </c>
      <c r="F17" s="464">
        <v>41.53</v>
      </c>
      <c r="K17" t="s">
        <v>572</v>
      </c>
      <c r="L17" s="78">
        <v>14</v>
      </c>
      <c r="O17" s="347"/>
      <c r="P17" s="347"/>
    </row>
    <row r="18" spans="1:16" x14ac:dyDescent="0.25">
      <c r="A18" t="s">
        <v>432</v>
      </c>
      <c r="B18" s="3" t="s">
        <v>316</v>
      </c>
      <c r="C18" s="6">
        <f t="shared" ref="C18:C29" si="2">D18+E18</f>
        <v>54.230400000000003</v>
      </c>
      <c r="E18" s="1">
        <f t="shared" si="1"/>
        <v>54.230400000000003</v>
      </c>
      <c r="F18" s="461">
        <v>169.47</v>
      </c>
      <c r="K18" t="s">
        <v>573</v>
      </c>
      <c r="L18" s="78">
        <v>15</v>
      </c>
    </row>
    <row r="19" spans="1:16" x14ac:dyDescent="0.25">
      <c r="A19" t="s">
        <v>432</v>
      </c>
      <c r="B19" s="3" t="s">
        <v>317</v>
      </c>
      <c r="C19" s="6">
        <f t="shared" si="2"/>
        <v>49.836800000000004</v>
      </c>
      <c r="E19" s="1">
        <f t="shared" si="1"/>
        <v>49.836800000000004</v>
      </c>
      <c r="F19" s="461">
        <v>155.74</v>
      </c>
      <c r="K19" t="s">
        <v>574</v>
      </c>
      <c r="L19" s="78">
        <v>16</v>
      </c>
    </row>
    <row r="20" spans="1:16" x14ac:dyDescent="0.25">
      <c r="A20" t="s">
        <v>432</v>
      </c>
      <c r="B20" s="3" t="s">
        <v>1215</v>
      </c>
      <c r="C20" s="6">
        <f t="shared" si="2"/>
        <v>59.776000000000003</v>
      </c>
      <c r="E20" s="1">
        <f t="shared" si="1"/>
        <v>59.776000000000003</v>
      </c>
      <c r="F20" s="461">
        <v>186.8</v>
      </c>
      <c r="L20" s="78"/>
    </row>
    <row r="21" spans="1:16" x14ac:dyDescent="0.25">
      <c r="A21" t="s">
        <v>432</v>
      </c>
      <c r="B21" s="3" t="s">
        <v>318</v>
      </c>
      <c r="C21" s="6">
        <f t="shared" si="2"/>
        <v>44.630400000000002</v>
      </c>
      <c r="E21" s="1">
        <f t="shared" si="1"/>
        <v>44.630400000000002</v>
      </c>
      <c r="F21" s="464">
        <v>139.47</v>
      </c>
      <c r="K21" t="s">
        <v>575</v>
      </c>
      <c r="L21" s="78">
        <v>17</v>
      </c>
    </row>
    <row r="22" spans="1:16" x14ac:dyDescent="0.25">
      <c r="A22" t="s">
        <v>432</v>
      </c>
      <c r="B22" s="3" t="s">
        <v>319</v>
      </c>
      <c r="C22" s="6">
        <f t="shared" si="2"/>
        <v>24.2272</v>
      </c>
      <c r="E22" s="1">
        <f t="shared" si="1"/>
        <v>24.2272</v>
      </c>
      <c r="F22" s="461">
        <v>75.709999999999994</v>
      </c>
      <c r="K22" t="s">
        <v>576</v>
      </c>
      <c r="L22" s="78">
        <v>18</v>
      </c>
    </row>
    <row r="23" spans="1:16" x14ac:dyDescent="0.25">
      <c r="A23" t="s">
        <v>432</v>
      </c>
      <c r="B23" s="3" t="s">
        <v>320</v>
      </c>
      <c r="C23" s="6">
        <f t="shared" si="2"/>
        <v>47.795200000000008</v>
      </c>
      <c r="E23" s="1">
        <f t="shared" si="1"/>
        <v>47.795200000000008</v>
      </c>
      <c r="F23" s="461">
        <v>149.36000000000001</v>
      </c>
      <c r="K23" t="s">
        <v>577</v>
      </c>
      <c r="L23" s="78">
        <v>19</v>
      </c>
    </row>
    <row r="24" spans="1:16" x14ac:dyDescent="0.25">
      <c r="A24" t="s">
        <v>432</v>
      </c>
      <c r="B24" s="3" t="s">
        <v>321</v>
      </c>
      <c r="C24" s="6">
        <f t="shared" si="2"/>
        <v>31.331199999999999</v>
      </c>
      <c r="E24" s="1">
        <f t="shared" si="1"/>
        <v>31.331199999999999</v>
      </c>
      <c r="F24" s="461">
        <v>97.91</v>
      </c>
      <c r="K24" t="s">
        <v>578</v>
      </c>
      <c r="L24" s="78">
        <v>20</v>
      </c>
    </row>
    <row r="25" spans="1:16" x14ac:dyDescent="0.25">
      <c r="A25" t="s">
        <v>432</v>
      </c>
      <c r="B25" s="3" t="s">
        <v>322</v>
      </c>
      <c r="C25" s="6">
        <f t="shared" si="2"/>
        <v>47.136000000000003</v>
      </c>
      <c r="E25" s="1">
        <f t="shared" si="1"/>
        <v>47.136000000000003</v>
      </c>
      <c r="F25" s="461">
        <v>147.30000000000001</v>
      </c>
      <c r="K25" t="s">
        <v>579</v>
      </c>
      <c r="L25" s="78">
        <v>21</v>
      </c>
    </row>
    <row r="26" spans="1:16" x14ac:dyDescent="0.25">
      <c r="A26" t="s">
        <v>432</v>
      </c>
      <c r="B26" s="3" t="s">
        <v>323</v>
      </c>
      <c r="C26" s="6">
        <f t="shared" si="2"/>
        <v>9.6639999999999997</v>
      </c>
      <c r="E26" s="1">
        <f t="shared" si="1"/>
        <v>9.6639999999999997</v>
      </c>
      <c r="F26" s="461">
        <v>30.2</v>
      </c>
      <c r="K26" t="s">
        <v>580</v>
      </c>
      <c r="L26" s="78">
        <v>22</v>
      </c>
    </row>
    <row r="27" spans="1:16" x14ac:dyDescent="0.25">
      <c r="A27" t="s">
        <v>432</v>
      </c>
      <c r="B27" s="3" t="s">
        <v>324</v>
      </c>
      <c r="C27" s="6">
        <f t="shared" si="2"/>
        <v>28.544</v>
      </c>
      <c r="E27" s="1">
        <f>F27*0.32</f>
        <v>28.544</v>
      </c>
      <c r="F27" s="461">
        <v>89.2</v>
      </c>
      <c r="K27" t="s">
        <v>581</v>
      </c>
      <c r="L27" s="78">
        <v>23</v>
      </c>
    </row>
    <row r="28" spans="1:16" x14ac:dyDescent="0.25">
      <c r="A28" t="s">
        <v>432</v>
      </c>
      <c r="B28" s="3" t="s">
        <v>325</v>
      </c>
      <c r="C28" s="6">
        <f t="shared" si="2"/>
        <v>69.296000000000006</v>
      </c>
      <c r="E28" s="1">
        <f>F28*0.32</f>
        <v>69.296000000000006</v>
      </c>
      <c r="F28" s="461">
        <v>216.55</v>
      </c>
    </row>
    <row r="29" spans="1:16" x14ac:dyDescent="0.25">
      <c r="A29" t="s">
        <v>432</v>
      </c>
      <c r="B29" s="3" t="s">
        <v>326</v>
      </c>
      <c r="C29" s="6">
        <f t="shared" si="2"/>
        <v>143.33760000000001</v>
      </c>
      <c r="E29" s="1">
        <f>F29*0.32</f>
        <v>143.33760000000001</v>
      </c>
      <c r="F29" s="461">
        <v>447.93</v>
      </c>
    </row>
    <row r="30" spans="1:16" x14ac:dyDescent="0.25">
      <c r="A30" t="s">
        <v>432</v>
      </c>
      <c r="B30" s="3" t="s">
        <v>327</v>
      </c>
      <c r="C30" s="6">
        <v>100.45</v>
      </c>
      <c r="H30" t="s">
        <v>1137</v>
      </c>
    </row>
    <row r="31" spans="1:16" x14ac:dyDescent="0.25">
      <c r="A31" t="s">
        <v>432</v>
      </c>
      <c r="B31" s="3" t="s">
        <v>328</v>
      </c>
      <c r="C31" s="6">
        <v>35.14</v>
      </c>
      <c r="H31" t="s">
        <v>361</v>
      </c>
    </row>
    <row r="32" spans="1:16" x14ac:dyDescent="0.25">
      <c r="A32" t="s">
        <v>432</v>
      </c>
      <c r="B32" s="3" t="s">
        <v>329</v>
      </c>
      <c r="C32" s="29">
        <v>54.38</v>
      </c>
      <c r="G32" s="26"/>
      <c r="H32" t="s">
        <v>362</v>
      </c>
    </row>
    <row r="33" spans="1:12" x14ac:dyDescent="0.25">
      <c r="A33" t="s">
        <v>432</v>
      </c>
      <c r="B33" s="3" t="s">
        <v>330</v>
      </c>
      <c r="C33" s="29">
        <v>85.87</v>
      </c>
      <c r="H33" t="s">
        <v>367</v>
      </c>
    </row>
    <row r="34" spans="1:12" x14ac:dyDescent="0.25">
      <c r="A34" t="s">
        <v>432</v>
      </c>
      <c r="B34" s="3" t="s">
        <v>331</v>
      </c>
      <c r="C34" s="29">
        <v>73.959999999999994</v>
      </c>
      <c r="H34" t="s">
        <v>368</v>
      </c>
    </row>
    <row r="35" spans="1:12" x14ac:dyDescent="0.25">
      <c r="A35" t="s">
        <v>432</v>
      </c>
      <c r="B35" s="3" t="s">
        <v>963</v>
      </c>
      <c r="C35" s="6">
        <v>327.43</v>
      </c>
      <c r="K35" s="26" t="s">
        <v>1017</v>
      </c>
      <c r="L35" t="s">
        <v>1018</v>
      </c>
    </row>
    <row r="36" spans="1:12" x14ac:dyDescent="0.25">
      <c r="A36" t="s">
        <v>432</v>
      </c>
      <c r="B36" s="3" t="s">
        <v>332</v>
      </c>
      <c r="C36" s="6">
        <v>74.400000000000006</v>
      </c>
    </row>
    <row r="37" spans="1:12" x14ac:dyDescent="0.25">
      <c r="A37" t="s">
        <v>432</v>
      </c>
      <c r="B37" s="3" t="s">
        <v>333</v>
      </c>
      <c r="C37" s="6">
        <v>78.900000000000006</v>
      </c>
    </row>
    <row r="38" spans="1:12" x14ac:dyDescent="0.25">
      <c r="A38" t="s">
        <v>432</v>
      </c>
      <c r="B38" s="3" t="s">
        <v>334</v>
      </c>
      <c r="C38" s="6">
        <v>67.12</v>
      </c>
      <c r="G38" t="s">
        <v>385</v>
      </c>
    </row>
    <row r="39" spans="1:12" x14ac:dyDescent="0.25">
      <c r="A39" t="s">
        <v>432</v>
      </c>
      <c r="B39" s="3" t="s">
        <v>335</v>
      </c>
      <c r="C39" s="6">
        <v>70.13</v>
      </c>
      <c r="G39" t="s">
        <v>384</v>
      </c>
    </row>
    <row r="40" spans="1:12" x14ac:dyDescent="0.25">
      <c r="A40" t="s">
        <v>432</v>
      </c>
      <c r="B40" s="3" t="s">
        <v>336</v>
      </c>
      <c r="C40" s="6">
        <v>73.760000000000005</v>
      </c>
      <c r="G40" t="s">
        <v>389</v>
      </c>
    </row>
    <row r="41" spans="1:12" x14ac:dyDescent="0.25">
      <c r="A41" t="s">
        <v>432</v>
      </c>
      <c r="B41" s="3" t="s">
        <v>337</v>
      </c>
      <c r="C41" s="6">
        <v>52.82</v>
      </c>
      <c r="G41" t="s">
        <v>386</v>
      </c>
    </row>
    <row r="42" spans="1:12" x14ac:dyDescent="0.25">
      <c r="A42" t="s">
        <v>432</v>
      </c>
      <c r="B42" s="3" t="s">
        <v>338</v>
      </c>
      <c r="C42" s="6">
        <v>93.7</v>
      </c>
    </row>
    <row r="43" spans="1:12" x14ac:dyDescent="0.25">
      <c r="A43" t="s">
        <v>432</v>
      </c>
      <c r="B43" s="3" t="s">
        <v>339</v>
      </c>
      <c r="C43" s="6">
        <v>60.14</v>
      </c>
      <c r="G43" t="s">
        <v>378</v>
      </c>
    </row>
    <row r="44" spans="1:12" x14ac:dyDescent="0.25">
      <c r="A44" t="s">
        <v>432</v>
      </c>
      <c r="B44" s="3" t="s">
        <v>340</v>
      </c>
      <c r="C44" s="6">
        <v>64.63</v>
      </c>
      <c r="G44" t="s">
        <v>379</v>
      </c>
    </row>
    <row r="45" spans="1:12" x14ac:dyDescent="0.25">
      <c r="A45" t="s">
        <v>432</v>
      </c>
      <c r="B45" s="3" t="s">
        <v>341</v>
      </c>
      <c r="C45" s="6">
        <v>40.4</v>
      </c>
      <c r="G45" t="s">
        <v>380</v>
      </c>
    </row>
    <row r="46" spans="1:12" x14ac:dyDescent="0.25">
      <c r="A46" t="s">
        <v>432</v>
      </c>
      <c r="B46" s="3" t="s">
        <v>342</v>
      </c>
      <c r="C46" s="6">
        <v>50.26</v>
      </c>
    </row>
    <row r="47" spans="1:12" x14ac:dyDescent="0.25">
      <c r="A47" t="s">
        <v>432</v>
      </c>
      <c r="B47" s="3" t="s">
        <v>343</v>
      </c>
      <c r="C47" s="6">
        <v>89.66</v>
      </c>
    </row>
    <row r="48" spans="1:12" x14ac:dyDescent="0.25">
      <c r="A48" t="s">
        <v>432</v>
      </c>
      <c r="B48" s="3" t="s">
        <v>344</v>
      </c>
      <c r="C48" s="6">
        <v>78.64</v>
      </c>
      <c r="G48" t="s">
        <v>383</v>
      </c>
    </row>
    <row r="49" spans="1:7" x14ac:dyDescent="0.25">
      <c r="A49" t="s">
        <v>432</v>
      </c>
      <c r="B49" s="3" t="s">
        <v>592</v>
      </c>
      <c r="C49" s="6">
        <v>74.39</v>
      </c>
    </row>
    <row r="50" spans="1:7" x14ac:dyDescent="0.25">
      <c r="A50" t="s">
        <v>432</v>
      </c>
      <c r="B50" s="3" t="s">
        <v>345</v>
      </c>
      <c r="C50" s="6">
        <v>71.11</v>
      </c>
      <c r="G50" t="s">
        <v>387</v>
      </c>
    </row>
    <row r="51" spans="1:7" x14ac:dyDescent="0.25">
      <c r="A51" t="s">
        <v>432</v>
      </c>
      <c r="B51" s="3" t="s">
        <v>346</v>
      </c>
      <c r="C51" s="6">
        <v>53.55</v>
      </c>
      <c r="G51" t="s">
        <v>393</v>
      </c>
    </row>
    <row r="52" spans="1:7" x14ac:dyDescent="0.25">
      <c r="A52" t="s">
        <v>432</v>
      </c>
      <c r="B52" s="3" t="s">
        <v>347</v>
      </c>
      <c r="C52" s="6">
        <v>35.72</v>
      </c>
      <c r="G52" t="s">
        <v>392</v>
      </c>
    </row>
    <row r="53" spans="1:7" x14ac:dyDescent="0.25">
      <c r="A53" t="s">
        <v>432</v>
      </c>
      <c r="B53" s="3" t="s">
        <v>348</v>
      </c>
      <c r="C53" s="6">
        <v>51.88</v>
      </c>
      <c r="G53" t="s">
        <v>394</v>
      </c>
    </row>
    <row r="54" spans="1:7" x14ac:dyDescent="0.25">
      <c r="A54" t="s">
        <v>432</v>
      </c>
      <c r="B54" s="3" t="s">
        <v>349</v>
      </c>
      <c r="C54" s="6">
        <v>69.900000000000006</v>
      </c>
    </row>
    <row r="55" spans="1:7" x14ac:dyDescent="0.25">
      <c r="A55" t="s">
        <v>432</v>
      </c>
      <c r="B55" s="3" t="s">
        <v>350</v>
      </c>
      <c r="C55" s="6">
        <v>42.47</v>
      </c>
      <c r="G55" t="s">
        <v>398</v>
      </c>
    </row>
    <row r="56" spans="1:7" x14ac:dyDescent="0.25">
      <c r="A56" t="s">
        <v>432</v>
      </c>
      <c r="B56" s="3" t="s">
        <v>351</v>
      </c>
      <c r="C56" s="6">
        <v>78.650000000000006</v>
      </c>
      <c r="G56" t="s">
        <v>399</v>
      </c>
    </row>
    <row r="57" spans="1:7" x14ac:dyDescent="0.25">
      <c r="A57" t="s">
        <v>432</v>
      </c>
      <c r="B57" s="3" t="s">
        <v>352</v>
      </c>
      <c r="C57" s="6">
        <v>60.2</v>
      </c>
      <c r="G57" t="s">
        <v>391</v>
      </c>
    </row>
    <row r="58" spans="1:7" x14ac:dyDescent="0.25">
      <c r="A58" t="s">
        <v>432</v>
      </c>
      <c r="B58" s="3" t="s">
        <v>353</v>
      </c>
      <c r="C58" s="6">
        <v>59.62</v>
      </c>
      <c r="G58" t="s">
        <v>396</v>
      </c>
    </row>
    <row r="59" spans="1:7" x14ac:dyDescent="0.25">
      <c r="A59" t="s">
        <v>432</v>
      </c>
      <c r="B59" s="3" t="s">
        <v>354</v>
      </c>
      <c r="C59" s="6">
        <v>73.63</v>
      </c>
      <c r="G59" t="s">
        <v>395</v>
      </c>
    </row>
    <row r="60" spans="1:7" x14ac:dyDescent="0.25">
      <c r="A60" t="s">
        <v>432</v>
      </c>
      <c r="B60" s="3" t="s">
        <v>355</v>
      </c>
      <c r="C60" s="6">
        <v>63.15</v>
      </c>
      <c r="G60" t="s">
        <v>401</v>
      </c>
    </row>
    <row r="61" spans="1:7" x14ac:dyDescent="0.25">
      <c r="A61" t="s">
        <v>432</v>
      </c>
      <c r="B61" s="3" t="s">
        <v>356</v>
      </c>
      <c r="C61" s="6">
        <v>52.06</v>
      </c>
      <c r="G61" t="s">
        <v>400</v>
      </c>
    </row>
    <row r="62" spans="1:7" x14ac:dyDescent="0.25">
      <c r="A62" t="s">
        <v>432</v>
      </c>
      <c r="B62" s="3" t="s">
        <v>1248</v>
      </c>
      <c r="C62" s="6">
        <v>64.010000000000005</v>
      </c>
    </row>
    <row r="63" spans="1:7" x14ac:dyDescent="0.25">
      <c r="A63" t="s">
        <v>432</v>
      </c>
      <c r="B63" s="3" t="s">
        <v>357</v>
      </c>
      <c r="C63" s="6">
        <v>51.08</v>
      </c>
      <c r="G63" t="s">
        <v>402</v>
      </c>
    </row>
    <row r="64" spans="1:7" x14ac:dyDescent="0.25">
      <c r="A64" t="s">
        <v>432</v>
      </c>
      <c r="B64" s="3" t="s">
        <v>358</v>
      </c>
      <c r="C64" s="6">
        <v>59.89</v>
      </c>
      <c r="G64" t="s">
        <v>595</v>
      </c>
    </row>
    <row r="65" spans="1:7" x14ac:dyDescent="0.25">
      <c r="A65" t="s">
        <v>432</v>
      </c>
      <c r="B65" s="3" t="s">
        <v>359</v>
      </c>
      <c r="C65" s="6">
        <v>51.2</v>
      </c>
      <c r="G65" t="s">
        <v>404</v>
      </c>
    </row>
    <row r="66" spans="1:7" x14ac:dyDescent="0.25">
      <c r="A66" t="s">
        <v>432</v>
      </c>
      <c r="B66" s="3" t="s">
        <v>360</v>
      </c>
      <c r="C66" s="6">
        <v>57.98</v>
      </c>
      <c r="G66" t="s">
        <v>405</v>
      </c>
    </row>
    <row r="67" spans="1:7" x14ac:dyDescent="0.25">
      <c r="A67" t="s">
        <v>432</v>
      </c>
      <c r="B67" s="3" t="s">
        <v>361</v>
      </c>
      <c r="C67" s="6">
        <v>54.51</v>
      </c>
    </row>
    <row r="68" spans="1:7" x14ac:dyDescent="0.25">
      <c r="A68" t="s">
        <v>432</v>
      </c>
      <c r="B68" s="3" t="s">
        <v>362</v>
      </c>
      <c r="C68" s="6">
        <v>81.64</v>
      </c>
    </row>
    <row r="69" spans="1:7" x14ac:dyDescent="0.25">
      <c r="A69" t="s">
        <v>432</v>
      </c>
      <c r="B69" s="3" t="s">
        <v>363</v>
      </c>
      <c r="C69" s="6">
        <v>58.75</v>
      </c>
    </row>
    <row r="70" spans="1:7" x14ac:dyDescent="0.25">
      <c r="A70" t="s">
        <v>432</v>
      </c>
      <c r="B70" s="3" t="s">
        <v>593</v>
      </c>
      <c r="C70" s="6">
        <v>252.6</v>
      </c>
    </row>
    <row r="71" spans="1:7" x14ac:dyDescent="0.25">
      <c r="A71" t="s">
        <v>432</v>
      </c>
      <c r="B71" s="3" t="s">
        <v>364</v>
      </c>
      <c r="C71" s="6">
        <v>59.2</v>
      </c>
      <c r="G71" t="s">
        <v>407</v>
      </c>
    </row>
    <row r="72" spans="1:7" x14ac:dyDescent="0.25">
      <c r="A72" t="s">
        <v>432</v>
      </c>
      <c r="B72" s="3" t="s">
        <v>365</v>
      </c>
      <c r="C72" s="6">
        <v>64.84</v>
      </c>
    </row>
    <row r="73" spans="1:7" x14ac:dyDescent="0.25">
      <c r="A73" t="s">
        <v>432</v>
      </c>
      <c r="B73" s="3" t="s">
        <v>366</v>
      </c>
      <c r="C73" s="6">
        <v>209.28</v>
      </c>
    </row>
    <row r="74" spans="1:7" x14ac:dyDescent="0.25">
      <c r="A74" t="s">
        <v>432</v>
      </c>
      <c r="B74" s="3" t="s">
        <v>367</v>
      </c>
      <c r="C74" s="6">
        <v>132.5</v>
      </c>
    </row>
    <row r="75" spans="1:7" x14ac:dyDescent="0.25">
      <c r="A75" t="s">
        <v>432</v>
      </c>
      <c r="B75" s="3" t="s">
        <v>368</v>
      </c>
      <c r="C75" s="6">
        <v>58.61</v>
      </c>
    </row>
    <row r="76" spans="1:7" x14ac:dyDescent="0.25">
      <c r="A76" t="s">
        <v>432</v>
      </c>
      <c r="B76" s="3" t="s">
        <v>369</v>
      </c>
      <c r="C76" s="6">
        <v>138.97999999999999</v>
      </c>
    </row>
    <row r="77" spans="1:7" x14ac:dyDescent="0.25">
      <c r="A77" t="s">
        <v>432</v>
      </c>
      <c r="B77" s="3" t="s">
        <v>370</v>
      </c>
      <c r="C77" s="6">
        <v>193.59</v>
      </c>
    </row>
    <row r="78" spans="1:7" x14ac:dyDescent="0.25">
      <c r="A78" t="s">
        <v>432</v>
      </c>
      <c r="B78" s="3" t="s">
        <v>371</v>
      </c>
      <c r="C78" s="6">
        <v>84.98</v>
      </c>
      <c r="G78" t="s">
        <v>873</v>
      </c>
    </row>
    <row r="79" spans="1:7" x14ac:dyDescent="0.25">
      <c r="A79" t="s">
        <v>432</v>
      </c>
      <c r="B79" s="3" t="s">
        <v>372</v>
      </c>
      <c r="C79" s="6">
        <v>69.67</v>
      </c>
      <c r="G79" t="s">
        <v>409</v>
      </c>
    </row>
    <row r="80" spans="1:7" x14ac:dyDescent="0.25">
      <c r="A80" t="s">
        <v>432</v>
      </c>
      <c r="B80" s="3" t="s">
        <v>373</v>
      </c>
      <c r="C80" s="6">
        <v>103.12</v>
      </c>
    </row>
    <row r="81" spans="1:8" x14ac:dyDescent="0.25">
      <c r="A81" t="s">
        <v>432</v>
      </c>
      <c r="B81" s="3" t="s">
        <v>374</v>
      </c>
      <c r="C81" s="6">
        <v>99.72</v>
      </c>
    </row>
    <row r="82" spans="1:8" x14ac:dyDescent="0.25">
      <c r="A82" t="s">
        <v>432</v>
      </c>
      <c r="B82" s="3" t="s">
        <v>375</v>
      </c>
      <c r="C82" s="6">
        <v>102.97</v>
      </c>
    </row>
    <row r="83" spans="1:8" x14ac:dyDescent="0.25">
      <c r="A83" t="s">
        <v>432</v>
      </c>
      <c r="B83" s="3" t="s">
        <v>732</v>
      </c>
      <c r="C83" s="6">
        <v>243.38</v>
      </c>
    </row>
    <row r="84" spans="1:8" x14ac:dyDescent="0.25">
      <c r="A84" t="s">
        <v>432</v>
      </c>
      <c r="B84" s="3" t="s">
        <v>1232</v>
      </c>
      <c r="C84" s="6">
        <v>103.42</v>
      </c>
    </row>
    <row r="85" spans="1:8" x14ac:dyDescent="0.25">
      <c r="A85" t="s">
        <v>432</v>
      </c>
      <c r="B85" s="3" t="s">
        <v>594</v>
      </c>
      <c r="C85" s="6">
        <v>54.48</v>
      </c>
      <c r="G85" t="s">
        <v>403</v>
      </c>
    </row>
    <row r="86" spans="1:8" x14ac:dyDescent="0.25">
      <c r="A86" t="s">
        <v>432</v>
      </c>
      <c r="B86" s="3" t="s">
        <v>1110</v>
      </c>
      <c r="C86" s="6">
        <v>107.56</v>
      </c>
    </row>
    <row r="87" spans="1:8" x14ac:dyDescent="0.25">
      <c r="A87" t="s">
        <v>432</v>
      </c>
      <c r="B87" s="3" t="s">
        <v>376</v>
      </c>
      <c r="C87" s="6">
        <v>70.739999999999995</v>
      </c>
    </row>
    <row r="88" spans="1:8" x14ac:dyDescent="0.25">
      <c r="A88" t="s">
        <v>432</v>
      </c>
      <c r="B88" s="3" t="s">
        <v>377</v>
      </c>
      <c r="C88" s="6">
        <v>33.44</v>
      </c>
      <c r="H88" t="s">
        <v>1138</v>
      </c>
    </row>
    <row r="89" spans="1:8" x14ac:dyDescent="0.25">
      <c r="A89" t="s">
        <v>432</v>
      </c>
      <c r="B89" s="3" t="s">
        <v>378</v>
      </c>
      <c r="C89" s="6">
        <v>60.05</v>
      </c>
    </row>
    <row r="90" spans="1:8" x14ac:dyDescent="0.25">
      <c r="A90" t="s">
        <v>432</v>
      </c>
      <c r="B90" s="3" t="s">
        <v>379</v>
      </c>
      <c r="C90" s="6">
        <v>59.95</v>
      </c>
    </row>
    <row r="91" spans="1:8" x14ac:dyDescent="0.25">
      <c r="A91" t="s">
        <v>432</v>
      </c>
      <c r="B91" s="3" t="s">
        <v>380</v>
      </c>
      <c r="C91" s="6">
        <v>38.83</v>
      </c>
      <c r="H91" t="s">
        <v>341</v>
      </c>
    </row>
    <row r="92" spans="1:8" x14ac:dyDescent="0.25">
      <c r="A92" t="s">
        <v>432</v>
      </c>
      <c r="B92" s="3" t="s">
        <v>381</v>
      </c>
      <c r="C92" s="6">
        <v>32.14</v>
      </c>
      <c r="H92" t="s">
        <v>1139</v>
      </c>
    </row>
    <row r="93" spans="1:8" x14ac:dyDescent="0.25">
      <c r="A93" t="s">
        <v>432</v>
      </c>
      <c r="B93" s="3" t="s">
        <v>382</v>
      </c>
      <c r="C93" s="6">
        <v>54.15</v>
      </c>
      <c r="E93" s="3"/>
      <c r="F93" s="6"/>
    </row>
    <row r="94" spans="1:8" x14ac:dyDescent="0.25">
      <c r="A94" t="s">
        <v>432</v>
      </c>
      <c r="B94" s="3" t="s">
        <v>383</v>
      </c>
      <c r="C94" s="6">
        <v>74.55</v>
      </c>
      <c r="E94" s="3"/>
      <c r="F94" s="6"/>
      <c r="H94" t="s">
        <v>344</v>
      </c>
    </row>
    <row r="95" spans="1:8" x14ac:dyDescent="0.25">
      <c r="A95" t="s">
        <v>432</v>
      </c>
      <c r="B95" s="3" t="s">
        <v>384</v>
      </c>
      <c r="C95" s="6">
        <v>68.44</v>
      </c>
      <c r="E95" s="3"/>
      <c r="F95" s="6"/>
      <c r="H95" t="s">
        <v>1142</v>
      </c>
    </row>
    <row r="96" spans="1:8" x14ac:dyDescent="0.25">
      <c r="A96" t="s">
        <v>432</v>
      </c>
      <c r="B96" s="3" t="s">
        <v>385</v>
      </c>
      <c r="C96" s="6">
        <v>61.5</v>
      </c>
      <c r="H96" t="s">
        <v>334</v>
      </c>
    </row>
    <row r="97" spans="1:8" x14ac:dyDescent="0.25">
      <c r="A97" t="s">
        <v>432</v>
      </c>
      <c r="B97" s="3" t="s">
        <v>386</v>
      </c>
      <c r="C97" s="6">
        <v>49.81</v>
      </c>
      <c r="H97" t="s">
        <v>337</v>
      </c>
    </row>
    <row r="98" spans="1:8" x14ac:dyDescent="0.25">
      <c r="A98" t="s">
        <v>432</v>
      </c>
      <c r="B98" s="3" t="s">
        <v>387</v>
      </c>
      <c r="C98" s="6">
        <v>68.44</v>
      </c>
      <c r="H98" t="s">
        <v>1143</v>
      </c>
    </row>
    <row r="99" spans="1:8" x14ac:dyDescent="0.25">
      <c r="A99" t="s">
        <v>432</v>
      </c>
      <c r="B99" s="3" t="s">
        <v>388</v>
      </c>
      <c r="C99" s="6">
        <v>38.840000000000003</v>
      </c>
      <c r="H99" t="s">
        <v>1140</v>
      </c>
    </row>
    <row r="100" spans="1:8" x14ac:dyDescent="0.25">
      <c r="A100" t="s">
        <v>432</v>
      </c>
      <c r="B100" s="3" t="s">
        <v>389</v>
      </c>
      <c r="C100" s="6">
        <v>70.62</v>
      </c>
      <c r="H100" t="s">
        <v>336</v>
      </c>
    </row>
    <row r="101" spans="1:8" x14ac:dyDescent="0.25">
      <c r="A101" t="s">
        <v>432</v>
      </c>
      <c r="B101" s="3" t="s">
        <v>390</v>
      </c>
      <c r="C101" s="6">
        <v>11.41</v>
      </c>
      <c r="H101" t="s">
        <v>1144</v>
      </c>
    </row>
    <row r="102" spans="1:8" x14ac:dyDescent="0.25">
      <c r="A102" t="s">
        <v>432</v>
      </c>
      <c r="B102" s="3" t="s">
        <v>391</v>
      </c>
      <c r="C102" s="6">
        <v>57.93</v>
      </c>
      <c r="H102" t="s">
        <v>352</v>
      </c>
    </row>
    <row r="103" spans="1:8" x14ac:dyDescent="0.25">
      <c r="A103" t="s">
        <v>432</v>
      </c>
      <c r="B103" s="3" t="s">
        <v>392</v>
      </c>
      <c r="C103" s="6">
        <v>34.72</v>
      </c>
      <c r="H103" t="s">
        <v>347</v>
      </c>
    </row>
    <row r="104" spans="1:8" x14ac:dyDescent="0.25">
      <c r="A104" t="s">
        <v>432</v>
      </c>
      <c r="B104" s="3" t="s">
        <v>393</v>
      </c>
      <c r="C104" s="6">
        <v>50.78</v>
      </c>
    </row>
    <row r="105" spans="1:8" x14ac:dyDescent="0.25">
      <c r="A105" t="s">
        <v>432</v>
      </c>
      <c r="B105" s="3" t="s">
        <v>394</v>
      </c>
      <c r="C105" s="6">
        <v>49.84</v>
      </c>
    </row>
    <row r="106" spans="1:8" x14ac:dyDescent="0.25">
      <c r="A106" t="s">
        <v>432</v>
      </c>
      <c r="B106" s="3" t="s">
        <v>395</v>
      </c>
      <c r="C106" s="6">
        <v>70.17</v>
      </c>
    </row>
    <row r="107" spans="1:8" x14ac:dyDescent="0.25">
      <c r="A107" t="s">
        <v>432</v>
      </c>
      <c r="B107" s="3" t="s">
        <v>396</v>
      </c>
      <c r="C107" s="6">
        <v>57.89</v>
      </c>
    </row>
    <row r="108" spans="1:8" x14ac:dyDescent="0.25">
      <c r="A108" t="s">
        <v>432</v>
      </c>
      <c r="B108" s="3" t="s">
        <v>397</v>
      </c>
      <c r="C108" s="6">
        <v>23.38</v>
      </c>
      <c r="H108" t="s">
        <v>1141</v>
      </c>
    </row>
    <row r="109" spans="1:8" x14ac:dyDescent="0.25">
      <c r="A109" t="s">
        <v>432</v>
      </c>
      <c r="B109" s="3" t="s">
        <v>398</v>
      </c>
      <c r="C109" s="6">
        <v>40.090000000000003</v>
      </c>
      <c r="H109" t="s">
        <v>350</v>
      </c>
    </row>
    <row r="110" spans="1:8" x14ac:dyDescent="0.25">
      <c r="A110" t="s">
        <v>432</v>
      </c>
      <c r="B110" s="3" t="s">
        <v>399</v>
      </c>
      <c r="C110" s="6">
        <v>72.03</v>
      </c>
    </row>
    <row r="111" spans="1:8" x14ac:dyDescent="0.25">
      <c r="A111" t="s">
        <v>432</v>
      </c>
      <c r="B111" s="3" t="s">
        <v>400</v>
      </c>
      <c r="C111" s="6">
        <v>50.02</v>
      </c>
    </row>
    <row r="112" spans="1:8" x14ac:dyDescent="0.25">
      <c r="A112" t="s">
        <v>432</v>
      </c>
      <c r="B112" s="3" t="s">
        <v>401</v>
      </c>
      <c r="C112" s="6">
        <v>59.76</v>
      </c>
    </row>
    <row r="113" spans="1:3" x14ac:dyDescent="0.25">
      <c r="A113" t="s">
        <v>432</v>
      </c>
      <c r="B113" s="3" t="s">
        <v>402</v>
      </c>
      <c r="C113" s="6">
        <v>46.85</v>
      </c>
    </row>
    <row r="114" spans="1:3" x14ac:dyDescent="0.25">
      <c r="A114" t="s">
        <v>432</v>
      </c>
      <c r="B114" s="3" t="s">
        <v>595</v>
      </c>
      <c r="C114" s="6">
        <v>54.92</v>
      </c>
    </row>
    <row r="115" spans="1:3" x14ac:dyDescent="0.25">
      <c r="A115" t="s">
        <v>432</v>
      </c>
      <c r="B115" s="3" t="s">
        <v>403</v>
      </c>
      <c r="C115" s="6">
        <v>51.3</v>
      </c>
    </row>
    <row r="116" spans="1:3" x14ac:dyDescent="0.25">
      <c r="A116" t="s">
        <v>432</v>
      </c>
      <c r="B116" s="3" t="s">
        <v>404</v>
      </c>
      <c r="C116" s="6">
        <v>48.49</v>
      </c>
    </row>
    <row r="117" spans="1:3" x14ac:dyDescent="0.25">
      <c r="A117" t="s">
        <v>432</v>
      </c>
      <c r="B117" s="3" t="s">
        <v>405</v>
      </c>
      <c r="C117" s="6">
        <v>56.35</v>
      </c>
    </row>
    <row r="118" spans="1:3" x14ac:dyDescent="0.25">
      <c r="A118" t="s">
        <v>432</v>
      </c>
      <c r="B118" s="3" t="s">
        <v>406</v>
      </c>
      <c r="C118" s="6">
        <v>29.45</v>
      </c>
    </row>
    <row r="119" spans="1:3" x14ac:dyDescent="0.25">
      <c r="A119" t="s">
        <v>432</v>
      </c>
      <c r="B119" s="3" t="s">
        <v>407</v>
      </c>
      <c r="C119" s="6">
        <v>56.09</v>
      </c>
    </row>
    <row r="120" spans="1:3" x14ac:dyDescent="0.25">
      <c r="A120" t="s">
        <v>432</v>
      </c>
      <c r="B120" s="3" t="s">
        <v>408</v>
      </c>
      <c r="C120" s="6">
        <v>81.69</v>
      </c>
    </row>
    <row r="121" spans="1:3" x14ac:dyDescent="0.25">
      <c r="A121" t="s">
        <v>432</v>
      </c>
      <c r="B121" s="3" t="s">
        <v>409</v>
      </c>
      <c r="C121" s="6">
        <v>67.650000000000006</v>
      </c>
    </row>
    <row r="122" spans="1:3" x14ac:dyDescent="0.25">
      <c r="A122" t="s">
        <v>432</v>
      </c>
      <c r="B122" s="3" t="s">
        <v>596</v>
      </c>
      <c r="C122" s="6">
        <v>135.83000000000001</v>
      </c>
    </row>
    <row r="123" spans="1:3" x14ac:dyDescent="0.25">
      <c r="A123" t="s">
        <v>433</v>
      </c>
      <c r="B123" s="3" t="s">
        <v>410</v>
      </c>
      <c r="C123" s="6">
        <v>45.82</v>
      </c>
    </row>
    <row r="124" spans="1:3" x14ac:dyDescent="0.25">
      <c r="A124" t="s">
        <v>433</v>
      </c>
      <c r="B124" s="3" t="s">
        <v>411</v>
      </c>
      <c r="C124" s="6">
        <v>25.3</v>
      </c>
    </row>
    <row r="125" spans="1:3" x14ac:dyDescent="0.25">
      <c r="A125" t="s">
        <v>433</v>
      </c>
      <c r="B125" s="3" t="s">
        <v>412</v>
      </c>
      <c r="C125" s="6">
        <v>30.23</v>
      </c>
    </row>
    <row r="126" spans="1:3" x14ac:dyDescent="0.25">
      <c r="A126" t="s">
        <v>433</v>
      </c>
      <c r="B126" s="3" t="s">
        <v>413</v>
      </c>
      <c r="C126" s="6">
        <v>28.49</v>
      </c>
    </row>
    <row r="127" spans="1:3" x14ac:dyDescent="0.25">
      <c r="A127" t="s">
        <v>433</v>
      </c>
      <c r="B127" s="3" t="s">
        <v>414</v>
      </c>
      <c r="C127" s="6">
        <v>25.58</v>
      </c>
    </row>
    <row r="128" spans="1:3" x14ac:dyDescent="0.25">
      <c r="A128" t="s">
        <v>433</v>
      </c>
      <c r="B128" s="3" t="s">
        <v>415</v>
      </c>
      <c r="C128" s="6">
        <v>25.2</v>
      </c>
    </row>
    <row r="129" spans="1:11" x14ac:dyDescent="0.25">
      <c r="A129" t="s">
        <v>433</v>
      </c>
      <c r="B129" s="3" t="s">
        <v>416</v>
      </c>
      <c r="C129" s="6">
        <v>44.33</v>
      </c>
    </row>
    <row r="130" spans="1:11" x14ac:dyDescent="0.25">
      <c r="A130" t="s">
        <v>434</v>
      </c>
      <c r="B130" s="5">
        <v>84311</v>
      </c>
      <c r="C130" s="6"/>
      <c r="G130" t="s">
        <v>598</v>
      </c>
    </row>
    <row r="131" spans="1:11" x14ac:dyDescent="0.25">
      <c r="A131" t="s">
        <v>434</v>
      </c>
      <c r="B131" s="5">
        <v>84312</v>
      </c>
      <c r="C131" s="6"/>
      <c r="G131" t="s">
        <v>598</v>
      </c>
    </row>
    <row r="132" spans="1:11" x14ac:dyDescent="0.25">
      <c r="A132" t="s">
        <v>434</v>
      </c>
      <c r="B132" s="3" t="s">
        <v>597</v>
      </c>
      <c r="C132" s="6">
        <v>9.31</v>
      </c>
    </row>
    <row r="133" spans="1:11" x14ac:dyDescent="0.25">
      <c r="A133" t="s">
        <v>434</v>
      </c>
      <c r="B133" s="3" t="s">
        <v>417</v>
      </c>
      <c r="C133" s="6">
        <v>14.81</v>
      </c>
    </row>
    <row r="134" spans="1:11" x14ac:dyDescent="0.25">
      <c r="A134" t="s">
        <v>434</v>
      </c>
      <c r="B134" s="3" t="s">
        <v>599</v>
      </c>
      <c r="C134" s="6"/>
    </row>
    <row r="135" spans="1:11" x14ac:dyDescent="0.25">
      <c r="A135" t="s">
        <v>434</v>
      </c>
      <c r="B135" s="3" t="s">
        <v>418</v>
      </c>
      <c r="C135" s="6">
        <v>15.93</v>
      </c>
    </row>
    <row r="136" spans="1:11" x14ac:dyDescent="0.25">
      <c r="A136" t="s">
        <v>434</v>
      </c>
      <c r="B136" s="3" t="s">
        <v>419</v>
      </c>
      <c r="C136" s="6">
        <v>22.93</v>
      </c>
    </row>
    <row r="137" spans="1:11" x14ac:dyDescent="0.25">
      <c r="B137" s="3" t="s">
        <v>600</v>
      </c>
      <c r="C137" s="6">
        <v>39.409999999999997</v>
      </c>
    </row>
    <row r="138" spans="1:11" x14ac:dyDescent="0.25">
      <c r="A138" s="332" t="s">
        <v>434</v>
      </c>
      <c r="B138" s="465" t="s">
        <v>1285</v>
      </c>
      <c r="C138" s="6">
        <v>6.86</v>
      </c>
      <c r="G138" t="s">
        <v>1286</v>
      </c>
    </row>
    <row r="139" spans="1:11" x14ac:dyDescent="0.25">
      <c r="B139" s="3" t="s">
        <v>601</v>
      </c>
      <c r="C139" s="6"/>
      <c r="G139" t="s">
        <v>598</v>
      </c>
    </row>
    <row r="140" spans="1:11" x14ac:dyDescent="0.25">
      <c r="A140" t="s">
        <v>430</v>
      </c>
      <c r="B140" s="3" t="s">
        <v>602</v>
      </c>
      <c r="C140" s="6">
        <v>96.37</v>
      </c>
    </row>
    <row r="141" spans="1:11" x14ac:dyDescent="0.25">
      <c r="A141" t="s">
        <v>430</v>
      </c>
      <c r="B141" s="3" t="s">
        <v>603</v>
      </c>
      <c r="C141" s="6"/>
    </row>
    <row r="142" spans="1:11" x14ac:dyDescent="0.25">
      <c r="A142" t="s">
        <v>430</v>
      </c>
      <c r="B142" s="5">
        <v>23567793</v>
      </c>
      <c r="C142" s="361">
        <v>109.16</v>
      </c>
    </row>
    <row r="143" spans="1:11" x14ac:dyDescent="0.25">
      <c r="A143" t="s">
        <v>430</v>
      </c>
      <c r="B143" s="5">
        <v>23582260</v>
      </c>
      <c r="C143" s="6">
        <v>26.15</v>
      </c>
    </row>
    <row r="144" spans="1:11" x14ac:dyDescent="0.25">
      <c r="A144" t="s">
        <v>430</v>
      </c>
      <c r="B144" s="3" t="s">
        <v>185</v>
      </c>
      <c r="C144" s="6">
        <f>D144+E144</f>
        <v>13.401600000000002</v>
      </c>
      <c r="E144" s="1">
        <f>F144*0.32</f>
        <v>13.401600000000002</v>
      </c>
      <c r="F144" s="333">
        <v>41.88</v>
      </c>
      <c r="I144" s="1">
        <v>41.44</v>
      </c>
      <c r="J144" s="1">
        <f>I144*0.32</f>
        <v>13.2608</v>
      </c>
      <c r="K144" s="1">
        <f t="shared" ref="K144:K152" si="3">E144-J144</f>
        <v>0.14080000000000226</v>
      </c>
    </row>
    <row r="145" spans="1:11" x14ac:dyDescent="0.25">
      <c r="A145" t="s">
        <v>430</v>
      </c>
      <c r="B145" s="3" t="s">
        <v>186</v>
      </c>
      <c r="C145" s="6">
        <f t="shared" ref="C145:C157" si="4">D145+E145</f>
        <v>12.1152</v>
      </c>
      <c r="E145" s="1">
        <f t="shared" ref="E145:E157" si="5">F145*0.32</f>
        <v>12.1152</v>
      </c>
      <c r="F145" s="333">
        <v>37.86</v>
      </c>
      <c r="I145" s="1">
        <v>37.14</v>
      </c>
      <c r="J145" s="1">
        <f t="shared" ref="J145:J157" si="6">I145*0.32</f>
        <v>11.8848</v>
      </c>
      <c r="K145" s="1">
        <f t="shared" si="3"/>
        <v>0.23039999999999949</v>
      </c>
    </row>
    <row r="146" spans="1:11" x14ac:dyDescent="0.25">
      <c r="A146" t="s">
        <v>430</v>
      </c>
      <c r="B146" s="3" t="s">
        <v>187</v>
      </c>
      <c r="C146" s="6">
        <f t="shared" si="4"/>
        <v>15.9008</v>
      </c>
      <c r="E146" s="1">
        <f t="shared" si="5"/>
        <v>15.9008</v>
      </c>
      <c r="F146" s="333">
        <v>49.69</v>
      </c>
      <c r="I146" s="1">
        <v>47.94</v>
      </c>
      <c r="J146" s="1">
        <f t="shared" si="6"/>
        <v>15.3408</v>
      </c>
      <c r="K146" s="1">
        <f t="shared" si="3"/>
        <v>0.5600000000000005</v>
      </c>
    </row>
    <row r="147" spans="1:11" x14ac:dyDescent="0.25">
      <c r="A147" t="s">
        <v>430</v>
      </c>
      <c r="B147" s="3" t="s">
        <v>797</v>
      </c>
      <c r="C147" s="6">
        <f t="shared" si="4"/>
        <v>12.326400000000001</v>
      </c>
      <c r="E147" s="1">
        <f t="shared" si="5"/>
        <v>12.326400000000001</v>
      </c>
      <c r="F147" s="333">
        <v>38.520000000000003</v>
      </c>
      <c r="I147" s="1">
        <v>37.61</v>
      </c>
      <c r="J147" s="1">
        <f t="shared" si="6"/>
        <v>12.0352</v>
      </c>
      <c r="K147" s="1">
        <f t="shared" si="3"/>
        <v>0.29120000000000168</v>
      </c>
    </row>
    <row r="148" spans="1:11" x14ac:dyDescent="0.25">
      <c r="A148" t="s">
        <v>430</v>
      </c>
      <c r="B148" s="3" t="s">
        <v>188</v>
      </c>
      <c r="C148" s="6">
        <f t="shared" si="4"/>
        <v>17.017600000000002</v>
      </c>
      <c r="E148" s="1">
        <f t="shared" si="5"/>
        <v>17.017600000000002</v>
      </c>
      <c r="F148" s="333">
        <v>53.18</v>
      </c>
      <c r="I148" s="1">
        <v>51.73</v>
      </c>
      <c r="J148" s="1">
        <f t="shared" si="6"/>
        <v>16.553599999999999</v>
      </c>
      <c r="K148" s="1">
        <f t="shared" si="3"/>
        <v>0.46400000000000219</v>
      </c>
    </row>
    <row r="149" spans="1:11" x14ac:dyDescent="0.25">
      <c r="A149" t="s">
        <v>430</v>
      </c>
      <c r="B149" s="3" t="s">
        <v>189</v>
      </c>
      <c r="C149" s="6">
        <f t="shared" si="4"/>
        <v>13.040000000000001</v>
      </c>
      <c r="E149" s="1">
        <f t="shared" si="5"/>
        <v>13.040000000000001</v>
      </c>
      <c r="F149" s="333">
        <v>40.75</v>
      </c>
      <c r="I149" s="1">
        <v>39.69</v>
      </c>
      <c r="J149" s="1">
        <f t="shared" si="6"/>
        <v>12.700799999999999</v>
      </c>
      <c r="K149" s="1">
        <f t="shared" si="3"/>
        <v>0.33920000000000172</v>
      </c>
    </row>
    <row r="150" spans="1:11" x14ac:dyDescent="0.25">
      <c r="A150" t="s">
        <v>430</v>
      </c>
      <c r="B150" s="3" t="s">
        <v>604</v>
      </c>
      <c r="C150" s="6">
        <f t="shared" si="4"/>
        <v>23.219200000000001</v>
      </c>
      <c r="E150" s="1">
        <f t="shared" si="5"/>
        <v>23.219200000000001</v>
      </c>
      <c r="F150" s="1">
        <v>72.56</v>
      </c>
      <c r="I150" s="1">
        <v>72.09</v>
      </c>
      <c r="J150" s="1">
        <f t="shared" si="6"/>
        <v>23.068800000000003</v>
      </c>
      <c r="K150" s="1">
        <f t="shared" si="3"/>
        <v>0.15039999999999765</v>
      </c>
    </row>
    <row r="151" spans="1:11" x14ac:dyDescent="0.25">
      <c r="A151" t="s">
        <v>430</v>
      </c>
      <c r="B151" s="3" t="s">
        <v>190</v>
      </c>
      <c r="C151" s="6">
        <f t="shared" si="4"/>
        <v>18.9056</v>
      </c>
      <c r="E151" s="1">
        <f t="shared" si="5"/>
        <v>18.9056</v>
      </c>
      <c r="F151" s="333">
        <v>59.08</v>
      </c>
      <c r="I151" s="1">
        <v>58.1</v>
      </c>
      <c r="J151" s="1">
        <f t="shared" si="6"/>
        <v>18.592000000000002</v>
      </c>
      <c r="K151" s="1">
        <f t="shared" si="3"/>
        <v>0.31359999999999744</v>
      </c>
    </row>
    <row r="152" spans="1:11" x14ac:dyDescent="0.25">
      <c r="A152" t="s">
        <v>430</v>
      </c>
      <c r="B152" s="3" t="s">
        <v>191</v>
      </c>
      <c r="C152" s="6">
        <f t="shared" si="4"/>
        <v>12.019200000000001</v>
      </c>
      <c r="E152" s="1">
        <f t="shared" si="5"/>
        <v>12.019200000000001</v>
      </c>
      <c r="F152" s="333">
        <v>37.56</v>
      </c>
      <c r="I152" s="1">
        <v>36.770000000000003</v>
      </c>
      <c r="J152" s="1">
        <f t="shared" si="6"/>
        <v>11.766400000000001</v>
      </c>
      <c r="K152" s="1">
        <f t="shared" si="3"/>
        <v>0.25280000000000058</v>
      </c>
    </row>
    <row r="153" spans="1:11" x14ac:dyDescent="0.25">
      <c r="A153" t="s">
        <v>430</v>
      </c>
      <c r="B153" s="3" t="s">
        <v>1071</v>
      </c>
      <c r="C153" s="6">
        <v>27.31</v>
      </c>
      <c r="E153" s="1">
        <f t="shared" si="5"/>
        <v>30.006399999999999</v>
      </c>
      <c r="F153" s="333">
        <v>93.77</v>
      </c>
      <c r="I153" s="1">
        <v>93.16</v>
      </c>
      <c r="J153" s="1"/>
      <c r="K153" s="1"/>
    </row>
    <row r="154" spans="1:11" x14ac:dyDescent="0.25">
      <c r="A154" t="s">
        <v>430</v>
      </c>
      <c r="B154" s="3" t="s">
        <v>192</v>
      </c>
      <c r="C154" s="6">
        <f t="shared" si="4"/>
        <v>43.113599999999998</v>
      </c>
      <c r="E154" s="1">
        <f t="shared" si="5"/>
        <v>43.113599999999998</v>
      </c>
      <c r="F154" s="333">
        <v>134.72999999999999</v>
      </c>
      <c r="I154" s="1">
        <v>133.85</v>
      </c>
      <c r="J154" s="1">
        <f t="shared" si="6"/>
        <v>42.832000000000001</v>
      </c>
      <c r="K154" s="1">
        <f>E154-J154</f>
        <v>0.28159999999999741</v>
      </c>
    </row>
    <row r="155" spans="1:11" x14ac:dyDescent="0.25">
      <c r="A155" t="s">
        <v>430</v>
      </c>
      <c r="B155" s="3" t="s">
        <v>193</v>
      </c>
      <c r="C155" s="6">
        <f t="shared" si="4"/>
        <v>17.779199999999999</v>
      </c>
      <c r="E155" s="1">
        <f t="shared" si="5"/>
        <v>17.779199999999999</v>
      </c>
      <c r="F155" s="461">
        <v>55.56</v>
      </c>
      <c r="I155" s="23">
        <v>62.31</v>
      </c>
      <c r="J155" s="1">
        <f t="shared" si="6"/>
        <v>19.9392</v>
      </c>
      <c r="K155" s="1">
        <f>E155-J155</f>
        <v>-2.16</v>
      </c>
    </row>
    <row r="156" spans="1:11" x14ac:dyDescent="0.25">
      <c r="A156" t="s">
        <v>430</v>
      </c>
      <c r="B156" s="3" t="s">
        <v>194</v>
      </c>
      <c r="C156" s="6">
        <f t="shared" si="4"/>
        <v>21.123200000000001</v>
      </c>
      <c r="E156" s="1">
        <f t="shared" si="5"/>
        <v>21.123200000000001</v>
      </c>
      <c r="F156" s="333">
        <v>66.010000000000005</v>
      </c>
      <c r="I156" s="1">
        <v>66.63</v>
      </c>
      <c r="J156" s="1">
        <f t="shared" si="6"/>
        <v>21.3216</v>
      </c>
      <c r="K156" s="1">
        <f>E156-J156</f>
        <v>-0.19839999999999947</v>
      </c>
    </row>
    <row r="157" spans="1:11" x14ac:dyDescent="0.25">
      <c r="A157" t="s">
        <v>430</v>
      </c>
      <c r="B157" s="3" t="s">
        <v>918</v>
      </c>
      <c r="C157" s="6">
        <f t="shared" si="4"/>
        <v>18.864000000000001</v>
      </c>
      <c r="E157" s="1">
        <f t="shared" si="5"/>
        <v>18.864000000000001</v>
      </c>
      <c r="F157" s="333">
        <v>58.95</v>
      </c>
      <c r="I157" s="1">
        <v>56.41</v>
      </c>
      <c r="J157" s="1">
        <f t="shared" si="6"/>
        <v>18.051199999999998</v>
      </c>
      <c r="K157" s="1">
        <f>E157-J157</f>
        <v>0.81280000000000285</v>
      </c>
    </row>
    <row r="158" spans="1:11" x14ac:dyDescent="0.25">
      <c r="A158" t="s">
        <v>430</v>
      </c>
      <c r="B158" s="3" t="s">
        <v>605</v>
      </c>
      <c r="C158" s="6">
        <v>11.91</v>
      </c>
    </row>
    <row r="159" spans="1:11" x14ac:dyDescent="0.25">
      <c r="A159" t="s">
        <v>430</v>
      </c>
      <c r="B159" s="3" t="s">
        <v>1079</v>
      </c>
      <c r="C159" s="6">
        <v>14.67</v>
      </c>
    </row>
    <row r="160" spans="1:11" x14ac:dyDescent="0.25">
      <c r="A160" t="s">
        <v>430</v>
      </c>
      <c r="B160" s="3" t="s">
        <v>195</v>
      </c>
      <c r="C160" s="6">
        <v>45.19</v>
      </c>
      <c r="I160" s="1">
        <v>40.74</v>
      </c>
    </row>
    <row r="161" spans="1:7" x14ac:dyDescent="0.25">
      <c r="A161" t="s">
        <v>430</v>
      </c>
      <c r="B161" s="3" t="s">
        <v>606</v>
      </c>
      <c r="C161" s="6">
        <v>38.380000000000003</v>
      </c>
    </row>
    <row r="162" spans="1:7" x14ac:dyDescent="0.25">
      <c r="A162" t="s">
        <v>430</v>
      </c>
      <c r="B162" s="3" t="s">
        <v>196</v>
      </c>
      <c r="C162" s="6">
        <v>20.34</v>
      </c>
    </row>
    <row r="163" spans="1:7" x14ac:dyDescent="0.25">
      <c r="A163" t="s">
        <v>430</v>
      </c>
      <c r="B163" s="3" t="s">
        <v>197</v>
      </c>
      <c r="C163" s="6">
        <v>15.77</v>
      </c>
    </row>
    <row r="164" spans="1:7" x14ac:dyDescent="0.25">
      <c r="A164" t="s">
        <v>430</v>
      </c>
      <c r="B164" s="3" t="s">
        <v>201</v>
      </c>
      <c r="C164" s="6">
        <v>8.7799999999999994</v>
      </c>
    </row>
    <row r="165" spans="1:7" x14ac:dyDescent="0.25">
      <c r="A165" t="s">
        <v>430</v>
      </c>
      <c r="B165" s="3" t="s">
        <v>200</v>
      </c>
      <c r="C165" s="6">
        <v>8.27</v>
      </c>
    </row>
    <row r="166" spans="1:7" x14ac:dyDescent="0.25">
      <c r="A166" t="s">
        <v>430</v>
      </c>
      <c r="B166" s="3" t="s">
        <v>199</v>
      </c>
      <c r="C166" s="6">
        <v>10.37</v>
      </c>
      <c r="D166" t="s">
        <v>1173</v>
      </c>
    </row>
    <row r="167" spans="1:7" x14ac:dyDescent="0.25">
      <c r="A167" t="s">
        <v>430</v>
      </c>
      <c r="B167" s="3" t="s">
        <v>1019</v>
      </c>
      <c r="C167" s="6">
        <v>21.03</v>
      </c>
    </row>
    <row r="168" spans="1:7" x14ac:dyDescent="0.25">
      <c r="A168" t="s">
        <v>430</v>
      </c>
      <c r="B168" s="3" t="s">
        <v>964</v>
      </c>
      <c r="C168" s="6">
        <v>63.64</v>
      </c>
      <c r="G168" t="s">
        <v>198</v>
      </c>
    </row>
    <row r="169" spans="1:7" x14ac:dyDescent="0.25">
      <c r="A169" t="s">
        <v>421</v>
      </c>
      <c r="B169" s="4">
        <v>1183619</v>
      </c>
      <c r="C169" s="6">
        <v>31.07</v>
      </c>
    </row>
    <row r="170" spans="1:7" x14ac:dyDescent="0.25">
      <c r="A170" t="s">
        <v>421</v>
      </c>
      <c r="B170" s="4">
        <v>1210145</v>
      </c>
      <c r="C170" s="6">
        <v>9.91</v>
      </c>
    </row>
    <row r="171" spans="1:7" x14ac:dyDescent="0.25">
      <c r="A171" t="s">
        <v>421</v>
      </c>
      <c r="B171" s="4">
        <v>1752949</v>
      </c>
      <c r="C171" s="6">
        <v>39.5</v>
      </c>
      <c r="D171" s="1"/>
    </row>
    <row r="172" spans="1:7" x14ac:dyDescent="0.25">
      <c r="A172" t="s">
        <v>421</v>
      </c>
      <c r="B172" s="5" t="s">
        <v>202</v>
      </c>
      <c r="C172" s="6">
        <v>38.44</v>
      </c>
      <c r="D172" s="1"/>
    </row>
    <row r="173" spans="1:7" x14ac:dyDescent="0.25">
      <c r="A173" t="s">
        <v>421</v>
      </c>
      <c r="B173" s="5" t="s">
        <v>203</v>
      </c>
      <c r="C173" s="6">
        <v>32.14</v>
      </c>
      <c r="D173" s="1"/>
    </row>
    <row r="174" spans="1:7" x14ac:dyDescent="0.25">
      <c r="A174" t="s">
        <v>421</v>
      </c>
      <c r="B174" s="5" t="s">
        <v>204</v>
      </c>
      <c r="C174" s="6">
        <v>27.51</v>
      </c>
      <c r="D174" s="1"/>
    </row>
    <row r="175" spans="1:7" x14ac:dyDescent="0.25">
      <c r="A175" t="s">
        <v>421</v>
      </c>
      <c r="B175" s="5" t="s">
        <v>205</v>
      </c>
      <c r="C175" s="6">
        <v>25.78</v>
      </c>
      <c r="D175" s="1"/>
    </row>
    <row r="176" spans="1:7" x14ac:dyDescent="0.25">
      <c r="A176" t="s">
        <v>421</v>
      </c>
      <c r="B176" s="5" t="s">
        <v>206</v>
      </c>
      <c r="C176" s="6">
        <v>51.2</v>
      </c>
      <c r="D176" s="1"/>
    </row>
    <row r="177" spans="1:7" x14ac:dyDescent="0.25">
      <c r="A177" t="s">
        <v>421</v>
      </c>
      <c r="B177" s="4">
        <v>2492347</v>
      </c>
      <c r="C177" s="6">
        <v>37.31</v>
      </c>
      <c r="D177" s="1"/>
    </row>
    <row r="178" spans="1:7" x14ac:dyDescent="0.25">
      <c r="A178" t="s">
        <v>421</v>
      </c>
      <c r="B178" s="4">
        <v>2568753</v>
      </c>
      <c r="C178" s="6">
        <v>37.49</v>
      </c>
      <c r="D178" s="1"/>
    </row>
    <row r="179" spans="1:7" x14ac:dyDescent="0.25">
      <c r="A179" t="s">
        <v>421</v>
      </c>
      <c r="B179" s="4" t="s">
        <v>582</v>
      </c>
      <c r="C179" s="6">
        <v>94.86</v>
      </c>
      <c r="D179" s="1"/>
    </row>
    <row r="180" spans="1:7" x14ac:dyDescent="0.25">
      <c r="A180" t="s">
        <v>421</v>
      </c>
      <c r="B180" s="4">
        <v>3805839</v>
      </c>
      <c r="C180" s="6">
        <v>96.05</v>
      </c>
      <c r="D180" s="1"/>
    </row>
    <row r="181" spans="1:7" x14ac:dyDescent="0.25">
      <c r="A181" t="s">
        <v>421</v>
      </c>
      <c r="B181" s="4">
        <v>3805840</v>
      </c>
      <c r="C181" s="6">
        <v>127.15</v>
      </c>
      <c r="D181" s="1"/>
    </row>
    <row r="182" spans="1:7" x14ac:dyDescent="0.25">
      <c r="A182" t="s">
        <v>421</v>
      </c>
      <c r="B182" s="5" t="s">
        <v>436</v>
      </c>
      <c r="C182" s="6">
        <v>56.79</v>
      </c>
      <c r="D182" s="1"/>
    </row>
    <row r="183" spans="1:7" x14ac:dyDescent="0.25">
      <c r="A183" t="s">
        <v>421</v>
      </c>
      <c r="B183" s="4">
        <v>4355142</v>
      </c>
      <c r="C183" s="6">
        <v>22.36</v>
      </c>
      <c r="D183" s="1"/>
    </row>
    <row r="184" spans="1:7" x14ac:dyDescent="0.25">
      <c r="A184" t="s">
        <v>421</v>
      </c>
      <c r="B184" s="4" t="s">
        <v>1199</v>
      </c>
      <c r="C184" s="6">
        <v>22.77</v>
      </c>
      <c r="D184" s="1"/>
    </row>
    <row r="185" spans="1:7" x14ac:dyDescent="0.25">
      <c r="A185" t="s">
        <v>421</v>
      </c>
      <c r="B185" s="5" t="s">
        <v>437</v>
      </c>
      <c r="C185" s="6">
        <v>98.75</v>
      </c>
    </row>
    <row r="186" spans="1:7" x14ac:dyDescent="0.25">
      <c r="A186" t="s">
        <v>853</v>
      </c>
      <c r="B186" s="5" t="s">
        <v>1154</v>
      </c>
      <c r="C186" s="6">
        <v>4.34</v>
      </c>
    </row>
    <row r="187" spans="1:7" x14ac:dyDescent="0.25">
      <c r="A187" t="s">
        <v>853</v>
      </c>
      <c r="B187" s="5"/>
      <c r="C187" s="6"/>
    </row>
    <row r="188" spans="1:7" x14ac:dyDescent="0.25">
      <c r="A188" t="s">
        <v>421</v>
      </c>
      <c r="B188" s="5" t="s">
        <v>607</v>
      </c>
      <c r="C188" s="6"/>
      <c r="G188" t="s">
        <v>608</v>
      </c>
    </row>
    <row r="189" spans="1:7" x14ac:dyDescent="0.25">
      <c r="A189" t="s">
        <v>613</v>
      </c>
      <c r="B189" s="5" t="s">
        <v>609</v>
      </c>
      <c r="C189" s="6">
        <v>7.5</v>
      </c>
    </row>
    <row r="190" spans="1:7" x14ac:dyDescent="0.25">
      <c r="A190" t="s">
        <v>613</v>
      </c>
      <c r="B190" s="5" t="s">
        <v>610</v>
      </c>
      <c r="C190" s="6">
        <v>9.9499999999999993</v>
      </c>
    </row>
    <row r="191" spans="1:7" x14ac:dyDescent="0.25">
      <c r="A191" t="s">
        <v>613</v>
      </c>
      <c r="B191" s="5">
        <v>23539623</v>
      </c>
      <c r="C191" s="6">
        <v>12.1</v>
      </c>
    </row>
    <row r="192" spans="1:7" x14ac:dyDescent="0.25">
      <c r="A192" t="s">
        <v>613</v>
      </c>
      <c r="B192" s="5" t="s">
        <v>611</v>
      </c>
      <c r="C192" s="6">
        <v>10.25</v>
      </c>
    </row>
    <row r="193" spans="1:4" x14ac:dyDescent="0.25">
      <c r="A193" t="s">
        <v>613</v>
      </c>
      <c r="B193" s="5" t="s">
        <v>904</v>
      </c>
      <c r="C193" s="6">
        <v>10.58</v>
      </c>
    </row>
    <row r="194" spans="1:4" x14ac:dyDescent="0.25">
      <c r="A194" t="s">
        <v>613</v>
      </c>
      <c r="B194" s="5" t="s">
        <v>612</v>
      </c>
      <c r="C194" s="6">
        <v>9.5</v>
      </c>
    </row>
    <row r="195" spans="1:4" x14ac:dyDescent="0.25">
      <c r="A195" t="s">
        <v>614</v>
      </c>
      <c r="B195" s="5">
        <v>80301</v>
      </c>
      <c r="C195" s="6">
        <v>17.16</v>
      </c>
    </row>
    <row r="196" spans="1:4" x14ac:dyDescent="0.25">
      <c r="A196" t="s">
        <v>614</v>
      </c>
      <c r="B196" s="5">
        <v>7002525</v>
      </c>
      <c r="C196" s="6">
        <v>17.16</v>
      </c>
    </row>
    <row r="197" spans="1:4" x14ac:dyDescent="0.25">
      <c r="A197" t="s">
        <v>422</v>
      </c>
      <c r="B197" s="5" t="s">
        <v>207</v>
      </c>
      <c r="C197" s="6">
        <v>14.1</v>
      </c>
    </row>
    <row r="198" spans="1:4" x14ac:dyDescent="0.25">
      <c r="A198" t="s">
        <v>422</v>
      </c>
      <c r="B198" s="4">
        <v>23505720</v>
      </c>
      <c r="C198" s="6">
        <v>10.25</v>
      </c>
    </row>
    <row r="199" spans="1:4" x14ac:dyDescent="0.25">
      <c r="A199" t="s">
        <v>422</v>
      </c>
      <c r="B199" s="4">
        <v>23506722</v>
      </c>
      <c r="C199" s="6">
        <v>18.22</v>
      </c>
    </row>
    <row r="200" spans="1:4" x14ac:dyDescent="0.25">
      <c r="A200" t="s">
        <v>422</v>
      </c>
      <c r="B200" s="4">
        <v>23521528</v>
      </c>
      <c r="C200" s="6">
        <v>10.86</v>
      </c>
      <c r="D200" t="s">
        <v>1174</v>
      </c>
    </row>
    <row r="201" spans="1:4" x14ac:dyDescent="0.25">
      <c r="A201" t="s">
        <v>422</v>
      </c>
      <c r="B201" s="4">
        <v>23530573</v>
      </c>
      <c r="C201" s="6">
        <v>23.15</v>
      </c>
    </row>
    <row r="202" spans="1:4" x14ac:dyDescent="0.25">
      <c r="A202" t="s">
        <v>422</v>
      </c>
      <c r="B202" s="4">
        <v>23530706</v>
      </c>
      <c r="C202" s="6">
        <v>15.42</v>
      </c>
    </row>
    <row r="203" spans="1:4" x14ac:dyDescent="0.25">
      <c r="A203" t="s">
        <v>422</v>
      </c>
      <c r="B203" s="4">
        <v>23530707</v>
      </c>
      <c r="C203" s="6">
        <v>15.9</v>
      </c>
    </row>
    <row r="204" spans="1:4" x14ac:dyDescent="0.25">
      <c r="A204" t="s">
        <v>422</v>
      </c>
      <c r="B204" s="4">
        <v>23533816</v>
      </c>
      <c r="C204" s="6">
        <v>26</v>
      </c>
    </row>
    <row r="205" spans="1:4" x14ac:dyDescent="0.25">
      <c r="A205" t="s">
        <v>422</v>
      </c>
      <c r="B205" s="4">
        <v>29540479</v>
      </c>
      <c r="C205" s="6">
        <v>190.44</v>
      </c>
    </row>
    <row r="206" spans="1:4" x14ac:dyDescent="0.25">
      <c r="A206" t="s">
        <v>422</v>
      </c>
      <c r="B206" s="4">
        <v>29545776</v>
      </c>
      <c r="C206" s="6">
        <v>51.68</v>
      </c>
    </row>
    <row r="207" spans="1:4" x14ac:dyDescent="0.25">
      <c r="A207" t="s">
        <v>422</v>
      </c>
      <c r="B207" s="4">
        <v>320628</v>
      </c>
      <c r="C207" s="6">
        <v>7.49</v>
      </c>
    </row>
    <row r="208" spans="1:4" x14ac:dyDescent="0.25">
      <c r="A208" t="s">
        <v>422</v>
      </c>
      <c r="B208" s="3" t="s">
        <v>208</v>
      </c>
      <c r="C208" s="6">
        <v>92.42</v>
      </c>
    </row>
    <row r="209" spans="1:11" x14ac:dyDescent="0.25">
      <c r="A209" t="s">
        <v>422</v>
      </c>
      <c r="B209" s="3" t="s">
        <v>209</v>
      </c>
      <c r="C209" s="6">
        <v>12.96</v>
      </c>
      <c r="G209" t="s">
        <v>1109</v>
      </c>
    </row>
    <row r="210" spans="1:11" x14ac:dyDescent="0.25">
      <c r="A210" t="s">
        <v>422</v>
      </c>
      <c r="B210" s="3" t="s">
        <v>210</v>
      </c>
      <c r="C210" s="6">
        <v>85</v>
      </c>
    </row>
    <row r="211" spans="1:11" x14ac:dyDescent="0.25">
      <c r="A211" t="s">
        <v>422</v>
      </c>
      <c r="B211" s="286" t="s">
        <v>756</v>
      </c>
      <c r="C211" s="6">
        <v>90.37</v>
      </c>
      <c r="D211" t="s">
        <v>1175</v>
      </c>
      <c r="K211" s="26"/>
    </row>
    <row r="212" spans="1:11" x14ac:dyDescent="0.25">
      <c r="A212" t="s">
        <v>422</v>
      </c>
      <c r="B212" s="3" t="s">
        <v>211</v>
      </c>
      <c r="C212" s="6">
        <v>154.01</v>
      </c>
      <c r="G212" t="s">
        <v>1195</v>
      </c>
    </row>
    <row r="213" spans="1:11" x14ac:dyDescent="0.25">
      <c r="A213" t="s">
        <v>422</v>
      </c>
      <c r="B213" s="3" t="s">
        <v>212</v>
      </c>
      <c r="C213" s="6">
        <v>106.31</v>
      </c>
    </row>
    <row r="214" spans="1:11" x14ac:dyDescent="0.25">
      <c r="A214" t="s">
        <v>422</v>
      </c>
      <c r="B214" s="3" t="s">
        <v>1295</v>
      </c>
      <c r="C214" s="6">
        <v>67.39</v>
      </c>
    </row>
    <row r="215" spans="1:11" x14ac:dyDescent="0.25">
      <c r="A215" t="s">
        <v>422</v>
      </c>
      <c r="B215" s="3" t="s">
        <v>213</v>
      </c>
      <c r="C215" s="6">
        <v>68.55</v>
      </c>
    </row>
    <row r="216" spans="1:11" x14ac:dyDescent="0.25">
      <c r="A216" t="s">
        <v>422</v>
      </c>
      <c r="B216" s="3" t="s">
        <v>519</v>
      </c>
      <c r="C216" s="6">
        <v>116.7</v>
      </c>
    </row>
    <row r="217" spans="1:11" x14ac:dyDescent="0.25">
      <c r="A217" t="s">
        <v>422</v>
      </c>
      <c r="B217" s="3" t="s">
        <v>1193</v>
      </c>
      <c r="C217" s="6">
        <v>154.01</v>
      </c>
      <c r="G217" t="s">
        <v>1194</v>
      </c>
    </row>
    <row r="218" spans="1:11" x14ac:dyDescent="0.25">
      <c r="A218" t="s">
        <v>422</v>
      </c>
      <c r="B218" s="3" t="s">
        <v>1211</v>
      </c>
      <c r="C218" s="6">
        <v>146.22999999999999</v>
      </c>
    </row>
    <row r="219" spans="1:11" x14ac:dyDescent="0.25">
      <c r="A219" t="s">
        <v>422</v>
      </c>
      <c r="B219" s="3" t="s">
        <v>1212</v>
      </c>
      <c r="C219" s="6">
        <v>42</v>
      </c>
    </row>
    <row r="220" spans="1:11" x14ac:dyDescent="0.25">
      <c r="A220" t="s">
        <v>422</v>
      </c>
      <c r="B220" s="3" t="s">
        <v>214</v>
      </c>
      <c r="C220" s="6">
        <v>25.29</v>
      </c>
      <c r="I220" t="s">
        <v>1020</v>
      </c>
    </row>
    <row r="221" spans="1:11" x14ac:dyDescent="0.25">
      <c r="A221" t="s">
        <v>422</v>
      </c>
      <c r="B221" s="3" t="s">
        <v>215</v>
      </c>
      <c r="C221" s="6">
        <v>10.83</v>
      </c>
    </row>
    <row r="222" spans="1:11" x14ac:dyDescent="0.25">
      <c r="A222" t="s">
        <v>422</v>
      </c>
      <c r="B222" s="3" t="s">
        <v>216</v>
      </c>
      <c r="C222" s="361">
        <v>32.799999999999997</v>
      </c>
      <c r="D222" t="s">
        <v>1177</v>
      </c>
      <c r="F222" t="s">
        <v>1294</v>
      </c>
    </row>
    <row r="223" spans="1:11" x14ac:dyDescent="0.25">
      <c r="A223" t="s">
        <v>422</v>
      </c>
      <c r="B223" s="3" t="s">
        <v>217</v>
      </c>
      <c r="C223" s="6">
        <v>6.47</v>
      </c>
      <c r="D223" t="s">
        <v>1178</v>
      </c>
      <c r="G223" s="1"/>
    </row>
    <row r="224" spans="1:11" x14ac:dyDescent="0.25">
      <c r="A224" t="s">
        <v>422</v>
      </c>
      <c r="B224" s="3" t="s">
        <v>218</v>
      </c>
      <c r="C224" s="471">
        <v>100.79</v>
      </c>
      <c r="D224" s="6"/>
    </row>
    <row r="225" spans="1:7" x14ac:dyDescent="0.25">
      <c r="A225" t="s">
        <v>422</v>
      </c>
      <c r="B225" s="3" t="s">
        <v>219</v>
      </c>
      <c r="C225" s="6">
        <v>31.56</v>
      </c>
    </row>
    <row r="226" spans="1:7" x14ac:dyDescent="0.25">
      <c r="A226" t="s">
        <v>422</v>
      </c>
      <c r="B226" s="3" t="s">
        <v>220</v>
      </c>
      <c r="C226" s="6">
        <v>37.99</v>
      </c>
    </row>
    <row r="227" spans="1:7" x14ac:dyDescent="0.25">
      <c r="A227" t="s">
        <v>422</v>
      </c>
      <c r="B227" s="3" t="s">
        <v>221</v>
      </c>
      <c r="C227" s="6">
        <v>101.41</v>
      </c>
      <c r="D227" t="s">
        <v>1179</v>
      </c>
    </row>
    <row r="228" spans="1:7" x14ac:dyDescent="0.25">
      <c r="A228" t="s">
        <v>422</v>
      </c>
      <c r="B228" s="3" t="s">
        <v>222</v>
      </c>
      <c r="C228" s="6">
        <v>197.18</v>
      </c>
    </row>
    <row r="229" spans="1:7" x14ac:dyDescent="0.25">
      <c r="A229" t="s">
        <v>422</v>
      </c>
      <c r="B229" s="3" t="s">
        <v>223</v>
      </c>
      <c r="C229" s="6">
        <v>108.43</v>
      </c>
    </row>
    <row r="230" spans="1:7" x14ac:dyDescent="0.25">
      <c r="A230" t="s">
        <v>422</v>
      </c>
      <c r="B230" s="3" t="s">
        <v>520</v>
      </c>
      <c r="C230" s="471">
        <v>110.87</v>
      </c>
      <c r="G230" s="1"/>
    </row>
    <row r="231" spans="1:7" x14ac:dyDescent="0.25">
      <c r="A231" t="s">
        <v>422</v>
      </c>
      <c r="B231" s="3" t="s">
        <v>1209</v>
      </c>
      <c r="C231" s="6">
        <v>93.97</v>
      </c>
      <c r="G231" s="1"/>
    </row>
    <row r="232" spans="1:7" x14ac:dyDescent="0.25">
      <c r="A232" t="s">
        <v>422</v>
      </c>
      <c r="B232" s="3" t="s">
        <v>224</v>
      </c>
      <c r="C232" s="6">
        <v>72.650000000000006</v>
      </c>
    </row>
    <row r="233" spans="1:7" x14ac:dyDescent="0.25">
      <c r="A233" t="s">
        <v>422</v>
      </c>
      <c r="B233" s="3" t="s">
        <v>225</v>
      </c>
      <c r="C233" s="6">
        <v>77.86</v>
      </c>
      <c r="E233" s="1"/>
    </row>
    <row r="234" spans="1:7" x14ac:dyDescent="0.25">
      <c r="A234" t="s">
        <v>422</v>
      </c>
      <c r="B234" s="3" t="s">
        <v>226</v>
      </c>
      <c r="C234" s="6">
        <v>93.97</v>
      </c>
      <c r="D234" t="s">
        <v>1180</v>
      </c>
    </row>
    <row r="235" spans="1:7" x14ac:dyDescent="0.25">
      <c r="A235" t="s">
        <v>422</v>
      </c>
      <c r="B235" s="3" t="s">
        <v>227</v>
      </c>
      <c r="C235" s="6">
        <v>71.45</v>
      </c>
      <c r="E235">
        <v>58.29</v>
      </c>
      <c r="F235" t="s">
        <v>1028</v>
      </c>
    </row>
    <row r="236" spans="1:7" x14ac:dyDescent="0.25">
      <c r="A236" t="s">
        <v>422</v>
      </c>
      <c r="B236" s="3" t="s">
        <v>228</v>
      </c>
      <c r="C236" s="6">
        <v>56.51</v>
      </c>
    </row>
    <row r="237" spans="1:7" x14ac:dyDescent="0.25">
      <c r="A237" t="s">
        <v>422</v>
      </c>
      <c r="B237" s="3" t="s">
        <v>229</v>
      </c>
      <c r="C237" s="6">
        <v>18.05</v>
      </c>
    </row>
    <row r="238" spans="1:7" x14ac:dyDescent="0.25">
      <c r="A238" t="s">
        <v>422</v>
      </c>
      <c r="B238" s="3" t="s">
        <v>230</v>
      </c>
      <c r="C238" s="6">
        <v>169.51</v>
      </c>
    </row>
    <row r="239" spans="1:7" x14ac:dyDescent="0.25">
      <c r="A239" t="s">
        <v>422</v>
      </c>
      <c r="B239" s="3" t="s">
        <v>231</v>
      </c>
      <c r="C239" s="361">
        <v>37</v>
      </c>
      <c r="D239" s="6"/>
    </row>
    <row r="240" spans="1:7" x14ac:dyDescent="0.25">
      <c r="A240" t="s">
        <v>422</v>
      </c>
      <c r="B240" s="3" t="s">
        <v>521</v>
      </c>
      <c r="C240" s="6">
        <v>22.9</v>
      </c>
    </row>
    <row r="241" spans="1:7" x14ac:dyDescent="0.25">
      <c r="A241" t="s">
        <v>422</v>
      </c>
      <c r="B241" s="3" t="s">
        <v>522</v>
      </c>
      <c r="C241" s="6">
        <v>140.68</v>
      </c>
      <c r="D241" s="6"/>
      <c r="E241" s="1"/>
    </row>
    <row r="242" spans="1:7" x14ac:dyDescent="0.25">
      <c r="A242" t="s">
        <v>422</v>
      </c>
      <c r="B242" s="3" t="s">
        <v>523</v>
      </c>
      <c r="C242" s="6">
        <v>28.17</v>
      </c>
    </row>
    <row r="243" spans="1:7" x14ac:dyDescent="0.25">
      <c r="A243" t="s">
        <v>422</v>
      </c>
      <c r="B243" s="3" t="s">
        <v>232</v>
      </c>
      <c r="C243" s="6">
        <v>58.3</v>
      </c>
      <c r="D243" s="6"/>
      <c r="G243" s="26"/>
    </row>
    <row r="244" spans="1:7" x14ac:dyDescent="0.25">
      <c r="A244" t="s">
        <v>422</v>
      </c>
      <c r="B244" s="3" t="s">
        <v>233</v>
      </c>
      <c r="C244" s="6">
        <v>31.31</v>
      </c>
    </row>
    <row r="245" spans="1:7" x14ac:dyDescent="0.25">
      <c r="A245" t="s">
        <v>422</v>
      </c>
      <c r="B245" s="3" t="s">
        <v>524</v>
      </c>
      <c r="C245" s="6">
        <v>4.92</v>
      </c>
    </row>
    <row r="246" spans="1:7" x14ac:dyDescent="0.25">
      <c r="A246" t="s">
        <v>422</v>
      </c>
      <c r="B246" s="3" t="s">
        <v>525</v>
      </c>
      <c r="C246" s="6">
        <v>2.1</v>
      </c>
    </row>
    <row r="247" spans="1:7" x14ac:dyDescent="0.25">
      <c r="A247" t="s">
        <v>422</v>
      </c>
      <c r="B247" s="3" t="s">
        <v>234</v>
      </c>
      <c r="C247" s="6">
        <v>1.9</v>
      </c>
    </row>
    <row r="248" spans="1:7" x14ac:dyDescent="0.25">
      <c r="A248" t="s">
        <v>422</v>
      </c>
      <c r="B248" s="3" t="s">
        <v>526</v>
      </c>
      <c r="C248" s="6">
        <v>0.53</v>
      </c>
    </row>
    <row r="249" spans="1:7" x14ac:dyDescent="0.25">
      <c r="A249" t="s">
        <v>422</v>
      </c>
      <c r="B249" s="3" t="s">
        <v>527</v>
      </c>
      <c r="C249" s="6">
        <v>0.83</v>
      </c>
    </row>
    <row r="250" spans="1:7" x14ac:dyDescent="0.25">
      <c r="A250" t="s">
        <v>422</v>
      </c>
      <c r="B250" s="3" t="s">
        <v>528</v>
      </c>
      <c r="C250" s="6">
        <v>0.95</v>
      </c>
    </row>
    <row r="251" spans="1:7" x14ac:dyDescent="0.25">
      <c r="A251" t="s">
        <v>422</v>
      </c>
      <c r="B251" s="3" t="s">
        <v>235</v>
      </c>
      <c r="C251" s="6">
        <v>1</v>
      </c>
    </row>
    <row r="252" spans="1:7" x14ac:dyDescent="0.25">
      <c r="A252" t="s">
        <v>422</v>
      </c>
      <c r="B252" s="3" t="s">
        <v>236</v>
      </c>
      <c r="C252" s="6">
        <v>3.33</v>
      </c>
    </row>
    <row r="253" spans="1:7" x14ac:dyDescent="0.25">
      <c r="A253" t="s">
        <v>422</v>
      </c>
      <c r="B253" s="3" t="s">
        <v>237</v>
      </c>
      <c r="C253" s="6">
        <v>3.12</v>
      </c>
    </row>
    <row r="254" spans="1:7" x14ac:dyDescent="0.25">
      <c r="A254" t="s">
        <v>798</v>
      </c>
      <c r="B254" s="5">
        <v>22193262</v>
      </c>
      <c r="C254" s="6">
        <v>52.31</v>
      </c>
    </row>
    <row r="255" spans="1:7" x14ac:dyDescent="0.25">
      <c r="A255" t="s">
        <v>798</v>
      </c>
      <c r="B255" s="5">
        <v>23516731</v>
      </c>
      <c r="C255" s="6">
        <v>12.75</v>
      </c>
    </row>
    <row r="256" spans="1:7" x14ac:dyDescent="0.25">
      <c r="A256" t="s">
        <v>798</v>
      </c>
      <c r="B256" s="5">
        <v>3099140</v>
      </c>
      <c r="C256" s="6">
        <v>1.91</v>
      </c>
    </row>
    <row r="257" spans="1:3" x14ac:dyDescent="0.25">
      <c r="A257" t="s">
        <v>798</v>
      </c>
      <c r="B257" s="5" t="s">
        <v>799</v>
      </c>
      <c r="C257" s="6">
        <v>26.12</v>
      </c>
    </row>
    <row r="258" spans="1:3" x14ac:dyDescent="0.25">
      <c r="A258" t="s">
        <v>798</v>
      </c>
      <c r="B258" s="5">
        <v>482003</v>
      </c>
      <c r="C258" s="6">
        <v>33.28</v>
      </c>
    </row>
    <row r="259" spans="1:3" x14ac:dyDescent="0.25">
      <c r="A259" t="s">
        <v>798</v>
      </c>
      <c r="B259" s="5">
        <v>482044</v>
      </c>
      <c r="C259" s="6">
        <v>129.30000000000001</v>
      </c>
    </row>
    <row r="260" spans="1:3" x14ac:dyDescent="0.25">
      <c r="A260" t="s">
        <v>798</v>
      </c>
      <c r="B260" s="5">
        <v>1117798</v>
      </c>
      <c r="C260" s="6">
        <v>8.74</v>
      </c>
    </row>
    <row r="261" spans="1:3" x14ac:dyDescent="0.25">
      <c r="A261" t="s">
        <v>798</v>
      </c>
      <c r="B261" s="5" t="s">
        <v>800</v>
      </c>
      <c r="C261" s="6">
        <v>15.06</v>
      </c>
    </row>
    <row r="262" spans="1:3" x14ac:dyDescent="0.25">
      <c r="A262" t="s">
        <v>798</v>
      </c>
      <c r="B262" s="5" t="s">
        <v>801</v>
      </c>
      <c r="C262" s="6">
        <v>19.399999999999999</v>
      </c>
    </row>
    <row r="263" spans="1:3" x14ac:dyDescent="0.25">
      <c r="A263" t="s">
        <v>811</v>
      </c>
      <c r="B263" s="5" t="s">
        <v>812</v>
      </c>
      <c r="C263" s="6">
        <v>19.920000000000002</v>
      </c>
    </row>
    <row r="264" spans="1:3" x14ac:dyDescent="0.25">
      <c r="A264" t="s">
        <v>811</v>
      </c>
      <c r="B264" s="5" t="s">
        <v>813</v>
      </c>
      <c r="C264" s="6">
        <v>10.3</v>
      </c>
    </row>
    <row r="265" spans="1:3" x14ac:dyDescent="0.25">
      <c r="A265" t="s">
        <v>811</v>
      </c>
      <c r="B265" s="5" t="s">
        <v>814</v>
      </c>
      <c r="C265" s="6">
        <v>17.75</v>
      </c>
    </row>
    <row r="266" spans="1:3" x14ac:dyDescent="0.25">
      <c r="A266" t="s">
        <v>811</v>
      </c>
      <c r="B266" s="5" t="s">
        <v>815</v>
      </c>
      <c r="C266" s="6">
        <v>16.66</v>
      </c>
    </row>
    <row r="267" spans="1:3" x14ac:dyDescent="0.25">
      <c r="A267" t="s">
        <v>811</v>
      </c>
      <c r="B267" s="5" t="s">
        <v>816</v>
      </c>
      <c r="C267" s="6">
        <v>20.34</v>
      </c>
    </row>
    <row r="268" spans="1:3" x14ac:dyDescent="0.25">
      <c r="A268" t="s">
        <v>811</v>
      </c>
      <c r="B268" s="5" t="s">
        <v>817</v>
      </c>
      <c r="C268" s="6">
        <v>51</v>
      </c>
    </row>
    <row r="269" spans="1:3" x14ac:dyDescent="0.25">
      <c r="A269" t="s">
        <v>811</v>
      </c>
      <c r="B269" s="5" t="s">
        <v>818</v>
      </c>
      <c r="C269" s="6">
        <v>39.19</v>
      </c>
    </row>
    <row r="270" spans="1:3" x14ac:dyDescent="0.25">
      <c r="A270" t="s">
        <v>811</v>
      </c>
      <c r="B270" s="5" t="s">
        <v>1160</v>
      </c>
      <c r="C270" s="6">
        <v>89.64</v>
      </c>
    </row>
    <row r="271" spans="1:3" x14ac:dyDescent="0.25">
      <c r="A271" t="s">
        <v>811</v>
      </c>
      <c r="B271" s="5" t="s">
        <v>819</v>
      </c>
      <c r="C271" s="6">
        <v>14.39</v>
      </c>
    </row>
    <row r="272" spans="1:3" x14ac:dyDescent="0.25">
      <c r="A272" t="s">
        <v>811</v>
      </c>
      <c r="B272" s="5" t="s">
        <v>1159</v>
      </c>
      <c r="C272" s="6">
        <v>28.35</v>
      </c>
    </row>
    <row r="273" spans="1:6" x14ac:dyDescent="0.25">
      <c r="A273" t="s">
        <v>811</v>
      </c>
      <c r="B273" s="5" t="s">
        <v>1230</v>
      </c>
      <c r="C273" s="6">
        <v>38.42</v>
      </c>
    </row>
    <row r="274" spans="1:6" x14ac:dyDescent="0.25">
      <c r="A274" t="s">
        <v>811</v>
      </c>
      <c r="B274" s="5" t="s">
        <v>966</v>
      </c>
      <c r="C274" s="6">
        <v>83.11</v>
      </c>
    </row>
    <row r="275" spans="1:6" x14ac:dyDescent="0.25">
      <c r="A275" t="s">
        <v>811</v>
      </c>
      <c r="B275" s="5" t="s">
        <v>825</v>
      </c>
      <c r="C275" s="6">
        <v>41.89</v>
      </c>
    </row>
    <row r="276" spans="1:6" x14ac:dyDescent="0.25">
      <c r="A276" t="s">
        <v>811</v>
      </c>
      <c r="B276" s="5" t="s">
        <v>820</v>
      </c>
      <c r="C276" s="6">
        <v>13.75</v>
      </c>
    </row>
    <row r="277" spans="1:6" x14ac:dyDescent="0.25">
      <c r="A277" t="s">
        <v>811</v>
      </c>
      <c r="B277" s="5" t="s">
        <v>821</v>
      </c>
      <c r="C277" s="6">
        <v>29.52</v>
      </c>
    </row>
    <row r="278" spans="1:6" x14ac:dyDescent="0.25">
      <c r="A278" t="s">
        <v>811</v>
      </c>
      <c r="B278" s="5" t="s">
        <v>822</v>
      </c>
      <c r="C278" s="6">
        <v>25.39</v>
      </c>
    </row>
    <row r="279" spans="1:6" x14ac:dyDescent="0.25">
      <c r="A279" t="s">
        <v>811</v>
      </c>
      <c r="B279" s="5" t="s">
        <v>823</v>
      </c>
      <c r="C279" s="6">
        <v>13.93</v>
      </c>
    </row>
    <row r="280" spans="1:6" x14ac:dyDescent="0.25">
      <c r="A280" t="s">
        <v>811</v>
      </c>
      <c r="B280" s="5" t="s">
        <v>824</v>
      </c>
      <c r="C280" s="6">
        <v>41.98</v>
      </c>
    </row>
    <row r="281" spans="1:6" x14ac:dyDescent="0.25">
      <c r="A281" t="s">
        <v>811</v>
      </c>
      <c r="B281" s="5" t="s">
        <v>1158</v>
      </c>
      <c r="C281" s="6">
        <v>10.33</v>
      </c>
    </row>
    <row r="282" spans="1:6" x14ac:dyDescent="0.25">
      <c r="A282" t="s">
        <v>826</v>
      </c>
      <c r="B282" s="5" t="s">
        <v>1279</v>
      </c>
      <c r="C282" s="6">
        <f>E282</f>
        <v>42.406400000000005</v>
      </c>
      <c r="E282" s="1">
        <f>F282*0.32</f>
        <v>42.406400000000005</v>
      </c>
      <c r="F282">
        <v>132.52000000000001</v>
      </c>
    </row>
    <row r="283" spans="1:6" x14ac:dyDescent="0.25">
      <c r="A283" t="s">
        <v>826</v>
      </c>
      <c r="B283" s="5">
        <v>1677527</v>
      </c>
      <c r="C283" s="6">
        <v>79.010000000000005</v>
      </c>
      <c r="E283" s="1"/>
    </row>
    <row r="284" spans="1:6" x14ac:dyDescent="0.25">
      <c r="A284" t="s">
        <v>826</v>
      </c>
      <c r="B284" s="5" t="s">
        <v>1280</v>
      </c>
      <c r="C284" s="6">
        <f>E284</f>
        <v>45.267200000000003</v>
      </c>
      <c r="E284" s="1">
        <f t="shared" ref="E284:E290" si="7">F284*0.32</f>
        <v>45.267200000000003</v>
      </c>
      <c r="F284">
        <v>141.46</v>
      </c>
    </row>
    <row r="285" spans="1:6" x14ac:dyDescent="0.25">
      <c r="A285" t="s">
        <v>826</v>
      </c>
      <c r="B285" s="5">
        <v>23533673</v>
      </c>
      <c r="C285" s="6">
        <v>28.58</v>
      </c>
      <c r="E285" s="1"/>
    </row>
    <row r="286" spans="1:6" x14ac:dyDescent="0.25">
      <c r="A286" t="s">
        <v>826</v>
      </c>
      <c r="B286" s="5">
        <v>23539158</v>
      </c>
      <c r="C286" s="6">
        <v>46.44</v>
      </c>
      <c r="E286" s="1"/>
    </row>
    <row r="287" spans="1:6" x14ac:dyDescent="0.25">
      <c r="A287" t="s">
        <v>826</v>
      </c>
      <c r="B287" s="5" t="s">
        <v>1281</v>
      </c>
      <c r="C287" s="6">
        <f>E287</f>
        <v>137.84</v>
      </c>
      <c r="E287" s="1">
        <f t="shared" si="7"/>
        <v>137.84</v>
      </c>
      <c r="F287">
        <v>430.75</v>
      </c>
    </row>
    <row r="288" spans="1:6" x14ac:dyDescent="0.25">
      <c r="A288" t="s">
        <v>826</v>
      </c>
      <c r="B288" s="5" t="s">
        <v>1282</v>
      </c>
      <c r="C288" s="6">
        <f t="shared" ref="C288:C290" si="8">E288</f>
        <v>142.63040000000001</v>
      </c>
      <c r="E288" s="1">
        <f t="shared" si="7"/>
        <v>142.63040000000001</v>
      </c>
      <c r="F288">
        <v>445.72</v>
      </c>
    </row>
    <row r="289" spans="1:12" x14ac:dyDescent="0.25">
      <c r="A289" t="s">
        <v>826</v>
      </c>
      <c r="B289" s="5" t="s">
        <v>1283</v>
      </c>
      <c r="C289" s="6">
        <f t="shared" si="8"/>
        <v>159.9264</v>
      </c>
      <c r="E289" s="1">
        <f t="shared" si="7"/>
        <v>159.9264</v>
      </c>
      <c r="F289">
        <v>499.77</v>
      </c>
    </row>
    <row r="290" spans="1:12" x14ac:dyDescent="0.25">
      <c r="A290" t="s">
        <v>826</v>
      </c>
      <c r="B290" s="5" t="s">
        <v>1284</v>
      </c>
      <c r="C290" s="6">
        <f t="shared" si="8"/>
        <v>130.0736</v>
      </c>
      <c r="E290" s="1">
        <f t="shared" si="7"/>
        <v>130.0736</v>
      </c>
      <c r="F290">
        <v>406.48</v>
      </c>
    </row>
    <row r="291" spans="1:12" x14ac:dyDescent="0.25">
      <c r="A291" t="s">
        <v>826</v>
      </c>
      <c r="B291" s="5" t="s">
        <v>833</v>
      </c>
      <c r="C291" s="6">
        <v>36.58</v>
      </c>
    </row>
    <row r="292" spans="1:12" x14ac:dyDescent="0.25">
      <c r="A292" t="s">
        <v>826</v>
      </c>
      <c r="B292" s="5" t="s">
        <v>834</v>
      </c>
      <c r="C292" s="6">
        <v>49.33</v>
      </c>
    </row>
    <row r="293" spans="1:12" x14ac:dyDescent="0.25">
      <c r="A293" t="s">
        <v>826</v>
      </c>
      <c r="B293" s="5" t="s">
        <v>835</v>
      </c>
      <c r="C293" s="6">
        <v>81.680000000000007</v>
      </c>
    </row>
    <row r="294" spans="1:12" x14ac:dyDescent="0.25">
      <c r="A294" t="s">
        <v>173</v>
      </c>
      <c r="B294" s="3"/>
      <c r="C294" s="6"/>
    </row>
    <row r="295" spans="1:12" x14ac:dyDescent="0.25">
      <c r="A295" t="s">
        <v>173</v>
      </c>
      <c r="B295" s="3"/>
      <c r="C295" s="6"/>
    </row>
    <row r="296" spans="1:12" x14ac:dyDescent="0.25">
      <c r="A296" t="s">
        <v>173</v>
      </c>
      <c r="B296" s="3"/>
      <c r="C296" s="6"/>
    </row>
    <row r="297" spans="1:12" x14ac:dyDescent="0.25">
      <c r="A297" t="s">
        <v>173</v>
      </c>
      <c r="B297" s="3"/>
      <c r="C297" s="6"/>
    </row>
    <row r="298" spans="1:12" x14ac:dyDescent="0.25">
      <c r="A298" t="s">
        <v>173</v>
      </c>
      <c r="B298" s="324">
        <v>3683919</v>
      </c>
      <c r="C298" s="6"/>
    </row>
    <row r="299" spans="1:12" x14ac:dyDescent="0.25">
      <c r="A299" t="s">
        <v>173</v>
      </c>
      <c r="B299" s="324" t="s">
        <v>1216</v>
      </c>
      <c r="C299" s="1">
        <f>SUM(D299:E299)</f>
        <v>42.496000000000002</v>
      </c>
      <c r="D299">
        <v>0</v>
      </c>
      <c r="E299" s="1">
        <f t="shared" ref="E299:E306" si="9">F299*0.32</f>
        <v>42.496000000000002</v>
      </c>
      <c r="F299" s="332">
        <v>132.80000000000001</v>
      </c>
      <c r="I299">
        <v>131.94</v>
      </c>
    </row>
    <row r="300" spans="1:12" x14ac:dyDescent="0.25">
      <c r="A300" t="s">
        <v>173</v>
      </c>
      <c r="B300" t="s">
        <v>0</v>
      </c>
      <c r="C300" s="1">
        <f>SUM(D300:E300)</f>
        <v>19.299200000000003</v>
      </c>
      <c r="D300">
        <v>0.48</v>
      </c>
      <c r="E300" s="1">
        <f t="shared" si="9"/>
        <v>18.819200000000002</v>
      </c>
      <c r="F300" s="461">
        <v>58.81</v>
      </c>
      <c r="G300" s="1"/>
      <c r="I300" s="23">
        <v>58.42</v>
      </c>
      <c r="J300" s="1">
        <f t="shared" ref="J300:J308" si="10">I300*0.32</f>
        <v>18.694400000000002</v>
      </c>
      <c r="K300" s="1">
        <f t="shared" ref="K300:K322" si="11">E300-J300</f>
        <v>0.12480000000000047</v>
      </c>
      <c r="L300" s="1"/>
    </row>
    <row r="301" spans="1:12" x14ac:dyDescent="0.25">
      <c r="A301" t="s">
        <v>173</v>
      </c>
      <c r="B301" t="s">
        <v>1</v>
      </c>
      <c r="C301" s="1">
        <f t="shared" ref="C301:C378" si="12">SUM(D301:E301)</f>
        <v>19.0624</v>
      </c>
      <c r="D301">
        <v>0.48</v>
      </c>
      <c r="E301" s="1">
        <f t="shared" si="9"/>
        <v>18.5824</v>
      </c>
      <c r="F301" s="333">
        <v>58.07</v>
      </c>
      <c r="G301" s="1"/>
      <c r="I301" s="1">
        <v>58.45</v>
      </c>
      <c r="J301" s="1">
        <f t="shared" si="10"/>
        <v>18.704000000000001</v>
      </c>
      <c r="K301" s="1">
        <f t="shared" si="11"/>
        <v>-0.12160000000000082</v>
      </c>
      <c r="L301" s="1"/>
    </row>
    <row r="302" spans="1:12" x14ac:dyDescent="0.25">
      <c r="A302" t="s">
        <v>173</v>
      </c>
      <c r="B302" t="s">
        <v>2</v>
      </c>
      <c r="C302" s="1">
        <f t="shared" si="12"/>
        <v>34.223999999999997</v>
      </c>
      <c r="D302">
        <v>0.48</v>
      </c>
      <c r="E302" s="1">
        <f t="shared" si="9"/>
        <v>33.744</v>
      </c>
      <c r="F302" s="333">
        <v>105.45</v>
      </c>
      <c r="G302" s="1"/>
      <c r="I302" s="1">
        <v>106.14</v>
      </c>
      <c r="J302" s="1">
        <f t="shared" si="10"/>
        <v>33.964800000000004</v>
      </c>
      <c r="K302" s="1">
        <f t="shared" si="11"/>
        <v>-0.2208000000000041</v>
      </c>
      <c r="L302" s="1"/>
    </row>
    <row r="303" spans="1:12" x14ac:dyDescent="0.25">
      <c r="A303" t="s">
        <v>173</v>
      </c>
      <c r="B303" t="s">
        <v>3</v>
      </c>
      <c r="C303" s="1">
        <f t="shared" si="12"/>
        <v>29.0656</v>
      </c>
      <c r="D303">
        <v>0.48</v>
      </c>
      <c r="E303" s="1">
        <f t="shared" si="9"/>
        <v>28.585599999999999</v>
      </c>
      <c r="F303" s="333">
        <v>89.33</v>
      </c>
      <c r="G303" s="1"/>
      <c r="I303" s="1">
        <v>89.92</v>
      </c>
      <c r="J303" s="1">
        <f t="shared" si="10"/>
        <v>28.7744</v>
      </c>
      <c r="K303" s="1">
        <f t="shared" si="11"/>
        <v>-0.18880000000000052</v>
      </c>
      <c r="L303" s="1"/>
    </row>
    <row r="304" spans="1:12" x14ac:dyDescent="0.25">
      <c r="A304" t="s">
        <v>173</v>
      </c>
      <c r="B304" t="s">
        <v>4</v>
      </c>
      <c r="C304" s="1">
        <f t="shared" si="12"/>
        <v>26.438400000000001</v>
      </c>
      <c r="D304">
        <v>0.48</v>
      </c>
      <c r="E304" s="1">
        <f t="shared" si="9"/>
        <v>25.958400000000001</v>
      </c>
      <c r="F304" s="333">
        <v>81.12</v>
      </c>
      <c r="G304" s="1"/>
      <c r="I304" s="1">
        <v>81.66</v>
      </c>
      <c r="J304" s="1">
        <f t="shared" si="10"/>
        <v>26.1312</v>
      </c>
      <c r="K304" s="1">
        <f t="shared" si="11"/>
        <v>-0.17279999999999873</v>
      </c>
      <c r="L304" s="1"/>
    </row>
    <row r="305" spans="1:12" x14ac:dyDescent="0.25">
      <c r="A305" t="s">
        <v>173</v>
      </c>
      <c r="B305" t="s">
        <v>5</v>
      </c>
      <c r="C305" s="1">
        <f t="shared" si="12"/>
        <v>36.163199999999996</v>
      </c>
      <c r="D305">
        <v>0.48</v>
      </c>
      <c r="E305" s="1">
        <f t="shared" si="9"/>
        <v>35.683199999999999</v>
      </c>
      <c r="F305" s="333">
        <v>111.51</v>
      </c>
      <c r="G305" s="1"/>
      <c r="I305" s="1">
        <v>112.24</v>
      </c>
      <c r="J305" s="1">
        <f t="shared" si="10"/>
        <v>35.916800000000002</v>
      </c>
      <c r="K305" s="1">
        <f t="shared" si="11"/>
        <v>-0.23360000000000269</v>
      </c>
      <c r="L305" s="1"/>
    </row>
    <row r="306" spans="1:12" x14ac:dyDescent="0.25">
      <c r="A306" t="s">
        <v>173</v>
      </c>
      <c r="B306" t="s">
        <v>6</v>
      </c>
      <c r="C306" s="1">
        <f t="shared" si="12"/>
        <v>46.147199999999998</v>
      </c>
      <c r="D306">
        <v>0.48</v>
      </c>
      <c r="E306" s="1">
        <f t="shared" si="9"/>
        <v>45.667200000000001</v>
      </c>
      <c r="F306" s="333">
        <v>142.71</v>
      </c>
      <c r="G306" s="1"/>
      <c r="I306" s="1">
        <v>141.38999999999999</v>
      </c>
      <c r="J306" s="1">
        <f t="shared" si="10"/>
        <v>45.244799999999998</v>
      </c>
      <c r="K306" s="1">
        <f t="shared" si="11"/>
        <v>0.42240000000000322</v>
      </c>
      <c r="L306" s="1"/>
    </row>
    <row r="307" spans="1:12" x14ac:dyDescent="0.25">
      <c r="A307" t="s">
        <v>173</v>
      </c>
      <c r="B307" t="s">
        <v>7</v>
      </c>
      <c r="C307" s="1">
        <v>96.25</v>
      </c>
      <c r="E307" s="1"/>
      <c r="F307" s="287">
        <v>96.62</v>
      </c>
      <c r="G307" s="1"/>
      <c r="I307" s="287">
        <v>96.62</v>
      </c>
      <c r="J307" s="1">
        <f t="shared" si="10"/>
        <v>30.918400000000002</v>
      </c>
      <c r="K307" s="1">
        <f t="shared" si="11"/>
        <v>-30.918400000000002</v>
      </c>
      <c r="L307" s="1"/>
    </row>
    <row r="308" spans="1:12" x14ac:dyDescent="0.25">
      <c r="A308" t="s">
        <v>173</v>
      </c>
      <c r="B308" t="s">
        <v>8</v>
      </c>
      <c r="C308" s="1">
        <v>105.56</v>
      </c>
      <c r="E308" s="1"/>
      <c r="F308" s="287">
        <v>103.53</v>
      </c>
      <c r="G308" s="1"/>
      <c r="I308" s="287">
        <v>103.53</v>
      </c>
      <c r="J308" s="1">
        <f t="shared" si="10"/>
        <v>33.129600000000003</v>
      </c>
      <c r="K308" s="1">
        <f t="shared" si="11"/>
        <v>-33.129600000000003</v>
      </c>
      <c r="L308" s="1"/>
    </row>
    <row r="309" spans="1:12" x14ac:dyDescent="0.25">
      <c r="A309" t="s">
        <v>173</v>
      </c>
      <c r="B309" t="s">
        <v>9</v>
      </c>
      <c r="C309" s="1">
        <f t="shared" si="12"/>
        <v>7.0464000000000002</v>
      </c>
      <c r="D309">
        <v>0.48</v>
      </c>
      <c r="E309" s="1">
        <f t="shared" ref="E309:E343" si="13">F309*0.32</f>
        <v>6.5663999999999998</v>
      </c>
      <c r="F309" s="333">
        <v>20.52</v>
      </c>
      <c r="G309" s="1"/>
      <c r="I309" s="1">
        <v>20.39</v>
      </c>
      <c r="J309" s="1">
        <f>I309*0.32</f>
        <v>6.5247999999999999</v>
      </c>
      <c r="K309" s="1">
        <f t="shared" si="11"/>
        <v>4.1599999999999859E-2</v>
      </c>
      <c r="L309" s="1"/>
    </row>
    <row r="310" spans="1:12" x14ac:dyDescent="0.25">
      <c r="A310" t="s">
        <v>173</v>
      </c>
      <c r="B310" t="s">
        <v>10</v>
      </c>
      <c r="C310" s="1">
        <f t="shared" si="12"/>
        <v>11.5624</v>
      </c>
      <c r="D310">
        <v>1.1399999999999999</v>
      </c>
      <c r="E310" s="1">
        <f t="shared" si="13"/>
        <v>10.4224</v>
      </c>
      <c r="F310" s="333">
        <v>32.57</v>
      </c>
      <c r="G310" s="1"/>
      <c r="I310" s="1">
        <v>32.35</v>
      </c>
      <c r="J310" s="1">
        <f t="shared" ref="J310:J376" si="14">I310*0.32</f>
        <v>10.352</v>
      </c>
      <c r="K310" s="1">
        <f t="shared" si="11"/>
        <v>7.0399999999999352E-2</v>
      </c>
      <c r="L310" s="1"/>
    </row>
    <row r="311" spans="1:12" x14ac:dyDescent="0.25">
      <c r="A311" t="s">
        <v>173</v>
      </c>
      <c r="B311" t="s">
        <v>11</v>
      </c>
      <c r="C311" s="1">
        <f t="shared" si="12"/>
        <v>11.555999999999999</v>
      </c>
      <c r="D311">
        <v>1.1399999999999999</v>
      </c>
      <c r="E311" s="1">
        <f t="shared" si="13"/>
        <v>10.415999999999999</v>
      </c>
      <c r="F311" s="333">
        <v>32.549999999999997</v>
      </c>
      <c r="G311" s="1"/>
      <c r="I311" s="1">
        <v>32.340000000000003</v>
      </c>
      <c r="J311" s="1">
        <f t="shared" si="14"/>
        <v>10.348800000000001</v>
      </c>
      <c r="K311" s="1">
        <f t="shared" si="11"/>
        <v>6.7199999999997928E-2</v>
      </c>
      <c r="L311" s="1"/>
    </row>
    <row r="312" spans="1:12" x14ac:dyDescent="0.25">
      <c r="A312" t="s">
        <v>173</v>
      </c>
      <c r="B312" t="s">
        <v>12</v>
      </c>
      <c r="C312" s="1">
        <f t="shared" si="12"/>
        <v>6.8327999999999998</v>
      </c>
      <c r="D312">
        <v>0.18</v>
      </c>
      <c r="E312" s="1">
        <f t="shared" si="13"/>
        <v>6.6528</v>
      </c>
      <c r="F312" s="333">
        <v>20.79</v>
      </c>
      <c r="G312" s="1"/>
      <c r="I312" s="1">
        <v>20.65</v>
      </c>
      <c r="J312" s="1">
        <f t="shared" si="14"/>
        <v>6.6079999999999997</v>
      </c>
      <c r="K312" s="1">
        <f t="shared" si="11"/>
        <v>4.4800000000000395E-2</v>
      </c>
      <c r="L312" s="1"/>
    </row>
    <row r="313" spans="1:12" x14ac:dyDescent="0.25">
      <c r="A313" t="s">
        <v>173</v>
      </c>
      <c r="B313" t="s">
        <v>13</v>
      </c>
      <c r="C313" s="1">
        <f t="shared" si="12"/>
        <v>21.248800000000003</v>
      </c>
      <c r="D313">
        <v>1.1399999999999999</v>
      </c>
      <c r="E313" s="1">
        <f t="shared" si="13"/>
        <v>20.108800000000002</v>
      </c>
      <c r="F313" s="333">
        <v>62.84</v>
      </c>
      <c r="G313" s="1"/>
      <c r="I313" s="1">
        <v>62.43</v>
      </c>
      <c r="J313" s="1">
        <f t="shared" si="14"/>
        <v>19.977599999999999</v>
      </c>
      <c r="K313" s="1">
        <f t="shared" si="11"/>
        <v>0.13120000000000331</v>
      </c>
      <c r="L313" s="1"/>
    </row>
    <row r="314" spans="1:12" x14ac:dyDescent="0.25">
      <c r="A314" t="s">
        <v>173</v>
      </c>
      <c r="B314" t="s">
        <v>14</v>
      </c>
      <c r="C314" s="1">
        <f t="shared" si="12"/>
        <v>14.807200000000002</v>
      </c>
      <c r="D314">
        <v>1.1399999999999999</v>
      </c>
      <c r="E314" s="1">
        <f t="shared" si="13"/>
        <v>13.667200000000001</v>
      </c>
      <c r="F314" s="333">
        <v>42.71</v>
      </c>
      <c r="G314" s="1"/>
      <c r="I314" s="1">
        <v>42.44</v>
      </c>
      <c r="J314" s="1">
        <f t="shared" si="14"/>
        <v>13.5808</v>
      </c>
      <c r="K314" s="1">
        <f t="shared" si="11"/>
        <v>8.6400000000001143E-2</v>
      </c>
      <c r="L314" s="1"/>
    </row>
    <row r="315" spans="1:12" x14ac:dyDescent="0.25">
      <c r="A315" t="s">
        <v>173</v>
      </c>
      <c r="B315" t="s">
        <v>15</v>
      </c>
      <c r="C315" s="1">
        <f t="shared" si="12"/>
        <v>20.519200000000001</v>
      </c>
      <c r="D315">
        <v>1.1399999999999999</v>
      </c>
      <c r="E315" s="1">
        <f t="shared" si="13"/>
        <v>19.379200000000001</v>
      </c>
      <c r="F315" s="333">
        <v>60.56</v>
      </c>
      <c r="G315" s="1"/>
      <c r="I315" s="1">
        <v>60.76</v>
      </c>
      <c r="J315" s="1">
        <f t="shared" si="14"/>
        <v>19.443200000000001</v>
      </c>
      <c r="K315" s="1">
        <f t="shared" si="11"/>
        <v>-6.4000000000000057E-2</v>
      </c>
      <c r="L315" s="1"/>
    </row>
    <row r="316" spans="1:12" x14ac:dyDescent="0.25">
      <c r="A316" t="s">
        <v>173</v>
      </c>
      <c r="B316" t="s">
        <v>16</v>
      </c>
      <c r="C316" s="1">
        <f t="shared" si="12"/>
        <v>16.790400000000002</v>
      </c>
      <c r="D316">
        <v>0.48</v>
      </c>
      <c r="E316" s="1">
        <f t="shared" si="13"/>
        <v>16.310400000000001</v>
      </c>
      <c r="F316" s="333">
        <v>50.97</v>
      </c>
      <c r="G316" s="1"/>
      <c r="I316" s="1">
        <v>50.79</v>
      </c>
      <c r="J316" s="1">
        <f t="shared" si="14"/>
        <v>16.252800000000001</v>
      </c>
      <c r="K316" s="1">
        <f t="shared" si="11"/>
        <v>5.7600000000000762E-2</v>
      </c>
      <c r="L316" s="1"/>
    </row>
    <row r="317" spans="1:12" x14ac:dyDescent="0.25">
      <c r="A317" t="s">
        <v>173</v>
      </c>
      <c r="B317" t="s">
        <v>17</v>
      </c>
      <c r="C317" s="1">
        <f t="shared" si="12"/>
        <v>13.264800000000001</v>
      </c>
      <c r="D317">
        <v>1.1399999999999999</v>
      </c>
      <c r="E317" s="1">
        <f t="shared" si="13"/>
        <v>12.1248</v>
      </c>
      <c r="F317" s="333">
        <v>37.89</v>
      </c>
      <c r="G317" s="1"/>
      <c r="I317" s="1">
        <v>37.64</v>
      </c>
      <c r="J317" s="1">
        <f t="shared" si="14"/>
        <v>12.0448</v>
      </c>
      <c r="K317" s="1">
        <f t="shared" si="11"/>
        <v>8.0000000000000071E-2</v>
      </c>
      <c r="L317" s="1"/>
    </row>
    <row r="318" spans="1:12" x14ac:dyDescent="0.25">
      <c r="A318" t="s">
        <v>173</v>
      </c>
      <c r="B318" t="s">
        <v>18</v>
      </c>
      <c r="C318" s="1">
        <f t="shared" si="12"/>
        <v>17.574400000000001</v>
      </c>
      <c r="D318">
        <v>0.48</v>
      </c>
      <c r="E318" s="1">
        <f t="shared" si="13"/>
        <v>17.0944</v>
      </c>
      <c r="F318" s="333">
        <v>53.42</v>
      </c>
      <c r="G318" s="1"/>
      <c r="I318" s="1">
        <v>53.06</v>
      </c>
      <c r="J318" s="1">
        <f t="shared" si="14"/>
        <v>16.979200000000002</v>
      </c>
      <c r="K318" s="1">
        <f t="shared" si="11"/>
        <v>0.11519999999999797</v>
      </c>
      <c r="L318" s="1"/>
    </row>
    <row r="319" spans="1:12" x14ac:dyDescent="0.25">
      <c r="A319" t="s">
        <v>173</v>
      </c>
      <c r="B319" t="s">
        <v>19</v>
      </c>
      <c r="C319" s="1">
        <f t="shared" si="12"/>
        <v>45.475200000000001</v>
      </c>
      <c r="D319">
        <v>0.48</v>
      </c>
      <c r="E319" s="1">
        <f t="shared" si="13"/>
        <v>44.995200000000004</v>
      </c>
      <c r="F319" s="333">
        <v>140.61000000000001</v>
      </c>
      <c r="G319" s="1"/>
      <c r="I319" s="1">
        <v>139.69999999999999</v>
      </c>
      <c r="J319" s="1">
        <f t="shared" si="14"/>
        <v>44.704000000000001</v>
      </c>
      <c r="K319" s="1">
        <f t="shared" si="11"/>
        <v>0.29120000000000346</v>
      </c>
      <c r="L319" s="1"/>
    </row>
    <row r="320" spans="1:12" x14ac:dyDescent="0.25">
      <c r="A320" t="s">
        <v>173</v>
      </c>
      <c r="B320" t="s">
        <v>529</v>
      </c>
      <c r="C320" s="1">
        <f t="shared" si="12"/>
        <v>20.1448</v>
      </c>
      <c r="D320">
        <v>1.1399999999999999</v>
      </c>
      <c r="E320" s="1">
        <f t="shared" si="13"/>
        <v>19.004799999999999</v>
      </c>
      <c r="F320" s="333">
        <v>59.39</v>
      </c>
      <c r="G320" s="1"/>
      <c r="I320" s="1">
        <v>59.18</v>
      </c>
      <c r="J320" s="1">
        <f t="shared" si="14"/>
        <v>18.9376</v>
      </c>
      <c r="K320" s="1">
        <f t="shared" si="11"/>
        <v>6.7199999999999704E-2</v>
      </c>
      <c r="L320" s="1"/>
    </row>
    <row r="321" spans="1:12" x14ac:dyDescent="0.25">
      <c r="A321" t="s">
        <v>173</v>
      </c>
      <c r="B321" t="s">
        <v>20</v>
      </c>
      <c r="C321" s="1">
        <f t="shared" si="12"/>
        <v>8.1288</v>
      </c>
      <c r="D321">
        <v>1.1399999999999999</v>
      </c>
      <c r="E321" s="1">
        <f t="shared" si="13"/>
        <v>6.9888000000000003</v>
      </c>
      <c r="F321" s="27">
        <v>21.84</v>
      </c>
      <c r="G321" s="1"/>
      <c r="I321" s="27">
        <v>21.84</v>
      </c>
      <c r="J321" s="1">
        <f t="shared" si="14"/>
        <v>6.9888000000000003</v>
      </c>
      <c r="K321" s="1">
        <f t="shared" si="11"/>
        <v>0</v>
      </c>
      <c r="L321" s="1"/>
    </row>
    <row r="322" spans="1:12" x14ac:dyDescent="0.25">
      <c r="A322" t="s">
        <v>173</v>
      </c>
      <c r="B322" t="s">
        <v>530</v>
      </c>
      <c r="C322" s="1">
        <f t="shared" si="12"/>
        <v>29.6616</v>
      </c>
      <c r="D322">
        <v>1.1399999999999999</v>
      </c>
      <c r="E322" s="1">
        <f t="shared" si="13"/>
        <v>28.521599999999999</v>
      </c>
      <c r="F322" s="333">
        <v>89.13</v>
      </c>
      <c r="G322" s="1"/>
      <c r="I322" s="1">
        <v>89.43</v>
      </c>
      <c r="J322" s="1">
        <f t="shared" si="14"/>
        <v>28.617600000000003</v>
      </c>
      <c r="K322" s="1">
        <f t="shared" si="11"/>
        <v>-9.6000000000003638E-2</v>
      </c>
      <c r="L322" s="1"/>
    </row>
    <row r="323" spans="1:12" x14ac:dyDescent="0.25">
      <c r="A323" t="s">
        <v>173</v>
      </c>
      <c r="B323" t="s">
        <v>21</v>
      </c>
      <c r="C323" s="1">
        <f t="shared" si="12"/>
        <v>13.056800000000001</v>
      </c>
      <c r="D323">
        <v>1.1399999999999999</v>
      </c>
      <c r="E323" s="1">
        <f t="shared" si="13"/>
        <v>11.9168</v>
      </c>
      <c r="F323" s="333">
        <v>37.24</v>
      </c>
      <c r="G323" s="1"/>
      <c r="I323" s="1">
        <v>37</v>
      </c>
      <c r="J323" s="1">
        <f t="shared" si="14"/>
        <v>11.84</v>
      </c>
      <c r="K323" s="1">
        <f>E323-J323</f>
        <v>7.6800000000000423E-2</v>
      </c>
      <c r="L323" s="1"/>
    </row>
    <row r="324" spans="1:12" x14ac:dyDescent="0.25">
      <c r="A324" t="s">
        <v>173</v>
      </c>
      <c r="B324" t="s">
        <v>22</v>
      </c>
      <c r="C324" s="1">
        <f t="shared" si="12"/>
        <v>10.116000000000001</v>
      </c>
      <c r="D324">
        <v>1.1399999999999999</v>
      </c>
      <c r="E324" s="1">
        <f t="shared" si="13"/>
        <v>8.9760000000000009</v>
      </c>
      <c r="F324" s="333">
        <v>28.05</v>
      </c>
      <c r="G324" s="1" t="s">
        <v>184</v>
      </c>
      <c r="I324" s="1">
        <v>27.86</v>
      </c>
      <c r="J324" s="1">
        <f t="shared" si="14"/>
        <v>8.9152000000000005</v>
      </c>
      <c r="K324" s="1">
        <f t="shared" ref="K324:K387" si="15">E324-J324</f>
        <v>6.0800000000000409E-2</v>
      </c>
      <c r="L324" s="1"/>
    </row>
    <row r="325" spans="1:12" x14ac:dyDescent="0.25">
      <c r="A325" t="s">
        <v>173</v>
      </c>
      <c r="B325" s="25" t="s">
        <v>615</v>
      </c>
      <c r="C325" s="1">
        <f t="shared" si="12"/>
        <v>11.2104</v>
      </c>
      <c r="D325">
        <v>1.1399999999999999</v>
      </c>
      <c r="E325" s="1">
        <f t="shared" si="13"/>
        <v>10.070399999999999</v>
      </c>
      <c r="F325" s="461">
        <v>31.47</v>
      </c>
      <c r="G325" s="1"/>
      <c r="I325" s="23">
        <v>31.26</v>
      </c>
      <c r="J325" s="1">
        <f t="shared" si="14"/>
        <v>10.003200000000001</v>
      </c>
      <c r="K325" s="1">
        <f t="shared" si="15"/>
        <v>6.7199999999997928E-2</v>
      </c>
      <c r="L325" s="1"/>
    </row>
    <row r="326" spans="1:12" x14ac:dyDescent="0.25">
      <c r="A326" t="s">
        <v>173</v>
      </c>
      <c r="B326" s="25" t="s">
        <v>1067</v>
      </c>
      <c r="C326" s="1">
        <f t="shared" si="12"/>
        <v>8.6208000000000009</v>
      </c>
      <c r="D326">
        <v>0.48</v>
      </c>
      <c r="E326" s="1">
        <f t="shared" si="13"/>
        <v>8.1408000000000005</v>
      </c>
      <c r="F326" s="461">
        <v>25.44</v>
      </c>
      <c r="G326" s="1"/>
      <c r="I326" s="23">
        <v>24.19</v>
      </c>
      <c r="J326" s="1">
        <f t="shared" si="14"/>
        <v>7.740800000000001</v>
      </c>
      <c r="K326" s="1">
        <f t="shared" si="15"/>
        <v>0.39999999999999947</v>
      </c>
      <c r="L326" s="1"/>
    </row>
    <row r="327" spans="1:12" x14ac:dyDescent="0.25">
      <c r="A327" t="s">
        <v>173</v>
      </c>
      <c r="B327" s="25" t="s">
        <v>23</v>
      </c>
      <c r="C327" s="1">
        <f t="shared" si="12"/>
        <v>8.0640000000000001</v>
      </c>
      <c r="D327">
        <v>0.48</v>
      </c>
      <c r="E327" s="1">
        <f t="shared" si="13"/>
        <v>7.5839999999999996</v>
      </c>
      <c r="F327" s="461">
        <v>23.7</v>
      </c>
      <c r="G327" s="1"/>
      <c r="I327" s="23">
        <v>21.44</v>
      </c>
      <c r="J327" s="1">
        <f t="shared" si="14"/>
        <v>6.8608000000000002</v>
      </c>
      <c r="K327" s="1">
        <f t="shared" si="15"/>
        <v>0.7231999999999994</v>
      </c>
      <c r="L327" s="1"/>
    </row>
    <row r="328" spans="1:12" x14ac:dyDescent="0.25">
      <c r="A328" t="s">
        <v>173</v>
      </c>
      <c r="B328" t="s">
        <v>24</v>
      </c>
      <c r="C328" s="1">
        <f t="shared" si="12"/>
        <v>9.5264000000000006</v>
      </c>
      <c r="D328">
        <v>0.48</v>
      </c>
      <c r="E328" s="1">
        <f t="shared" si="13"/>
        <v>9.0464000000000002</v>
      </c>
      <c r="F328" s="333">
        <v>28.27</v>
      </c>
      <c r="G328" s="1"/>
      <c r="I328" s="1">
        <v>28.08</v>
      </c>
      <c r="J328" s="1">
        <f t="shared" si="14"/>
        <v>8.9855999999999998</v>
      </c>
      <c r="K328" s="1">
        <f t="shared" si="15"/>
        <v>6.0800000000000409E-2</v>
      </c>
      <c r="L328" s="1"/>
    </row>
    <row r="329" spans="1:12" x14ac:dyDescent="0.25">
      <c r="A329" t="s">
        <v>173</v>
      </c>
      <c r="B329" t="s">
        <v>25</v>
      </c>
      <c r="C329" s="1">
        <f t="shared" si="12"/>
        <v>7.4751999999999992</v>
      </c>
      <c r="D329">
        <v>0.48</v>
      </c>
      <c r="E329" s="1">
        <f t="shared" si="13"/>
        <v>6.9951999999999996</v>
      </c>
      <c r="F329" s="333">
        <v>21.86</v>
      </c>
      <c r="G329" s="1"/>
      <c r="I329" s="1">
        <v>21.79</v>
      </c>
      <c r="J329" s="1">
        <f t="shared" si="14"/>
        <v>6.9727999999999994</v>
      </c>
      <c r="K329" s="1">
        <f t="shared" si="15"/>
        <v>2.2400000000000198E-2</v>
      </c>
      <c r="L329" s="1"/>
    </row>
    <row r="330" spans="1:12" x14ac:dyDescent="0.25">
      <c r="A330" t="s">
        <v>173</v>
      </c>
      <c r="B330" t="s">
        <v>26</v>
      </c>
      <c r="C330" s="1">
        <f t="shared" si="12"/>
        <v>8.1224000000000007</v>
      </c>
      <c r="D330">
        <v>1.1399999999999999</v>
      </c>
      <c r="E330" s="1">
        <f t="shared" si="13"/>
        <v>6.9824000000000002</v>
      </c>
      <c r="F330" s="333">
        <v>21.82</v>
      </c>
      <c r="G330" s="1"/>
      <c r="I330" s="1">
        <v>21.68</v>
      </c>
      <c r="J330" s="1">
        <f t="shared" si="14"/>
        <v>6.9375999999999998</v>
      </c>
      <c r="K330" s="1">
        <f t="shared" si="15"/>
        <v>4.4800000000000395E-2</v>
      </c>
      <c r="L330" s="1"/>
    </row>
    <row r="331" spans="1:12" x14ac:dyDescent="0.25">
      <c r="A331" t="s">
        <v>173</v>
      </c>
      <c r="B331" t="s">
        <v>27</v>
      </c>
      <c r="C331" s="1">
        <f t="shared" si="12"/>
        <v>17.3568</v>
      </c>
      <c r="D331">
        <v>0.48</v>
      </c>
      <c r="E331" s="1">
        <f t="shared" si="13"/>
        <v>16.876799999999999</v>
      </c>
      <c r="F331" s="461">
        <v>52.74</v>
      </c>
      <c r="G331" s="1"/>
      <c r="I331" s="23">
        <v>47.7</v>
      </c>
      <c r="J331" s="1">
        <f t="shared" si="14"/>
        <v>15.264000000000001</v>
      </c>
      <c r="K331" s="1">
        <f t="shared" si="15"/>
        <v>1.6127999999999982</v>
      </c>
      <c r="L331" s="1"/>
    </row>
    <row r="332" spans="1:12" x14ac:dyDescent="0.25">
      <c r="A332" t="s">
        <v>173</v>
      </c>
      <c r="B332" t="s">
        <v>28</v>
      </c>
      <c r="C332" s="1">
        <f t="shared" si="12"/>
        <v>13.561600000000002</v>
      </c>
      <c r="D332">
        <v>0.48</v>
      </c>
      <c r="E332" s="1">
        <f t="shared" si="13"/>
        <v>13.081600000000002</v>
      </c>
      <c r="F332" s="333">
        <v>40.880000000000003</v>
      </c>
      <c r="G332" s="1"/>
      <c r="I332" s="1">
        <v>40.619999999999997</v>
      </c>
      <c r="J332" s="1">
        <f t="shared" si="14"/>
        <v>12.9984</v>
      </c>
      <c r="K332" s="1">
        <f t="shared" si="15"/>
        <v>8.3200000000001495E-2</v>
      </c>
      <c r="L332" s="1"/>
    </row>
    <row r="333" spans="1:12" x14ac:dyDescent="0.25">
      <c r="A333" t="s">
        <v>173</v>
      </c>
      <c r="B333" t="s">
        <v>29</v>
      </c>
      <c r="C333" s="1">
        <f t="shared" si="12"/>
        <v>12.74</v>
      </c>
      <c r="D333">
        <v>1.1399999999999999</v>
      </c>
      <c r="E333" s="1">
        <f t="shared" si="13"/>
        <v>11.6</v>
      </c>
      <c r="F333" s="333">
        <v>36.25</v>
      </c>
      <c r="G333" s="1"/>
      <c r="I333" s="1">
        <v>36.020000000000003</v>
      </c>
      <c r="J333" s="1">
        <f t="shared" si="14"/>
        <v>11.526400000000001</v>
      </c>
      <c r="K333" s="1">
        <f t="shared" si="15"/>
        <v>7.3599999999999E-2</v>
      </c>
      <c r="L333" s="1"/>
    </row>
    <row r="334" spans="1:12" x14ac:dyDescent="0.25">
      <c r="A334" t="s">
        <v>173</v>
      </c>
      <c r="B334" t="s">
        <v>30</v>
      </c>
      <c r="C334" s="1">
        <f t="shared" si="12"/>
        <v>19.351199999999999</v>
      </c>
      <c r="D334">
        <v>1.1399999999999999</v>
      </c>
      <c r="E334" s="1">
        <f t="shared" si="13"/>
        <v>18.211199999999998</v>
      </c>
      <c r="F334" s="333">
        <v>56.91</v>
      </c>
      <c r="G334" s="1"/>
      <c r="I334" s="1">
        <v>56.54</v>
      </c>
      <c r="J334" s="1">
        <f t="shared" si="14"/>
        <v>18.0928</v>
      </c>
      <c r="K334" s="1">
        <f t="shared" si="15"/>
        <v>0.11839999999999762</v>
      </c>
      <c r="L334" s="1"/>
    </row>
    <row r="335" spans="1:12" x14ac:dyDescent="0.25">
      <c r="A335" t="s">
        <v>173</v>
      </c>
      <c r="B335" t="s">
        <v>31</v>
      </c>
      <c r="C335" s="1">
        <f t="shared" si="12"/>
        <v>14.151199999999999</v>
      </c>
      <c r="D335">
        <v>1.1399999999999999</v>
      </c>
      <c r="E335" s="1">
        <f t="shared" si="13"/>
        <v>13.011199999999999</v>
      </c>
      <c r="F335" s="333">
        <v>40.659999999999997</v>
      </c>
      <c r="G335" s="1"/>
      <c r="I335" s="1">
        <v>40.799999999999997</v>
      </c>
      <c r="J335" s="1">
        <f t="shared" si="14"/>
        <v>13.055999999999999</v>
      </c>
      <c r="K335" s="1">
        <f t="shared" si="15"/>
        <v>-4.4800000000000395E-2</v>
      </c>
      <c r="L335" s="1"/>
    </row>
    <row r="336" spans="1:12" x14ac:dyDescent="0.25">
      <c r="A336" t="s">
        <v>173</v>
      </c>
      <c r="B336" t="s">
        <v>32</v>
      </c>
      <c r="C336" s="1">
        <f t="shared" si="12"/>
        <v>11.3728</v>
      </c>
      <c r="D336">
        <v>0.48</v>
      </c>
      <c r="E336" s="1">
        <f t="shared" si="13"/>
        <v>10.892799999999999</v>
      </c>
      <c r="F336" s="333">
        <v>34.04</v>
      </c>
      <c r="G336" s="1"/>
      <c r="I336" s="1">
        <v>33.81</v>
      </c>
      <c r="J336" s="1">
        <f t="shared" si="14"/>
        <v>10.8192</v>
      </c>
      <c r="K336" s="1">
        <f t="shared" si="15"/>
        <v>7.3599999999999E-2</v>
      </c>
      <c r="L336" s="1"/>
    </row>
    <row r="337" spans="1:12" x14ac:dyDescent="0.25">
      <c r="A337" t="s">
        <v>173</v>
      </c>
      <c r="B337" t="s">
        <v>33</v>
      </c>
      <c r="C337" s="1">
        <f t="shared" si="12"/>
        <v>11.315200000000001</v>
      </c>
      <c r="D337">
        <v>0.48</v>
      </c>
      <c r="E337" s="1">
        <f t="shared" si="13"/>
        <v>10.8352</v>
      </c>
      <c r="F337" s="333">
        <v>33.86</v>
      </c>
      <c r="G337" s="1"/>
      <c r="I337" s="1">
        <v>37.68</v>
      </c>
      <c r="J337" s="1">
        <f t="shared" si="14"/>
        <v>12.057600000000001</v>
      </c>
      <c r="K337" s="1">
        <f t="shared" si="15"/>
        <v>-1.2224000000000004</v>
      </c>
      <c r="L337" s="1"/>
    </row>
    <row r="338" spans="1:12" x14ac:dyDescent="0.25">
      <c r="A338" t="s">
        <v>173</v>
      </c>
      <c r="B338" t="s">
        <v>34</v>
      </c>
      <c r="C338" s="1">
        <f t="shared" si="12"/>
        <v>12.0296</v>
      </c>
      <c r="D338">
        <v>1.1399999999999999</v>
      </c>
      <c r="E338" s="1">
        <f t="shared" si="13"/>
        <v>10.8896</v>
      </c>
      <c r="F338" s="333">
        <v>34.03</v>
      </c>
      <c r="G338" s="1"/>
      <c r="I338" s="1">
        <v>33.799999999999997</v>
      </c>
      <c r="J338" s="1">
        <f t="shared" si="14"/>
        <v>10.815999999999999</v>
      </c>
      <c r="K338" s="1">
        <f t="shared" si="15"/>
        <v>7.3600000000000776E-2</v>
      </c>
      <c r="L338" s="1"/>
    </row>
    <row r="339" spans="1:12" x14ac:dyDescent="0.25">
      <c r="A339" t="s">
        <v>173</v>
      </c>
      <c r="B339" t="s">
        <v>35</v>
      </c>
      <c r="C339" s="1">
        <f t="shared" si="12"/>
        <v>16.505600000000001</v>
      </c>
      <c r="D339">
        <v>0.48</v>
      </c>
      <c r="E339" s="1">
        <f t="shared" si="13"/>
        <v>16.025600000000001</v>
      </c>
      <c r="F339" s="461">
        <v>50.08</v>
      </c>
      <c r="G339" s="1"/>
      <c r="I339" s="23">
        <v>49.75</v>
      </c>
      <c r="J339" s="1">
        <f t="shared" si="14"/>
        <v>15.92</v>
      </c>
      <c r="K339" s="1">
        <f t="shared" si="15"/>
        <v>0.1056000000000008</v>
      </c>
      <c r="L339" s="1"/>
    </row>
    <row r="340" spans="1:12" x14ac:dyDescent="0.25">
      <c r="A340" t="s">
        <v>173</v>
      </c>
      <c r="B340" t="s">
        <v>36</v>
      </c>
      <c r="C340" s="1">
        <f t="shared" si="12"/>
        <v>9.926400000000001</v>
      </c>
      <c r="D340">
        <v>0.48</v>
      </c>
      <c r="E340" s="1">
        <f t="shared" si="13"/>
        <v>9.4464000000000006</v>
      </c>
      <c r="F340" s="333">
        <v>29.52</v>
      </c>
      <c r="G340" s="1"/>
      <c r="I340" s="1">
        <v>29.62</v>
      </c>
      <c r="J340" s="1">
        <f t="shared" si="14"/>
        <v>9.4784000000000006</v>
      </c>
      <c r="K340" s="1">
        <f t="shared" si="15"/>
        <v>-3.2000000000000028E-2</v>
      </c>
      <c r="L340" s="1"/>
    </row>
    <row r="341" spans="1:12" x14ac:dyDescent="0.25">
      <c r="A341" t="s">
        <v>173</v>
      </c>
      <c r="B341" s="25" t="s">
        <v>37</v>
      </c>
      <c r="C341" s="1">
        <f t="shared" si="12"/>
        <v>18.4192</v>
      </c>
      <c r="D341">
        <v>0.48</v>
      </c>
      <c r="E341" s="1">
        <f t="shared" si="13"/>
        <v>17.9392</v>
      </c>
      <c r="F341" s="333">
        <v>56.06</v>
      </c>
      <c r="G341" s="1"/>
      <c r="I341" s="1">
        <v>55.69</v>
      </c>
      <c r="J341" s="1">
        <f t="shared" si="14"/>
        <v>17.820799999999998</v>
      </c>
      <c r="K341" s="1">
        <f t="shared" si="15"/>
        <v>0.11840000000000117</v>
      </c>
      <c r="L341" s="1"/>
    </row>
    <row r="342" spans="1:12" x14ac:dyDescent="0.25">
      <c r="A342" t="s">
        <v>173</v>
      </c>
      <c r="B342" s="25" t="s">
        <v>38</v>
      </c>
      <c r="C342" s="1">
        <f t="shared" si="12"/>
        <v>13.46</v>
      </c>
      <c r="D342">
        <v>1.1399999999999999</v>
      </c>
      <c r="E342" s="1">
        <f t="shared" si="13"/>
        <v>12.32</v>
      </c>
      <c r="F342" s="333">
        <v>38.5</v>
      </c>
      <c r="G342" s="1"/>
      <c r="I342" s="1">
        <v>38.25</v>
      </c>
      <c r="J342" s="1">
        <f t="shared" si="14"/>
        <v>12.24</v>
      </c>
      <c r="K342" s="1">
        <f t="shared" si="15"/>
        <v>8.0000000000000071E-2</v>
      </c>
      <c r="L342" s="1"/>
    </row>
    <row r="343" spans="1:12" x14ac:dyDescent="0.25">
      <c r="A343" t="s">
        <v>173</v>
      </c>
      <c r="B343" s="25" t="s">
        <v>39</v>
      </c>
      <c r="C343" s="1">
        <f t="shared" si="12"/>
        <v>15.956</v>
      </c>
      <c r="D343">
        <v>1.1399999999999999</v>
      </c>
      <c r="E343" s="1">
        <f t="shared" si="13"/>
        <v>14.815999999999999</v>
      </c>
      <c r="F343" s="333">
        <v>46.3</v>
      </c>
      <c r="G343" s="1"/>
      <c r="I343" s="1">
        <v>46</v>
      </c>
      <c r="J343" s="1">
        <f t="shared" si="14"/>
        <v>14.72</v>
      </c>
      <c r="K343" s="1">
        <f t="shared" si="15"/>
        <v>9.5999999999998309E-2</v>
      </c>
      <c r="L343" s="1"/>
    </row>
    <row r="344" spans="1:12" x14ac:dyDescent="0.25">
      <c r="A344" t="s">
        <v>173</v>
      </c>
      <c r="B344" t="s">
        <v>40</v>
      </c>
      <c r="C344" s="1">
        <f t="shared" si="12"/>
        <v>20.0456</v>
      </c>
      <c r="D344">
        <v>1.1399999999999999</v>
      </c>
      <c r="E344" s="1">
        <f t="shared" ref="E344:E387" si="16">F344*0.32</f>
        <v>18.9056</v>
      </c>
      <c r="F344" s="333">
        <v>59.08</v>
      </c>
      <c r="G344" s="1"/>
      <c r="I344" s="1">
        <v>58.69</v>
      </c>
      <c r="J344" s="1">
        <f t="shared" si="14"/>
        <v>18.780799999999999</v>
      </c>
      <c r="K344" s="1">
        <f t="shared" si="15"/>
        <v>0.12480000000000047</v>
      </c>
      <c r="L344" s="1"/>
    </row>
    <row r="345" spans="1:12" x14ac:dyDescent="0.25">
      <c r="A345" t="s">
        <v>173</v>
      </c>
      <c r="B345" t="s">
        <v>41</v>
      </c>
      <c r="C345" s="1">
        <f t="shared" si="12"/>
        <v>26.844800000000003</v>
      </c>
      <c r="D345">
        <v>0.48</v>
      </c>
      <c r="E345" s="1">
        <f t="shared" si="16"/>
        <v>26.364800000000002</v>
      </c>
      <c r="F345" s="461">
        <v>82.39</v>
      </c>
      <c r="G345" s="1"/>
      <c r="I345" s="23">
        <v>81.849999999999994</v>
      </c>
      <c r="J345" s="1">
        <f t="shared" si="14"/>
        <v>26.192</v>
      </c>
      <c r="K345" s="1">
        <f t="shared" si="15"/>
        <v>0.17280000000000229</v>
      </c>
      <c r="L345" s="1"/>
    </row>
    <row r="346" spans="1:12" x14ac:dyDescent="0.25">
      <c r="A346" t="s">
        <v>173</v>
      </c>
      <c r="B346" t="s">
        <v>42</v>
      </c>
      <c r="C346" s="1">
        <f t="shared" si="12"/>
        <v>12.992000000000001</v>
      </c>
      <c r="D346">
        <v>0.48</v>
      </c>
      <c r="E346" s="1">
        <f t="shared" si="16"/>
        <v>12.512</v>
      </c>
      <c r="F346" s="333">
        <v>39.1</v>
      </c>
      <c r="G346" s="1"/>
      <c r="I346" s="1">
        <v>37.24</v>
      </c>
      <c r="J346" s="1">
        <f t="shared" si="14"/>
        <v>11.9168</v>
      </c>
      <c r="K346" s="1">
        <f t="shared" si="15"/>
        <v>0.59520000000000017</v>
      </c>
      <c r="L346" s="1"/>
    </row>
    <row r="347" spans="1:12" x14ac:dyDescent="0.25">
      <c r="A347" t="s">
        <v>173</v>
      </c>
      <c r="B347" t="s">
        <v>43</v>
      </c>
      <c r="C347" s="1">
        <f t="shared" si="12"/>
        <v>17.392800000000001</v>
      </c>
      <c r="D347">
        <v>1.1399999999999999</v>
      </c>
      <c r="E347" s="1">
        <f t="shared" si="16"/>
        <v>16.252800000000001</v>
      </c>
      <c r="F347" s="333">
        <v>50.79</v>
      </c>
      <c r="G347" s="1"/>
      <c r="I347" s="1">
        <v>50.96</v>
      </c>
      <c r="J347" s="1">
        <f t="shared" si="14"/>
        <v>16.307200000000002</v>
      </c>
      <c r="K347" s="1">
        <f t="shared" si="15"/>
        <v>-5.4400000000001114E-2</v>
      </c>
      <c r="L347" s="1"/>
    </row>
    <row r="348" spans="1:12" x14ac:dyDescent="0.25">
      <c r="A348" t="s">
        <v>173</v>
      </c>
      <c r="B348" t="s">
        <v>44</v>
      </c>
      <c r="C348" s="1">
        <f t="shared" si="12"/>
        <v>28.0808</v>
      </c>
      <c r="D348">
        <v>1.1399999999999999</v>
      </c>
      <c r="E348" s="1">
        <f t="shared" si="16"/>
        <v>26.940799999999999</v>
      </c>
      <c r="F348" s="333">
        <v>84.19</v>
      </c>
      <c r="G348" s="1"/>
      <c r="I348" s="1">
        <v>83.65</v>
      </c>
      <c r="J348" s="1">
        <f t="shared" si="14"/>
        <v>26.768000000000001</v>
      </c>
      <c r="K348" s="1">
        <f t="shared" si="15"/>
        <v>0.17279999999999873</v>
      </c>
      <c r="L348" s="1"/>
    </row>
    <row r="349" spans="1:12" x14ac:dyDescent="0.25">
      <c r="A349" t="s">
        <v>173</v>
      </c>
      <c r="B349" t="s">
        <v>616</v>
      </c>
      <c r="C349" s="1">
        <f t="shared" si="12"/>
        <v>25.674400000000002</v>
      </c>
      <c r="D349">
        <v>1.1399999999999999</v>
      </c>
      <c r="E349" s="1">
        <f t="shared" si="16"/>
        <v>24.534400000000002</v>
      </c>
      <c r="F349" s="461">
        <v>76.67</v>
      </c>
      <c r="G349" s="1"/>
      <c r="I349" s="23">
        <v>76.17</v>
      </c>
      <c r="J349" s="1">
        <f t="shared" si="14"/>
        <v>24.374400000000001</v>
      </c>
      <c r="K349" s="1">
        <f t="shared" si="15"/>
        <v>0.16000000000000014</v>
      </c>
      <c r="L349" s="1"/>
    </row>
    <row r="350" spans="1:12" x14ac:dyDescent="0.25">
      <c r="A350" t="s">
        <v>173</v>
      </c>
      <c r="B350" t="s">
        <v>45</v>
      </c>
      <c r="C350" s="1">
        <f t="shared" si="12"/>
        <v>16.169599999999999</v>
      </c>
      <c r="D350">
        <v>0.48</v>
      </c>
      <c r="E350" s="1">
        <f t="shared" si="16"/>
        <v>15.6896</v>
      </c>
      <c r="F350" s="333">
        <v>49.03</v>
      </c>
      <c r="G350" s="1"/>
      <c r="I350" s="1">
        <v>48.85</v>
      </c>
      <c r="J350" s="1">
        <f t="shared" si="14"/>
        <v>15.632000000000001</v>
      </c>
      <c r="K350" s="1">
        <f t="shared" si="15"/>
        <v>5.7599999999998985E-2</v>
      </c>
      <c r="L350" s="1"/>
    </row>
    <row r="351" spans="1:12" x14ac:dyDescent="0.25">
      <c r="A351" t="s">
        <v>173</v>
      </c>
      <c r="B351" t="s">
        <v>46</v>
      </c>
      <c r="C351" s="1">
        <f t="shared" si="12"/>
        <v>18.144000000000002</v>
      </c>
      <c r="D351">
        <v>0.48</v>
      </c>
      <c r="E351" s="1">
        <f t="shared" si="16"/>
        <v>17.664000000000001</v>
      </c>
      <c r="F351" s="333">
        <v>55.2</v>
      </c>
      <c r="G351" s="1"/>
      <c r="I351" s="1">
        <v>55</v>
      </c>
      <c r="J351" s="1">
        <f t="shared" si="14"/>
        <v>17.600000000000001</v>
      </c>
      <c r="K351" s="1">
        <f t="shared" si="15"/>
        <v>6.4000000000000057E-2</v>
      </c>
      <c r="L351" s="1"/>
    </row>
    <row r="352" spans="1:12" x14ac:dyDescent="0.25">
      <c r="A352" t="s">
        <v>173</v>
      </c>
      <c r="B352" t="s">
        <v>47</v>
      </c>
      <c r="C352" s="1">
        <f t="shared" si="12"/>
        <v>16.944800000000001</v>
      </c>
      <c r="D352">
        <v>1.1399999999999999</v>
      </c>
      <c r="E352" s="1">
        <f t="shared" si="16"/>
        <v>15.8048</v>
      </c>
      <c r="F352" s="333">
        <v>49.39</v>
      </c>
      <c r="G352" s="1"/>
      <c r="I352" s="1">
        <v>49.06</v>
      </c>
      <c r="J352" s="1">
        <f t="shared" si="14"/>
        <v>15.699200000000001</v>
      </c>
      <c r="K352" s="1">
        <f t="shared" si="15"/>
        <v>0.10559999999999903</v>
      </c>
      <c r="L352" s="1"/>
    </row>
    <row r="353" spans="1:12" x14ac:dyDescent="0.25">
      <c r="A353" t="s">
        <v>173</v>
      </c>
      <c r="B353" t="s">
        <v>48</v>
      </c>
      <c r="C353" s="1">
        <f t="shared" si="12"/>
        <v>55.568800000000003</v>
      </c>
      <c r="D353">
        <v>1.1399999999999999</v>
      </c>
      <c r="E353" s="1">
        <f t="shared" si="16"/>
        <v>54.428800000000003</v>
      </c>
      <c r="F353" s="333">
        <v>170.09</v>
      </c>
      <c r="G353" s="1"/>
      <c r="I353" s="1">
        <v>168.98</v>
      </c>
      <c r="J353" s="1">
        <f t="shared" si="14"/>
        <v>54.073599999999999</v>
      </c>
      <c r="K353" s="1">
        <f t="shared" si="15"/>
        <v>0.35520000000000351</v>
      </c>
      <c r="L353" s="1"/>
    </row>
    <row r="354" spans="1:12" x14ac:dyDescent="0.25">
      <c r="A354" t="s">
        <v>173</v>
      </c>
      <c r="B354" t="s">
        <v>49</v>
      </c>
      <c r="C354" s="1">
        <f t="shared" si="12"/>
        <v>45.815200000000004</v>
      </c>
      <c r="D354">
        <v>1.1399999999999999</v>
      </c>
      <c r="E354" s="1">
        <f t="shared" si="16"/>
        <v>44.675200000000004</v>
      </c>
      <c r="F354" s="333">
        <v>139.61000000000001</v>
      </c>
      <c r="G354" s="1"/>
      <c r="I354" s="1">
        <v>140.08000000000001</v>
      </c>
      <c r="J354" s="1">
        <f t="shared" si="14"/>
        <v>44.825600000000001</v>
      </c>
      <c r="K354" s="1">
        <f t="shared" si="15"/>
        <v>-0.15039999999999765</v>
      </c>
      <c r="L354" s="1"/>
    </row>
    <row r="355" spans="1:12" x14ac:dyDescent="0.25">
      <c r="A355" t="s">
        <v>173</v>
      </c>
      <c r="B355" t="s">
        <v>672</v>
      </c>
      <c r="C355" s="1">
        <f t="shared" si="12"/>
        <v>23.8568</v>
      </c>
      <c r="D355">
        <v>1.1399999999999999</v>
      </c>
      <c r="E355" s="1">
        <f t="shared" si="16"/>
        <v>22.716799999999999</v>
      </c>
      <c r="F355" s="333">
        <v>70.989999999999995</v>
      </c>
      <c r="G355" s="1"/>
      <c r="I355" s="1">
        <v>70.53</v>
      </c>
      <c r="J355" s="1"/>
      <c r="K355" s="1">
        <f t="shared" si="15"/>
        <v>22.716799999999999</v>
      </c>
      <c r="L355" s="1"/>
    </row>
    <row r="356" spans="1:12" x14ac:dyDescent="0.25">
      <c r="A356" t="s">
        <v>173</v>
      </c>
      <c r="B356" t="s">
        <v>617</v>
      </c>
      <c r="C356" s="1">
        <f t="shared" si="12"/>
        <v>14.192000000000002</v>
      </c>
      <c r="D356">
        <v>0.48</v>
      </c>
      <c r="E356" s="1">
        <f t="shared" si="16"/>
        <v>13.712000000000002</v>
      </c>
      <c r="F356" s="461">
        <v>42.85</v>
      </c>
      <c r="G356" s="1"/>
      <c r="I356" s="23">
        <v>42.57</v>
      </c>
      <c r="J356" s="1">
        <f t="shared" si="14"/>
        <v>13.622400000000001</v>
      </c>
      <c r="K356" s="1">
        <f t="shared" si="15"/>
        <v>8.960000000000079E-2</v>
      </c>
      <c r="L356" s="1"/>
    </row>
    <row r="357" spans="1:12" x14ac:dyDescent="0.25">
      <c r="A357" t="s">
        <v>173</v>
      </c>
      <c r="B357" t="s">
        <v>50</v>
      </c>
      <c r="C357" s="1">
        <f t="shared" si="12"/>
        <v>53.956000000000003</v>
      </c>
      <c r="D357">
        <v>1.1399999999999999</v>
      </c>
      <c r="E357" s="1">
        <f t="shared" si="16"/>
        <v>52.816000000000003</v>
      </c>
      <c r="F357" s="333">
        <v>165.05</v>
      </c>
      <c r="G357" s="1"/>
      <c r="I357" s="1">
        <v>165.6</v>
      </c>
      <c r="J357" s="1">
        <f t="shared" si="14"/>
        <v>52.991999999999997</v>
      </c>
      <c r="K357" s="1">
        <f t="shared" si="15"/>
        <v>-0.17599999999999483</v>
      </c>
      <c r="L357" s="1"/>
    </row>
    <row r="358" spans="1:12" x14ac:dyDescent="0.25">
      <c r="A358" t="s">
        <v>173</v>
      </c>
      <c r="B358" t="s">
        <v>1129</v>
      </c>
      <c r="C358" s="1">
        <f t="shared" si="12"/>
        <v>25.443200000000001</v>
      </c>
      <c r="D358">
        <v>0.48</v>
      </c>
      <c r="E358" s="1">
        <f t="shared" si="16"/>
        <v>24.963200000000001</v>
      </c>
      <c r="F358" s="333">
        <v>78.010000000000005</v>
      </c>
      <c r="G358" s="1"/>
      <c r="I358" s="1">
        <v>77.73</v>
      </c>
      <c r="J358" s="1"/>
      <c r="K358" s="1">
        <f t="shared" si="15"/>
        <v>24.963200000000001</v>
      </c>
      <c r="L358" s="1"/>
    </row>
    <row r="359" spans="1:12" x14ac:dyDescent="0.25">
      <c r="A359" t="s">
        <v>173</v>
      </c>
      <c r="B359" t="s">
        <v>531</v>
      </c>
      <c r="C359" s="23">
        <f t="shared" si="12"/>
        <v>67.527200000000008</v>
      </c>
      <c r="D359">
        <v>1.1399999999999999</v>
      </c>
      <c r="E359" s="1">
        <f t="shared" si="16"/>
        <v>66.387200000000007</v>
      </c>
      <c r="F359" s="333">
        <v>207.46</v>
      </c>
      <c r="G359" s="1"/>
      <c r="I359" s="1">
        <v>208.15</v>
      </c>
      <c r="J359" s="1">
        <f t="shared" si="14"/>
        <v>66.608000000000004</v>
      </c>
      <c r="K359" s="1">
        <f t="shared" si="15"/>
        <v>-0.220799999999997</v>
      </c>
      <c r="L359" s="1"/>
    </row>
    <row r="360" spans="1:12" x14ac:dyDescent="0.25">
      <c r="A360" t="s">
        <v>173</v>
      </c>
      <c r="B360" t="s">
        <v>1021</v>
      </c>
      <c r="C360" s="23">
        <f t="shared" si="12"/>
        <v>35.194400000000002</v>
      </c>
      <c r="D360">
        <v>1.1399999999999999</v>
      </c>
      <c r="E360" s="1">
        <f t="shared" si="16"/>
        <v>34.054400000000001</v>
      </c>
      <c r="F360" s="333">
        <v>106.42</v>
      </c>
      <c r="G360" s="1"/>
      <c r="I360" s="1">
        <v>90.59</v>
      </c>
      <c r="J360" s="1">
        <f t="shared" si="14"/>
        <v>28.988800000000001</v>
      </c>
      <c r="K360" s="1">
        <f t="shared" si="15"/>
        <v>5.0655999999999999</v>
      </c>
      <c r="L360" s="1"/>
    </row>
    <row r="361" spans="1:12" x14ac:dyDescent="0.25">
      <c r="A361" t="s">
        <v>173</v>
      </c>
      <c r="B361" t="s">
        <v>1022</v>
      </c>
      <c r="C361" s="23">
        <f t="shared" si="12"/>
        <v>22.620799999999999</v>
      </c>
      <c r="D361">
        <v>0.48</v>
      </c>
      <c r="E361" s="1">
        <f t="shared" si="16"/>
        <v>22.140799999999999</v>
      </c>
      <c r="F361" s="333">
        <v>69.19</v>
      </c>
      <c r="G361" s="1"/>
      <c r="I361" s="1">
        <v>68.75</v>
      </c>
      <c r="J361" s="1">
        <f t="shared" si="14"/>
        <v>22</v>
      </c>
      <c r="K361" s="1">
        <f t="shared" si="15"/>
        <v>0.1407999999999987</v>
      </c>
      <c r="L361" s="1"/>
    </row>
    <row r="362" spans="1:12" x14ac:dyDescent="0.25">
      <c r="A362" t="s">
        <v>173</v>
      </c>
      <c r="B362" t="s">
        <v>1244</v>
      </c>
      <c r="C362" s="23">
        <f t="shared" si="12"/>
        <v>52.1</v>
      </c>
      <c r="D362">
        <v>1.1399999999999999</v>
      </c>
      <c r="E362" s="1">
        <f t="shared" si="16"/>
        <v>50.96</v>
      </c>
      <c r="F362" s="333">
        <v>159.25</v>
      </c>
      <c r="G362" s="1"/>
      <c r="I362" s="1">
        <v>158.22999999999999</v>
      </c>
      <c r="J362" s="1"/>
      <c r="K362" s="1">
        <f t="shared" si="15"/>
        <v>50.96</v>
      </c>
      <c r="L362" s="1"/>
    </row>
    <row r="363" spans="1:12" x14ac:dyDescent="0.25">
      <c r="A363" t="s">
        <v>173</v>
      </c>
      <c r="B363" t="s">
        <v>532</v>
      </c>
      <c r="C363" s="23">
        <f t="shared" si="12"/>
        <v>48.076799999999999</v>
      </c>
      <c r="D363">
        <v>0.48</v>
      </c>
      <c r="E363" s="1">
        <f t="shared" si="16"/>
        <v>47.596800000000002</v>
      </c>
      <c r="F363" s="333">
        <v>148.74</v>
      </c>
      <c r="G363" s="1"/>
      <c r="I363" s="1">
        <v>149.24</v>
      </c>
      <c r="J363" s="1">
        <f t="shared" si="14"/>
        <v>47.756800000000005</v>
      </c>
      <c r="K363" s="1">
        <f t="shared" si="15"/>
        <v>-0.16000000000000369</v>
      </c>
      <c r="L363" s="1"/>
    </row>
    <row r="364" spans="1:12" x14ac:dyDescent="0.25">
      <c r="A364" t="s">
        <v>173</v>
      </c>
      <c r="B364" t="s">
        <v>533</v>
      </c>
      <c r="C364" s="23">
        <f t="shared" si="12"/>
        <v>34.092799999999997</v>
      </c>
      <c r="D364">
        <v>0.48</v>
      </c>
      <c r="E364" s="1">
        <f t="shared" si="16"/>
        <v>33.6128</v>
      </c>
      <c r="F364" s="333">
        <v>105.04</v>
      </c>
      <c r="G364" s="1"/>
      <c r="I364" s="1">
        <v>105.39</v>
      </c>
      <c r="J364" s="1">
        <f t="shared" si="14"/>
        <v>33.724800000000002</v>
      </c>
      <c r="K364" s="1">
        <f t="shared" si="15"/>
        <v>-0.11200000000000188</v>
      </c>
      <c r="L364" s="1"/>
    </row>
    <row r="365" spans="1:12" x14ac:dyDescent="0.25">
      <c r="A365" t="s">
        <v>173</v>
      </c>
      <c r="B365" s="25" t="s">
        <v>1027</v>
      </c>
      <c r="C365" s="23">
        <f t="shared" si="12"/>
        <v>87.716000000000008</v>
      </c>
      <c r="D365">
        <v>1.1399999999999999</v>
      </c>
      <c r="E365" s="1">
        <f t="shared" si="16"/>
        <v>86.576000000000008</v>
      </c>
      <c r="F365" s="461">
        <v>270.55</v>
      </c>
      <c r="G365" s="1"/>
      <c r="H365" t="s">
        <v>184</v>
      </c>
      <c r="I365" s="23">
        <v>273.08</v>
      </c>
      <c r="J365" s="1">
        <f t="shared" si="14"/>
        <v>87.385599999999997</v>
      </c>
      <c r="K365" s="1">
        <f t="shared" si="15"/>
        <v>-0.809599999999989</v>
      </c>
      <c r="L365" s="1"/>
    </row>
    <row r="366" spans="1:12" x14ac:dyDescent="0.25">
      <c r="A366" t="s">
        <v>173</v>
      </c>
      <c r="B366" t="s">
        <v>51</v>
      </c>
      <c r="C366" s="1">
        <f t="shared" si="12"/>
        <v>83.370400000000018</v>
      </c>
      <c r="D366">
        <v>1.1399999999999999</v>
      </c>
      <c r="E366" s="1">
        <f t="shared" si="16"/>
        <v>82.230400000000017</v>
      </c>
      <c r="F366" s="333">
        <v>256.97000000000003</v>
      </c>
      <c r="G366" s="1"/>
      <c r="I366" s="1">
        <v>258.73</v>
      </c>
      <c r="J366" s="1">
        <f t="shared" si="14"/>
        <v>82.793600000000012</v>
      </c>
      <c r="K366" s="1">
        <f t="shared" si="15"/>
        <v>-0.56319999999999482</v>
      </c>
      <c r="L366" s="1"/>
    </row>
    <row r="367" spans="1:12" x14ac:dyDescent="0.25">
      <c r="A367" t="s">
        <v>173</v>
      </c>
      <c r="B367" t="s">
        <v>52</v>
      </c>
      <c r="C367" s="1">
        <f t="shared" si="12"/>
        <v>117.78319999999999</v>
      </c>
      <c r="D367">
        <v>1.1399999999999999</v>
      </c>
      <c r="E367" s="1">
        <f t="shared" si="16"/>
        <v>116.64319999999999</v>
      </c>
      <c r="F367" s="333">
        <v>364.51</v>
      </c>
      <c r="G367" s="1"/>
      <c r="I367" s="1">
        <v>362.13</v>
      </c>
      <c r="J367" s="1">
        <f t="shared" si="14"/>
        <v>115.88160000000001</v>
      </c>
      <c r="K367" s="1">
        <f t="shared" si="15"/>
        <v>0.76159999999998718</v>
      </c>
      <c r="L367" s="1"/>
    </row>
    <row r="368" spans="1:12" x14ac:dyDescent="0.25">
      <c r="A368" t="s">
        <v>173</v>
      </c>
      <c r="B368" t="s">
        <v>53</v>
      </c>
      <c r="C368" s="1">
        <f t="shared" si="12"/>
        <v>106.91760000000001</v>
      </c>
      <c r="D368">
        <v>1.5</v>
      </c>
      <c r="E368" s="1">
        <f t="shared" si="16"/>
        <v>105.41760000000001</v>
      </c>
      <c r="F368" s="333">
        <v>329.43</v>
      </c>
      <c r="G368" s="1"/>
      <c r="I368" s="1">
        <v>327.27999999999997</v>
      </c>
      <c r="J368" s="1">
        <f t="shared" si="14"/>
        <v>104.72959999999999</v>
      </c>
      <c r="K368" s="1">
        <f t="shared" si="15"/>
        <v>0.6880000000000166</v>
      </c>
      <c r="L368" s="1"/>
    </row>
    <row r="369" spans="1:12" x14ac:dyDescent="0.25">
      <c r="A369" t="s">
        <v>173</v>
      </c>
      <c r="B369" t="s">
        <v>54</v>
      </c>
      <c r="C369" s="1">
        <f t="shared" si="12"/>
        <v>89.787999999999997</v>
      </c>
      <c r="D369">
        <v>1.5</v>
      </c>
      <c r="E369" s="1">
        <f t="shared" si="16"/>
        <v>88.287999999999997</v>
      </c>
      <c r="F369" s="333">
        <v>275.89999999999998</v>
      </c>
      <c r="G369" s="1"/>
      <c r="I369" s="1">
        <v>167.78</v>
      </c>
      <c r="J369" s="1">
        <f t="shared" si="14"/>
        <v>53.689599999999999</v>
      </c>
      <c r="K369" s="1">
        <f t="shared" si="15"/>
        <v>34.598399999999998</v>
      </c>
      <c r="L369" s="1"/>
    </row>
    <row r="370" spans="1:12" x14ac:dyDescent="0.25">
      <c r="A370" t="s">
        <v>173</v>
      </c>
      <c r="B370" t="s">
        <v>55</v>
      </c>
      <c r="C370" s="1">
        <f t="shared" si="12"/>
        <v>15.632800000000001</v>
      </c>
      <c r="D370">
        <v>1.1399999999999999</v>
      </c>
      <c r="E370" s="1">
        <f t="shared" si="16"/>
        <v>14.492800000000001</v>
      </c>
      <c r="F370" s="333">
        <v>45.29</v>
      </c>
      <c r="G370" s="1"/>
      <c r="I370" s="1">
        <v>45.44</v>
      </c>
      <c r="J370" s="1">
        <f t="shared" si="14"/>
        <v>14.540799999999999</v>
      </c>
      <c r="K370" s="1">
        <f t="shared" si="15"/>
        <v>-4.7999999999998266E-2</v>
      </c>
      <c r="L370" s="1"/>
    </row>
    <row r="371" spans="1:12" x14ac:dyDescent="0.25">
      <c r="A371" t="s">
        <v>173</v>
      </c>
      <c r="B371" t="s">
        <v>56</v>
      </c>
      <c r="C371" s="1">
        <f t="shared" si="12"/>
        <v>16.198399999999999</v>
      </c>
      <c r="D371">
        <v>0.48</v>
      </c>
      <c r="E371" s="1">
        <f t="shared" si="16"/>
        <v>15.718399999999999</v>
      </c>
      <c r="F371" s="333">
        <v>49.12</v>
      </c>
      <c r="G371" s="1"/>
      <c r="I371" s="1">
        <v>48.8</v>
      </c>
      <c r="J371" s="1">
        <f t="shared" si="14"/>
        <v>15.616</v>
      </c>
      <c r="K371" s="1">
        <f t="shared" si="15"/>
        <v>0.10239999999999938</v>
      </c>
      <c r="L371" s="1"/>
    </row>
    <row r="372" spans="1:12" x14ac:dyDescent="0.25">
      <c r="A372" t="s">
        <v>173</v>
      </c>
      <c r="B372" t="s">
        <v>618</v>
      </c>
      <c r="C372" s="1">
        <f t="shared" si="12"/>
        <v>29.936799999999998</v>
      </c>
      <c r="D372">
        <v>1.1399999999999999</v>
      </c>
      <c r="E372" s="1">
        <f t="shared" si="16"/>
        <v>28.796799999999998</v>
      </c>
      <c r="F372" s="461">
        <v>89.99</v>
      </c>
      <c r="G372" s="1"/>
      <c r="I372" s="23">
        <v>90.28</v>
      </c>
      <c r="J372" s="1">
        <f t="shared" si="14"/>
        <v>28.889600000000002</v>
      </c>
      <c r="K372" s="1">
        <f t="shared" si="15"/>
        <v>-9.280000000000399E-2</v>
      </c>
      <c r="L372" s="1"/>
    </row>
    <row r="373" spans="1:12" x14ac:dyDescent="0.25">
      <c r="A373" t="s">
        <v>173</v>
      </c>
      <c r="B373" t="s">
        <v>534</v>
      </c>
      <c r="C373" s="1">
        <f t="shared" si="12"/>
        <v>38.1736</v>
      </c>
      <c r="D373">
        <v>1.1399999999999999</v>
      </c>
      <c r="E373" s="1">
        <f t="shared" si="16"/>
        <v>37.0336</v>
      </c>
      <c r="F373" s="333">
        <v>115.73</v>
      </c>
      <c r="G373" s="1"/>
      <c r="I373" s="1">
        <v>114.98</v>
      </c>
      <c r="J373" s="1">
        <f t="shared" si="14"/>
        <v>36.793600000000005</v>
      </c>
      <c r="K373" s="1">
        <f t="shared" si="15"/>
        <v>0.23999999999999488</v>
      </c>
      <c r="L373" s="1"/>
    </row>
    <row r="374" spans="1:12" x14ac:dyDescent="0.25">
      <c r="A374" t="s">
        <v>173</v>
      </c>
      <c r="B374" t="s">
        <v>57</v>
      </c>
      <c r="C374" s="1">
        <f t="shared" si="12"/>
        <v>16.723199999999999</v>
      </c>
      <c r="D374">
        <v>0.48</v>
      </c>
      <c r="E374" s="1">
        <f t="shared" si="16"/>
        <v>16.243199999999998</v>
      </c>
      <c r="F374" s="333">
        <v>50.76</v>
      </c>
      <c r="G374" s="1"/>
      <c r="I374" s="1">
        <v>50.42</v>
      </c>
      <c r="J374" s="1">
        <f t="shared" si="14"/>
        <v>16.134399999999999</v>
      </c>
      <c r="K374" s="1">
        <f t="shared" si="15"/>
        <v>0.10879999999999868</v>
      </c>
      <c r="L374" s="1"/>
    </row>
    <row r="375" spans="1:12" x14ac:dyDescent="0.25">
      <c r="A375" t="s">
        <v>173</v>
      </c>
      <c r="B375" t="s">
        <v>58</v>
      </c>
      <c r="C375" s="1">
        <f t="shared" si="12"/>
        <v>23.068800000000003</v>
      </c>
      <c r="D375">
        <v>2</v>
      </c>
      <c r="E375" s="1">
        <f t="shared" si="16"/>
        <v>21.068800000000003</v>
      </c>
      <c r="F375" s="333">
        <v>65.84</v>
      </c>
      <c r="G375" s="1"/>
      <c r="I375" s="1">
        <v>65.41</v>
      </c>
      <c r="J375" s="1">
        <f t="shared" si="14"/>
        <v>20.9312</v>
      </c>
      <c r="K375" s="1">
        <f t="shared" si="15"/>
        <v>0.13760000000000261</v>
      </c>
      <c r="L375" s="1"/>
    </row>
    <row r="376" spans="1:12" x14ac:dyDescent="0.25">
      <c r="A376" t="s">
        <v>173</v>
      </c>
      <c r="B376" t="s">
        <v>59</v>
      </c>
      <c r="C376" s="1">
        <f t="shared" si="12"/>
        <v>27.277600000000003</v>
      </c>
      <c r="D376">
        <v>1.1399999999999999</v>
      </c>
      <c r="E376" s="1">
        <f t="shared" si="16"/>
        <v>26.137600000000003</v>
      </c>
      <c r="F376" s="333">
        <v>81.680000000000007</v>
      </c>
      <c r="G376" s="1"/>
      <c r="I376" s="1">
        <v>81.14</v>
      </c>
      <c r="J376" s="1">
        <f t="shared" si="14"/>
        <v>25.9648</v>
      </c>
      <c r="K376" s="1">
        <f t="shared" si="15"/>
        <v>0.17280000000000229</v>
      </c>
      <c r="L376" s="1"/>
    </row>
    <row r="377" spans="1:12" x14ac:dyDescent="0.25">
      <c r="A377" t="s">
        <v>173</v>
      </c>
      <c r="B377" t="s">
        <v>60</v>
      </c>
      <c r="C377" s="1">
        <f t="shared" si="12"/>
        <v>10.16</v>
      </c>
      <c r="D377">
        <v>0.48</v>
      </c>
      <c r="E377" s="1">
        <f t="shared" si="16"/>
        <v>9.68</v>
      </c>
      <c r="F377" s="333">
        <v>30.25</v>
      </c>
      <c r="G377" s="1"/>
      <c r="I377" s="1">
        <v>30.05</v>
      </c>
      <c r="J377" s="1">
        <f t="shared" ref="J377:J442" si="17">I377*0.32</f>
        <v>9.6159999999999997</v>
      </c>
      <c r="K377" s="1">
        <f t="shared" si="15"/>
        <v>6.4000000000000057E-2</v>
      </c>
      <c r="L377" s="1"/>
    </row>
    <row r="378" spans="1:12" x14ac:dyDescent="0.25">
      <c r="A378" t="s">
        <v>173</v>
      </c>
      <c r="B378" t="s">
        <v>61</v>
      </c>
      <c r="C378" s="1">
        <f t="shared" si="12"/>
        <v>36.916000000000004</v>
      </c>
      <c r="D378">
        <v>1.1399999999999999</v>
      </c>
      <c r="E378" s="1">
        <f t="shared" si="16"/>
        <v>35.776000000000003</v>
      </c>
      <c r="F378" s="333">
        <v>111.8</v>
      </c>
      <c r="G378" s="1"/>
      <c r="I378" s="1">
        <v>111.06</v>
      </c>
      <c r="J378" s="1">
        <f t="shared" si="17"/>
        <v>35.539200000000001</v>
      </c>
      <c r="K378" s="1">
        <f t="shared" si="15"/>
        <v>0.23680000000000234</v>
      </c>
      <c r="L378" s="1"/>
    </row>
    <row r="379" spans="1:12" x14ac:dyDescent="0.25">
      <c r="A379" t="s">
        <v>173</v>
      </c>
      <c r="B379" t="s">
        <v>62</v>
      </c>
      <c r="C379" s="1">
        <f t="shared" ref="C379:C474" si="18">SUM(D379:E379)</f>
        <v>29.86</v>
      </c>
      <c r="D379">
        <v>1.1399999999999999</v>
      </c>
      <c r="E379" s="1">
        <f t="shared" si="16"/>
        <v>28.72</v>
      </c>
      <c r="F379" s="333">
        <v>89.75</v>
      </c>
      <c r="G379" s="1"/>
      <c r="I379" s="1">
        <v>90.04</v>
      </c>
      <c r="J379" s="1">
        <f t="shared" si="17"/>
        <v>28.812800000000003</v>
      </c>
      <c r="K379" s="1">
        <f t="shared" si="15"/>
        <v>-9.280000000000399E-2</v>
      </c>
      <c r="L379" s="1"/>
    </row>
    <row r="380" spans="1:12" x14ac:dyDescent="0.25">
      <c r="A380" t="s">
        <v>173</v>
      </c>
      <c r="B380" t="s">
        <v>1131</v>
      </c>
      <c r="C380" s="1">
        <f t="shared" si="18"/>
        <v>53.3416</v>
      </c>
      <c r="D380">
        <v>1.1399999999999999</v>
      </c>
      <c r="E380" s="1">
        <f t="shared" si="16"/>
        <v>52.201599999999999</v>
      </c>
      <c r="F380" s="333">
        <v>163.13</v>
      </c>
      <c r="G380" s="1"/>
      <c r="I380" s="1">
        <v>163.66999999999999</v>
      </c>
      <c r="J380" s="1"/>
      <c r="K380" s="1">
        <f t="shared" si="15"/>
        <v>52.201599999999999</v>
      </c>
      <c r="L380" s="1"/>
    </row>
    <row r="381" spans="1:12" x14ac:dyDescent="0.25">
      <c r="A381" t="s">
        <v>173</v>
      </c>
      <c r="B381" t="s">
        <v>63</v>
      </c>
      <c r="C381" s="23">
        <f t="shared" si="18"/>
        <v>13.495200000000001</v>
      </c>
      <c r="D381">
        <v>1.1399999999999999</v>
      </c>
      <c r="E381" s="1">
        <f t="shared" si="16"/>
        <v>12.3552</v>
      </c>
      <c r="F381" s="333">
        <v>38.61</v>
      </c>
      <c r="G381" s="1"/>
      <c r="I381" s="1">
        <v>38.36</v>
      </c>
      <c r="J381" s="1">
        <f t="shared" si="17"/>
        <v>12.2752</v>
      </c>
      <c r="K381" s="1">
        <f t="shared" si="15"/>
        <v>8.0000000000000071E-2</v>
      </c>
      <c r="L381" s="1"/>
    </row>
    <row r="382" spans="1:12" x14ac:dyDescent="0.25">
      <c r="A382" t="s">
        <v>173</v>
      </c>
      <c r="B382" t="s">
        <v>64</v>
      </c>
      <c r="C382" s="1">
        <f t="shared" si="18"/>
        <v>12.646400000000002</v>
      </c>
      <c r="D382">
        <v>0.48</v>
      </c>
      <c r="E382" s="1">
        <f t="shared" si="16"/>
        <v>12.166400000000001</v>
      </c>
      <c r="F382" s="333">
        <v>38.020000000000003</v>
      </c>
      <c r="G382" s="1"/>
      <c r="I382" s="1">
        <v>42.43</v>
      </c>
      <c r="J382" s="1">
        <f t="shared" si="17"/>
        <v>13.5776</v>
      </c>
      <c r="K382" s="1">
        <f t="shared" si="15"/>
        <v>-1.4111999999999991</v>
      </c>
      <c r="L382" s="1"/>
    </row>
    <row r="383" spans="1:12" x14ac:dyDescent="0.25">
      <c r="A383" t="s">
        <v>173</v>
      </c>
      <c r="B383" s="360" t="s">
        <v>1217</v>
      </c>
      <c r="C383" s="1">
        <f t="shared" si="18"/>
        <v>21.593600000000002</v>
      </c>
      <c r="D383">
        <v>0.48</v>
      </c>
      <c r="E383" s="1">
        <f t="shared" si="16"/>
        <v>21.113600000000002</v>
      </c>
      <c r="F383" s="333">
        <v>65.98</v>
      </c>
      <c r="G383" s="1"/>
      <c r="I383" s="1">
        <v>65.55</v>
      </c>
      <c r="J383" s="1"/>
      <c r="K383" s="1">
        <f t="shared" si="15"/>
        <v>21.113600000000002</v>
      </c>
      <c r="L383" s="1"/>
    </row>
    <row r="384" spans="1:12" x14ac:dyDescent="0.25">
      <c r="A384" t="s">
        <v>173</v>
      </c>
      <c r="B384" t="s">
        <v>65</v>
      </c>
      <c r="C384" s="1">
        <f t="shared" si="18"/>
        <v>13.036800000000001</v>
      </c>
      <c r="D384">
        <v>0.48</v>
      </c>
      <c r="E384" s="1">
        <f t="shared" si="16"/>
        <v>12.556800000000001</v>
      </c>
      <c r="F384" s="461">
        <v>39.24</v>
      </c>
      <c r="G384" s="1"/>
      <c r="I384" s="23">
        <v>38.99</v>
      </c>
      <c r="J384" s="1">
        <f t="shared" si="17"/>
        <v>12.476800000000001</v>
      </c>
      <c r="K384" s="1">
        <f t="shared" si="15"/>
        <v>8.0000000000000071E-2</v>
      </c>
      <c r="L384" s="1"/>
    </row>
    <row r="385" spans="1:12" x14ac:dyDescent="0.25">
      <c r="A385" t="s">
        <v>173</v>
      </c>
      <c r="B385" t="s">
        <v>66</v>
      </c>
      <c r="C385" s="1">
        <f t="shared" si="18"/>
        <v>27.395199999999999</v>
      </c>
      <c r="D385">
        <v>0.48</v>
      </c>
      <c r="E385" s="1">
        <f t="shared" si="16"/>
        <v>26.915199999999999</v>
      </c>
      <c r="F385" s="461">
        <v>84.11</v>
      </c>
      <c r="G385" s="1"/>
      <c r="I385" s="23">
        <v>83.56</v>
      </c>
      <c r="J385" s="1">
        <f t="shared" si="17"/>
        <v>26.7392</v>
      </c>
      <c r="K385" s="1">
        <f t="shared" si="15"/>
        <v>0.17599999999999838</v>
      </c>
      <c r="L385" s="1"/>
    </row>
    <row r="386" spans="1:12" x14ac:dyDescent="0.25">
      <c r="A386" t="s">
        <v>173</v>
      </c>
      <c r="B386" t="s">
        <v>67</v>
      </c>
      <c r="C386" s="1">
        <f t="shared" si="18"/>
        <v>33.751199999999997</v>
      </c>
      <c r="D386">
        <v>1.1399999999999999</v>
      </c>
      <c r="E386" s="1">
        <f t="shared" si="16"/>
        <v>32.611199999999997</v>
      </c>
      <c r="F386" s="333">
        <v>101.91</v>
      </c>
      <c r="G386" s="1"/>
      <c r="I386" s="1">
        <v>101.25</v>
      </c>
      <c r="J386" s="1">
        <f t="shared" si="17"/>
        <v>32.4</v>
      </c>
      <c r="K386" s="1">
        <f t="shared" si="15"/>
        <v>0.21119999999999806</v>
      </c>
      <c r="L386" s="1"/>
    </row>
    <row r="387" spans="1:12" x14ac:dyDescent="0.25">
      <c r="A387" t="s">
        <v>173</v>
      </c>
      <c r="B387" t="s">
        <v>68</v>
      </c>
      <c r="C387" s="1">
        <f t="shared" si="18"/>
        <v>26.393600000000003</v>
      </c>
      <c r="D387">
        <v>0.48</v>
      </c>
      <c r="E387" s="1">
        <f t="shared" si="16"/>
        <v>25.913600000000002</v>
      </c>
      <c r="F387" s="461">
        <v>80.98</v>
      </c>
      <c r="G387" s="1"/>
      <c r="I387" s="23">
        <v>80.45</v>
      </c>
      <c r="J387" s="1">
        <f t="shared" si="17"/>
        <v>25.744</v>
      </c>
      <c r="K387" s="1">
        <f t="shared" si="15"/>
        <v>0.16960000000000264</v>
      </c>
      <c r="L387" s="1"/>
    </row>
    <row r="388" spans="1:12" x14ac:dyDescent="0.25">
      <c r="A388" t="s">
        <v>173</v>
      </c>
      <c r="B388" t="s">
        <v>69</v>
      </c>
      <c r="C388" s="1">
        <f t="shared" si="18"/>
        <v>16.3048</v>
      </c>
      <c r="D388">
        <v>1.1399999999999999</v>
      </c>
      <c r="E388" s="1">
        <f t="shared" ref="E388:E427" si="19">F388*0.32</f>
        <v>15.1648</v>
      </c>
      <c r="F388" s="333">
        <v>47.39</v>
      </c>
      <c r="G388" s="1"/>
      <c r="I388" s="1">
        <v>47.07</v>
      </c>
      <c r="J388" s="1">
        <f t="shared" si="17"/>
        <v>15.0624</v>
      </c>
      <c r="K388" s="1">
        <f t="shared" ref="K388:K450" si="20">E388-J388</f>
        <v>0.10239999999999938</v>
      </c>
      <c r="L388" s="1"/>
    </row>
    <row r="389" spans="1:12" x14ac:dyDescent="0.25">
      <c r="A389" t="s">
        <v>173</v>
      </c>
      <c r="B389" t="s">
        <v>70</v>
      </c>
      <c r="C389" s="1">
        <f t="shared" si="18"/>
        <v>23.401599999999998</v>
      </c>
      <c r="D389">
        <v>0.48</v>
      </c>
      <c r="E389" s="1">
        <f t="shared" si="19"/>
        <v>22.921599999999998</v>
      </c>
      <c r="F389" s="461">
        <v>71.63</v>
      </c>
      <c r="G389" s="1"/>
      <c r="I389" s="23">
        <v>71.16</v>
      </c>
      <c r="J389" s="1">
        <f t="shared" si="17"/>
        <v>22.7712</v>
      </c>
      <c r="K389" s="1">
        <f t="shared" si="20"/>
        <v>0.15039999999999765</v>
      </c>
      <c r="L389" s="1"/>
    </row>
    <row r="390" spans="1:12" x14ac:dyDescent="0.25">
      <c r="A390" t="s">
        <v>173</v>
      </c>
      <c r="B390" t="s">
        <v>71</v>
      </c>
      <c r="C390" s="1">
        <f t="shared" si="18"/>
        <v>28.284800000000001</v>
      </c>
      <c r="D390">
        <v>0.48</v>
      </c>
      <c r="E390" s="1">
        <f t="shared" si="19"/>
        <v>27.8048</v>
      </c>
      <c r="F390" s="333">
        <v>86.89</v>
      </c>
      <c r="G390" s="1"/>
      <c r="I390" s="1">
        <v>86.33</v>
      </c>
      <c r="J390" s="1">
        <f t="shared" si="17"/>
        <v>27.625599999999999</v>
      </c>
      <c r="K390" s="1">
        <f t="shared" si="20"/>
        <v>0.17920000000000158</v>
      </c>
      <c r="L390" s="1"/>
    </row>
    <row r="391" spans="1:12" x14ac:dyDescent="0.25">
      <c r="A391" t="s">
        <v>173</v>
      </c>
      <c r="B391" t="s">
        <v>914</v>
      </c>
      <c r="C391" s="1">
        <f t="shared" si="18"/>
        <v>31.555199999999999</v>
      </c>
      <c r="D391">
        <v>0.48</v>
      </c>
      <c r="E391" s="1">
        <f t="shared" si="19"/>
        <v>31.075199999999999</v>
      </c>
      <c r="F391" s="333">
        <v>97.11</v>
      </c>
      <c r="G391" s="1"/>
      <c r="I391" s="1">
        <v>96.75</v>
      </c>
      <c r="J391" s="1">
        <f t="shared" si="17"/>
        <v>30.96</v>
      </c>
      <c r="K391" s="1">
        <f t="shared" si="20"/>
        <v>0.11519999999999797</v>
      </c>
      <c r="L391" s="1"/>
    </row>
    <row r="392" spans="1:12" x14ac:dyDescent="0.25">
      <c r="A392" t="s">
        <v>173</v>
      </c>
      <c r="B392" t="s">
        <v>72</v>
      </c>
      <c r="C392" s="1">
        <f t="shared" si="18"/>
        <v>11.865600000000001</v>
      </c>
      <c r="D392">
        <v>0.48</v>
      </c>
      <c r="E392" s="1">
        <f t="shared" si="19"/>
        <v>11.3856</v>
      </c>
      <c r="F392" s="333">
        <v>35.58</v>
      </c>
      <c r="G392" s="1"/>
      <c r="I392" s="1">
        <v>35.36</v>
      </c>
      <c r="J392" s="1">
        <f t="shared" si="17"/>
        <v>11.315200000000001</v>
      </c>
      <c r="K392" s="1">
        <f t="shared" si="20"/>
        <v>7.0399999999999352E-2</v>
      </c>
      <c r="L392" s="1"/>
    </row>
    <row r="393" spans="1:12" x14ac:dyDescent="0.25">
      <c r="A393" t="s">
        <v>173</v>
      </c>
      <c r="B393" t="s">
        <v>73</v>
      </c>
      <c r="C393" s="1">
        <f t="shared" si="18"/>
        <v>30.911999999999999</v>
      </c>
      <c r="D393">
        <v>0.48</v>
      </c>
      <c r="E393" s="1">
        <f t="shared" si="19"/>
        <v>30.431999999999999</v>
      </c>
      <c r="F393" s="333">
        <v>95.1</v>
      </c>
      <c r="G393" s="1"/>
      <c r="I393" s="1">
        <v>94.48</v>
      </c>
      <c r="J393" s="1">
        <f t="shared" si="17"/>
        <v>30.233600000000003</v>
      </c>
      <c r="K393" s="1">
        <f t="shared" si="20"/>
        <v>0.19839999999999591</v>
      </c>
      <c r="L393" s="1"/>
    </row>
    <row r="394" spans="1:12" x14ac:dyDescent="0.25">
      <c r="A394" t="s">
        <v>173</v>
      </c>
      <c r="B394" t="s">
        <v>74</v>
      </c>
      <c r="C394" s="1">
        <f t="shared" si="18"/>
        <v>27.251200000000001</v>
      </c>
      <c r="D394">
        <v>0.48</v>
      </c>
      <c r="E394" s="1">
        <f t="shared" si="19"/>
        <v>26.7712</v>
      </c>
      <c r="F394" s="333">
        <v>83.66</v>
      </c>
      <c r="G394" s="1"/>
      <c r="I394" s="1">
        <v>83.94</v>
      </c>
      <c r="J394" s="1">
        <f t="shared" si="17"/>
        <v>26.860800000000001</v>
      </c>
      <c r="K394" s="1">
        <f t="shared" si="20"/>
        <v>-8.960000000000079E-2</v>
      </c>
      <c r="L394" s="1"/>
    </row>
    <row r="395" spans="1:12" x14ac:dyDescent="0.25">
      <c r="A395" t="s">
        <v>173</v>
      </c>
      <c r="B395" t="s">
        <v>535</v>
      </c>
      <c r="C395" s="1">
        <f t="shared" si="18"/>
        <v>35.776800000000001</v>
      </c>
      <c r="D395">
        <v>1.1399999999999999</v>
      </c>
      <c r="E395" s="1">
        <f t="shared" si="19"/>
        <v>34.636800000000001</v>
      </c>
      <c r="F395" s="333">
        <v>108.24</v>
      </c>
      <c r="G395" s="1"/>
      <c r="I395" s="1">
        <v>107.53</v>
      </c>
      <c r="J395" s="1">
        <f t="shared" si="17"/>
        <v>34.409600000000005</v>
      </c>
      <c r="K395" s="1">
        <f t="shared" si="20"/>
        <v>0.22719999999999629</v>
      </c>
      <c r="L395" s="1"/>
    </row>
    <row r="396" spans="1:12" x14ac:dyDescent="0.25">
      <c r="A396" t="s">
        <v>173</v>
      </c>
      <c r="B396" t="s">
        <v>75</v>
      </c>
      <c r="C396" s="1">
        <f t="shared" si="18"/>
        <v>34.727199999999996</v>
      </c>
      <c r="D396">
        <v>1.1399999999999999</v>
      </c>
      <c r="E396" s="1">
        <f t="shared" si="19"/>
        <v>33.587199999999996</v>
      </c>
      <c r="F396" s="333">
        <v>104.96</v>
      </c>
      <c r="G396" s="1"/>
      <c r="I396" s="1">
        <v>104.27</v>
      </c>
      <c r="J396" s="1">
        <f t="shared" si="17"/>
        <v>33.366399999999999</v>
      </c>
      <c r="K396" s="1">
        <f t="shared" si="20"/>
        <v>0.220799999999997</v>
      </c>
      <c r="L396" s="1"/>
    </row>
    <row r="397" spans="1:12" x14ac:dyDescent="0.25">
      <c r="A397" t="s">
        <v>173</v>
      </c>
      <c r="B397" t="s">
        <v>76</v>
      </c>
      <c r="C397" s="1">
        <f t="shared" si="18"/>
        <v>32.64</v>
      </c>
      <c r="D397">
        <v>0.48</v>
      </c>
      <c r="E397" s="1">
        <f t="shared" si="19"/>
        <v>32.160000000000004</v>
      </c>
      <c r="F397" s="333">
        <v>100.5</v>
      </c>
      <c r="G397" s="1"/>
      <c r="I397" s="1">
        <v>99.84</v>
      </c>
      <c r="J397" s="1">
        <f t="shared" si="17"/>
        <v>31.948800000000002</v>
      </c>
      <c r="K397" s="1">
        <f t="shared" si="20"/>
        <v>0.21120000000000161</v>
      </c>
      <c r="L397" s="1"/>
    </row>
    <row r="398" spans="1:12" x14ac:dyDescent="0.25">
      <c r="A398" t="s">
        <v>173</v>
      </c>
      <c r="B398" t="s">
        <v>77</v>
      </c>
      <c r="C398" s="1">
        <f t="shared" si="18"/>
        <v>30.1416</v>
      </c>
      <c r="D398">
        <v>1.1399999999999999</v>
      </c>
      <c r="E398" s="1">
        <f t="shared" si="19"/>
        <v>29.0016</v>
      </c>
      <c r="F398" s="333">
        <v>90.63</v>
      </c>
      <c r="G398" s="1"/>
      <c r="I398" s="1">
        <v>90.3</v>
      </c>
      <c r="J398" s="1">
        <f t="shared" si="17"/>
        <v>28.896000000000001</v>
      </c>
      <c r="K398" s="1">
        <f t="shared" si="20"/>
        <v>0.10559999999999903</v>
      </c>
      <c r="L398" s="1"/>
    </row>
    <row r="399" spans="1:12" x14ac:dyDescent="0.25">
      <c r="A399" t="s">
        <v>173</v>
      </c>
      <c r="B399" t="s">
        <v>619</v>
      </c>
      <c r="C399" s="1">
        <f t="shared" si="18"/>
        <v>31.7608</v>
      </c>
      <c r="D399">
        <v>1.1399999999999999</v>
      </c>
      <c r="E399" s="1">
        <f t="shared" si="19"/>
        <v>30.620799999999999</v>
      </c>
      <c r="F399" s="461">
        <v>95.69</v>
      </c>
      <c r="G399" s="1"/>
      <c r="I399" s="23">
        <v>95.07</v>
      </c>
      <c r="J399" s="1">
        <f t="shared" si="17"/>
        <v>30.4224</v>
      </c>
      <c r="K399" s="1">
        <f t="shared" si="20"/>
        <v>0.19839999999999947</v>
      </c>
      <c r="L399" s="1"/>
    </row>
    <row r="400" spans="1:12" x14ac:dyDescent="0.25">
      <c r="A400" t="s">
        <v>173</v>
      </c>
      <c r="B400" t="s">
        <v>78</v>
      </c>
      <c r="C400" s="1">
        <f t="shared" si="18"/>
        <v>16.118399999999998</v>
      </c>
      <c r="D400">
        <v>0.48</v>
      </c>
      <c r="E400" s="1">
        <f t="shared" si="19"/>
        <v>15.638399999999999</v>
      </c>
      <c r="F400" s="333">
        <v>48.87</v>
      </c>
      <c r="G400" s="1"/>
      <c r="I400" s="1">
        <v>49.02</v>
      </c>
      <c r="J400" s="1">
        <f t="shared" si="17"/>
        <v>15.686400000000001</v>
      </c>
      <c r="K400" s="1">
        <f t="shared" si="20"/>
        <v>-4.8000000000001819E-2</v>
      </c>
      <c r="L400" s="1"/>
    </row>
    <row r="401" spans="1:12" x14ac:dyDescent="0.25">
      <c r="A401" t="s">
        <v>173</v>
      </c>
      <c r="B401" t="s">
        <v>79</v>
      </c>
      <c r="C401" s="1">
        <f t="shared" si="18"/>
        <v>14.416</v>
      </c>
      <c r="D401">
        <v>0.48</v>
      </c>
      <c r="E401" s="1">
        <f t="shared" si="19"/>
        <v>13.936</v>
      </c>
      <c r="F401" s="333">
        <v>43.55</v>
      </c>
      <c r="G401" s="1"/>
      <c r="I401" s="1">
        <v>43.27</v>
      </c>
      <c r="J401" s="1">
        <f t="shared" si="17"/>
        <v>13.846400000000001</v>
      </c>
      <c r="K401" s="1">
        <f t="shared" si="20"/>
        <v>8.9599999999999014E-2</v>
      </c>
      <c r="L401" s="1"/>
    </row>
    <row r="402" spans="1:12" x14ac:dyDescent="0.25">
      <c r="A402" t="s">
        <v>173</v>
      </c>
      <c r="B402" t="s">
        <v>80</v>
      </c>
      <c r="C402" s="1">
        <f t="shared" si="18"/>
        <v>23.606400000000001</v>
      </c>
      <c r="D402">
        <v>0.48</v>
      </c>
      <c r="E402" s="1">
        <f t="shared" si="19"/>
        <v>23.1264</v>
      </c>
      <c r="F402" s="333">
        <v>72.27</v>
      </c>
      <c r="G402" s="1"/>
      <c r="I402" s="1">
        <v>71.790000000000006</v>
      </c>
      <c r="J402" s="1">
        <f t="shared" si="17"/>
        <v>22.972800000000003</v>
      </c>
      <c r="K402" s="1">
        <f t="shared" si="20"/>
        <v>0.15359999999999729</v>
      </c>
      <c r="L402" s="1"/>
    </row>
    <row r="403" spans="1:12" x14ac:dyDescent="0.25">
      <c r="A403" t="s">
        <v>173</v>
      </c>
      <c r="B403" t="s">
        <v>81</v>
      </c>
      <c r="C403" s="1">
        <f t="shared" si="18"/>
        <v>15.622400000000001</v>
      </c>
      <c r="D403">
        <v>0.48</v>
      </c>
      <c r="E403" s="1">
        <f t="shared" si="19"/>
        <v>15.1424</v>
      </c>
      <c r="F403" s="333">
        <v>47.32</v>
      </c>
      <c r="G403" s="1"/>
      <c r="I403" s="1">
        <v>47.48</v>
      </c>
      <c r="J403" s="1">
        <f t="shared" si="17"/>
        <v>15.1936</v>
      </c>
      <c r="K403" s="1">
        <f t="shared" si="20"/>
        <v>-5.119999999999969E-2</v>
      </c>
      <c r="L403" s="1"/>
    </row>
    <row r="404" spans="1:12" x14ac:dyDescent="0.25">
      <c r="A404" t="s">
        <v>173</v>
      </c>
      <c r="B404" t="s">
        <v>82</v>
      </c>
      <c r="C404" s="1">
        <f t="shared" si="18"/>
        <v>16.217600000000001</v>
      </c>
      <c r="D404">
        <v>0.48</v>
      </c>
      <c r="E404" s="1">
        <f t="shared" si="19"/>
        <v>15.7376</v>
      </c>
      <c r="F404" s="333">
        <v>49.18</v>
      </c>
      <c r="G404" s="1"/>
      <c r="I404" s="1">
        <v>49.01</v>
      </c>
      <c r="J404" s="1">
        <f t="shared" si="17"/>
        <v>15.683199999999999</v>
      </c>
      <c r="K404" s="1">
        <f t="shared" si="20"/>
        <v>5.4400000000001114E-2</v>
      </c>
      <c r="L404" s="1"/>
    </row>
    <row r="405" spans="1:12" x14ac:dyDescent="0.25">
      <c r="A405" t="s">
        <v>173</v>
      </c>
      <c r="B405" t="s">
        <v>83</v>
      </c>
      <c r="C405" s="1">
        <f t="shared" si="18"/>
        <v>15.081600000000002</v>
      </c>
      <c r="D405">
        <v>0.48</v>
      </c>
      <c r="E405" s="1">
        <f t="shared" si="19"/>
        <v>14.601600000000001</v>
      </c>
      <c r="F405" s="333">
        <v>45.63</v>
      </c>
      <c r="G405" s="1"/>
      <c r="I405" s="1">
        <v>45.47</v>
      </c>
      <c r="J405" s="1">
        <f t="shared" si="17"/>
        <v>14.5504</v>
      </c>
      <c r="K405" s="1">
        <f t="shared" si="20"/>
        <v>5.1200000000001467E-2</v>
      </c>
      <c r="L405" s="1"/>
    </row>
    <row r="406" spans="1:12" x14ac:dyDescent="0.25">
      <c r="A406" t="s">
        <v>173</v>
      </c>
      <c r="B406" t="s">
        <v>84</v>
      </c>
      <c r="C406" s="1">
        <f t="shared" si="18"/>
        <v>34.787199999999999</v>
      </c>
      <c r="D406">
        <v>0.48</v>
      </c>
      <c r="E406" s="1">
        <f t="shared" si="19"/>
        <v>34.307200000000002</v>
      </c>
      <c r="F406" s="461">
        <v>107.21</v>
      </c>
      <c r="G406" s="1"/>
      <c r="I406" s="23">
        <v>106.52</v>
      </c>
      <c r="J406" s="1">
        <f t="shared" si="17"/>
        <v>34.086399999999998</v>
      </c>
      <c r="K406" s="1">
        <f t="shared" si="20"/>
        <v>0.2208000000000041</v>
      </c>
      <c r="L406" s="1"/>
    </row>
    <row r="407" spans="1:12" x14ac:dyDescent="0.25">
      <c r="A407" t="s">
        <v>173</v>
      </c>
      <c r="B407" t="s">
        <v>85</v>
      </c>
      <c r="C407" s="1">
        <f t="shared" si="18"/>
        <v>20.726400000000002</v>
      </c>
      <c r="D407">
        <v>0.48</v>
      </c>
      <c r="E407" s="1">
        <f t="shared" si="19"/>
        <v>20.246400000000001</v>
      </c>
      <c r="F407" s="333">
        <v>63.27</v>
      </c>
      <c r="G407" s="1"/>
      <c r="I407" s="1">
        <v>63.49</v>
      </c>
      <c r="J407" s="1">
        <f t="shared" si="17"/>
        <v>20.316800000000001</v>
      </c>
      <c r="K407" s="1">
        <f t="shared" si="20"/>
        <v>-7.0399999999999352E-2</v>
      </c>
      <c r="L407" s="1"/>
    </row>
    <row r="408" spans="1:12" x14ac:dyDescent="0.25">
      <c r="A408" t="s">
        <v>173</v>
      </c>
      <c r="B408" t="s">
        <v>86</v>
      </c>
      <c r="C408" s="1">
        <f t="shared" si="18"/>
        <v>21.603200000000001</v>
      </c>
      <c r="D408">
        <v>0.48</v>
      </c>
      <c r="E408" s="1">
        <f t="shared" si="19"/>
        <v>21.123200000000001</v>
      </c>
      <c r="F408" s="333">
        <v>66.010000000000005</v>
      </c>
      <c r="G408" s="1"/>
      <c r="I408" s="1">
        <v>66.239999999999995</v>
      </c>
      <c r="J408" s="1">
        <f t="shared" si="17"/>
        <v>21.1968</v>
      </c>
      <c r="K408" s="1">
        <f t="shared" si="20"/>
        <v>-7.3599999999999E-2</v>
      </c>
      <c r="L408" s="1"/>
    </row>
    <row r="409" spans="1:12" x14ac:dyDescent="0.25">
      <c r="A409" t="s">
        <v>173</v>
      </c>
      <c r="B409" t="s">
        <v>87</v>
      </c>
      <c r="C409" s="1">
        <f t="shared" si="18"/>
        <v>50.256</v>
      </c>
      <c r="D409">
        <v>0.48</v>
      </c>
      <c r="E409" s="1">
        <f t="shared" si="19"/>
        <v>49.776000000000003</v>
      </c>
      <c r="F409" s="333">
        <v>155.55000000000001</v>
      </c>
      <c r="G409" s="1"/>
      <c r="I409" s="1">
        <v>154.54</v>
      </c>
      <c r="J409" s="1">
        <f t="shared" si="17"/>
        <v>49.452799999999996</v>
      </c>
      <c r="K409" s="1">
        <f t="shared" si="20"/>
        <v>0.32320000000000704</v>
      </c>
      <c r="L409" s="1"/>
    </row>
    <row r="410" spans="1:12" x14ac:dyDescent="0.25">
      <c r="A410" t="s">
        <v>173</v>
      </c>
      <c r="B410" t="s">
        <v>88</v>
      </c>
      <c r="C410" s="1">
        <f t="shared" si="18"/>
        <v>17.180800000000001</v>
      </c>
      <c r="D410">
        <v>0.48</v>
      </c>
      <c r="E410" s="1">
        <f t="shared" si="19"/>
        <v>16.700800000000001</v>
      </c>
      <c r="F410" s="461">
        <v>52.19</v>
      </c>
      <c r="G410" s="1"/>
      <c r="I410" s="23">
        <v>51.85</v>
      </c>
      <c r="J410" s="1">
        <f t="shared" si="17"/>
        <v>16.592000000000002</v>
      </c>
      <c r="K410" s="1">
        <f t="shared" si="20"/>
        <v>0.10879999999999868</v>
      </c>
      <c r="L410" s="1"/>
    </row>
    <row r="411" spans="1:12" x14ac:dyDescent="0.25">
      <c r="A411" t="s">
        <v>173</v>
      </c>
      <c r="B411" t="s">
        <v>89</v>
      </c>
      <c r="C411" s="1">
        <f t="shared" si="18"/>
        <v>52.876800000000003</v>
      </c>
      <c r="D411">
        <v>0.48</v>
      </c>
      <c r="E411" s="1">
        <f t="shared" si="19"/>
        <v>52.396800000000006</v>
      </c>
      <c r="F411" s="333">
        <v>163.74</v>
      </c>
      <c r="G411" s="1"/>
      <c r="I411" s="1">
        <v>164.29</v>
      </c>
      <c r="J411" s="1">
        <f t="shared" si="17"/>
        <v>52.572800000000001</v>
      </c>
      <c r="K411" s="1">
        <f t="shared" si="20"/>
        <v>-0.17599999999999483</v>
      </c>
      <c r="L411" s="1"/>
    </row>
    <row r="412" spans="1:12" x14ac:dyDescent="0.25">
      <c r="A412" t="s">
        <v>173</v>
      </c>
      <c r="B412" t="s">
        <v>620</v>
      </c>
      <c r="C412" s="1">
        <f t="shared" si="18"/>
        <v>28.0808</v>
      </c>
      <c r="D412">
        <v>1.1399999999999999</v>
      </c>
      <c r="E412" s="1">
        <f t="shared" si="19"/>
        <v>26.940799999999999</v>
      </c>
      <c r="F412" s="461">
        <v>84.19</v>
      </c>
      <c r="G412" s="1"/>
      <c r="I412" s="23">
        <v>83.65</v>
      </c>
      <c r="J412" s="1">
        <f t="shared" si="17"/>
        <v>26.768000000000001</v>
      </c>
      <c r="K412" s="1">
        <f t="shared" si="20"/>
        <v>0.17279999999999873</v>
      </c>
      <c r="L412" s="1"/>
    </row>
    <row r="413" spans="1:12" x14ac:dyDescent="0.25">
      <c r="A413" t="s">
        <v>173</v>
      </c>
      <c r="B413" t="s">
        <v>90</v>
      </c>
      <c r="C413" s="1">
        <f t="shared" si="18"/>
        <v>27.386399999999998</v>
      </c>
      <c r="D413">
        <v>1.1399999999999999</v>
      </c>
      <c r="E413" s="1">
        <f t="shared" si="19"/>
        <v>26.246399999999998</v>
      </c>
      <c r="F413" s="333">
        <v>82.02</v>
      </c>
      <c r="G413" s="1"/>
      <c r="I413" s="1">
        <v>81.489999999999995</v>
      </c>
      <c r="J413" s="1">
        <f t="shared" si="17"/>
        <v>26.076799999999999</v>
      </c>
      <c r="K413" s="1">
        <f t="shared" si="20"/>
        <v>0.16959999999999908</v>
      </c>
      <c r="L413" s="1"/>
    </row>
    <row r="414" spans="1:12" x14ac:dyDescent="0.25">
      <c r="A414" t="s">
        <v>173</v>
      </c>
      <c r="B414" t="s">
        <v>91</v>
      </c>
      <c r="C414" s="1">
        <f t="shared" si="18"/>
        <v>26.083200000000001</v>
      </c>
      <c r="D414">
        <v>0.48</v>
      </c>
      <c r="E414" s="1">
        <f t="shared" si="19"/>
        <v>25.603200000000001</v>
      </c>
      <c r="F414" s="333">
        <v>80.010000000000005</v>
      </c>
      <c r="G414" s="1"/>
      <c r="I414" s="1">
        <v>79.48</v>
      </c>
      <c r="J414" s="1">
        <f t="shared" si="17"/>
        <v>25.433600000000002</v>
      </c>
      <c r="K414" s="1">
        <f t="shared" si="20"/>
        <v>0.16959999999999908</v>
      </c>
      <c r="L414" s="1"/>
    </row>
    <row r="415" spans="1:12" x14ac:dyDescent="0.25">
      <c r="A415" t="s">
        <v>173</v>
      </c>
      <c r="B415" t="s">
        <v>92</v>
      </c>
      <c r="C415" s="1">
        <f t="shared" si="18"/>
        <v>55.270399999999995</v>
      </c>
      <c r="D415">
        <v>0.48</v>
      </c>
      <c r="E415" s="1">
        <f t="shared" si="19"/>
        <v>54.790399999999998</v>
      </c>
      <c r="F415" s="333">
        <v>171.22</v>
      </c>
      <c r="G415" s="1"/>
      <c r="I415" s="1">
        <v>171.8</v>
      </c>
      <c r="J415" s="1">
        <f t="shared" si="17"/>
        <v>54.976000000000006</v>
      </c>
      <c r="K415" s="1">
        <f t="shared" si="20"/>
        <v>-0.18560000000000798</v>
      </c>
      <c r="L415" s="1"/>
    </row>
    <row r="416" spans="1:12" x14ac:dyDescent="0.25">
      <c r="A416" t="s">
        <v>173</v>
      </c>
      <c r="B416" t="s">
        <v>93</v>
      </c>
      <c r="C416" s="23">
        <f t="shared" si="18"/>
        <v>31.139200000000002</v>
      </c>
      <c r="D416">
        <v>0.48</v>
      </c>
      <c r="E416" s="1">
        <f t="shared" si="19"/>
        <v>30.659200000000002</v>
      </c>
      <c r="F416" s="461">
        <v>95.81</v>
      </c>
      <c r="G416" s="1"/>
      <c r="I416" s="23">
        <v>95.47</v>
      </c>
      <c r="J416" s="1">
        <f t="shared" si="17"/>
        <v>30.5504</v>
      </c>
      <c r="K416" s="1">
        <f t="shared" si="20"/>
        <v>0.10880000000000223</v>
      </c>
      <c r="L416" s="1"/>
    </row>
    <row r="417" spans="1:13" x14ac:dyDescent="0.25">
      <c r="A417" t="s">
        <v>173</v>
      </c>
      <c r="B417" t="s">
        <v>94</v>
      </c>
      <c r="C417" s="1">
        <f t="shared" si="18"/>
        <v>46.999200000000002</v>
      </c>
      <c r="D417">
        <v>1.1399999999999999</v>
      </c>
      <c r="E417" s="1">
        <f t="shared" si="19"/>
        <v>45.859200000000001</v>
      </c>
      <c r="F417" s="333">
        <v>143.31</v>
      </c>
      <c r="G417" s="1"/>
      <c r="I417" s="1">
        <v>142.38</v>
      </c>
      <c r="J417" s="1">
        <f t="shared" si="17"/>
        <v>45.561599999999999</v>
      </c>
      <c r="K417" s="1">
        <f t="shared" si="20"/>
        <v>0.29760000000000275</v>
      </c>
      <c r="L417" s="1"/>
    </row>
    <row r="418" spans="1:13" x14ac:dyDescent="0.25">
      <c r="A418" t="s">
        <v>173</v>
      </c>
      <c r="B418" s="25" t="s">
        <v>95</v>
      </c>
      <c r="C418" s="23">
        <f t="shared" si="18"/>
        <v>38.102399999999996</v>
      </c>
      <c r="D418">
        <v>0.48</v>
      </c>
      <c r="E418" s="1">
        <f t="shared" si="19"/>
        <v>37.622399999999999</v>
      </c>
      <c r="F418" s="461">
        <v>117.57</v>
      </c>
      <c r="G418" s="1"/>
      <c r="I418" s="23">
        <v>112.75</v>
      </c>
      <c r="J418" s="1">
        <f t="shared" si="17"/>
        <v>36.08</v>
      </c>
      <c r="K418" s="1">
        <f t="shared" si="20"/>
        <v>1.5424000000000007</v>
      </c>
      <c r="L418" s="1"/>
      <c r="M418" s="26"/>
    </row>
    <row r="419" spans="1:13" x14ac:dyDescent="0.25">
      <c r="A419" t="s">
        <v>173</v>
      </c>
      <c r="B419" t="s">
        <v>96</v>
      </c>
      <c r="C419" s="1">
        <f t="shared" si="18"/>
        <v>71.788800000000009</v>
      </c>
      <c r="D419">
        <v>0.48</v>
      </c>
      <c r="E419" s="1">
        <f t="shared" si="19"/>
        <v>71.308800000000005</v>
      </c>
      <c r="F419" s="333">
        <v>222.84</v>
      </c>
      <c r="G419" s="1"/>
      <c r="I419" s="1">
        <v>223.58</v>
      </c>
      <c r="J419" s="1">
        <f t="shared" si="17"/>
        <v>71.545600000000007</v>
      </c>
      <c r="K419" s="1">
        <f t="shared" si="20"/>
        <v>-0.23680000000000234</v>
      </c>
      <c r="L419" s="1"/>
    </row>
    <row r="420" spans="1:13" x14ac:dyDescent="0.25">
      <c r="A420" t="s">
        <v>173</v>
      </c>
      <c r="B420" t="s">
        <v>97</v>
      </c>
      <c r="C420" s="1">
        <f t="shared" si="18"/>
        <v>103.10799999999999</v>
      </c>
      <c r="D420">
        <v>1.1399999999999999</v>
      </c>
      <c r="E420" s="1">
        <f t="shared" si="19"/>
        <v>101.96799999999999</v>
      </c>
      <c r="F420" s="1">
        <v>318.64999999999998</v>
      </c>
      <c r="G420" s="1" t="s">
        <v>731</v>
      </c>
      <c r="I420" s="1">
        <v>318.64999999999998</v>
      </c>
      <c r="J420" s="1">
        <f t="shared" si="17"/>
        <v>101.96799999999999</v>
      </c>
      <c r="K420" s="1">
        <f t="shared" si="20"/>
        <v>0</v>
      </c>
      <c r="L420" s="1"/>
    </row>
    <row r="421" spans="1:13" x14ac:dyDescent="0.25">
      <c r="A421" t="s">
        <v>173</v>
      </c>
      <c r="B421" t="s">
        <v>536</v>
      </c>
      <c r="C421" s="1">
        <f t="shared" si="18"/>
        <v>34.499199999999995</v>
      </c>
      <c r="D421">
        <v>0.48</v>
      </c>
      <c r="E421" s="1">
        <f t="shared" si="19"/>
        <v>34.019199999999998</v>
      </c>
      <c r="F421" s="333">
        <v>106.31</v>
      </c>
      <c r="G421" s="1"/>
      <c r="I421" s="1">
        <v>103.4</v>
      </c>
      <c r="J421" s="1">
        <f t="shared" si="17"/>
        <v>33.088000000000001</v>
      </c>
      <c r="K421" s="1">
        <f t="shared" si="20"/>
        <v>0.93119999999999692</v>
      </c>
      <c r="L421" s="1"/>
    </row>
    <row r="422" spans="1:13" x14ac:dyDescent="0.25">
      <c r="A422" t="s">
        <v>173</v>
      </c>
      <c r="B422" t="s">
        <v>537</v>
      </c>
      <c r="C422" s="1">
        <f t="shared" si="18"/>
        <v>58.967200000000005</v>
      </c>
      <c r="D422">
        <v>1.1399999999999999</v>
      </c>
      <c r="E422" s="1">
        <f t="shared" si="19"/>
        <v>57.827200000000005</v>
      </c>
      <c r="F422" s="333">
        <v>180.71</v>
      </c>
      <c r="G422" s="1"/>
      <c r="I422" s="1">
        <v>180.06</v>
      </c>
      <c r="J422" s="1">
        <f t="shared" si="17"/>
        <v>57.619199999999999</v>
      </c>
      <c r="K422" s="1">
        <f t="shared" si="20"/>
        <v>0.20800000000000551</v>
      </c>
      <c r="L422" s="1"/>
    </row>
    <row r="423" spans="1:13" x14ac:dyDescent="0.25">
      <c r="A423" t="s">
        <v>173</v>
      </c>
      <c r="B423" t="s">
        <v>1070</v>
      </c>
      <c r="C423" s="1">
        <f t="shared" si="18"/>
        <v>51.264799999999994</v>
      </c>
      <c r="D423">
        <v>1.1399999999999999</v>
      </c>
      <c r="E423" s="1">
        <f t="shared" si="19"/>
        <v>50.124799999999993</v>
      </c>
      <c r="F423" s="333">
        <v>156.63999999999999</v>
      </c>
      <c r="G423" s="1"/>
      <c r="I423" s="1">
        <v>150.57</v>
      </c>
      <c r="J423" s="1"/>
      <c r="K423" s="1">
        <f t="shared" si="20"/>
        <v>50.124799999999993</v>
      </c>
      <c r="L423" s="1"/>
    </row>
    <row r="424" spans="1:13" x14ac:dyDescent="0.25">
      <c r="A424" t="s">
        <v>173</v>
      </c>
      <c r="B424" t="s">
        <v>98</v>
      </c>
      <c r="C424" s="1">
        <f t="shared" si="18"/>
        <v>33.68</v>
      </c>
      <c r="D424">
        <v>0.48</v>
      </c>
      <c r="E424" s="1">
        <f t="shared" si="19"/>
        <v>33.200000000000003</v>
      </c>
      <c r="F424" s="333">
        <v>103.75</v>
      </c>
      <c r="G424" s="1"/>
      <c r="I424" s="1">
        <v>101.18</v>
      </c>
      <c r="J424" s="1">
        <f t="shared" si="17"/>
        <v>32.377600000000001</v>
      </c>
      <c r="K424" s="1">
        <f t="shared" si="20"/>
        <v>0.8224000000000018</v>
      </c>
      <c r="L424" s="1"/>
    </row>
    <row r="425" spans="1:13" x14ac:dyDescent="0.25">
      <c r="A425" t="s">
        <v>173</v>
      </c>
      <c r="B425" t="s">
        <v>99</v>
      </c>
      <c r="C425" s="1">
        <f t="shared" si="18"/>
        <v>31.068800000000003</v>
      </c>
      <c r="D425">
        <v>0.48</v>
      </c>
      <c r="E425" s="1">
        <f t="shared" si="19"/>
        <v>30.588800000000003</v>
      </c>
      <c r="F425" s="333">
        <v>95.59</v>
      </c>
      <c r="G425" s="1"/>
      <c r="I425" s="1">
        <v>93.22</v>
      </c>
      <c r="J425" s="1">
        <f t="shared" si="17"/>
        <v>29.830400000000001</v>
      </c>
      <c r="K425" s="1">
        <f t="shared" si="20"/>
        <v>0.75840000000000174</v>
      </c>
      <c r="L425" s="1"/>
    </row>
    <row r="426" spans="1:13" x14ac:dyDescent="0.25">
      <c r="A426" t="s">
        <v>173</v>
      </c>
      <c r="B426" t="s">
        <v>584</v>
      </c>
      <c r="C426" s="1">
        <f t="shared" si="18"/>
        <v>34.035199999999996</v>
      </c>
      <c r="D426">
        <v>0.48</v>
      </c>
      <c r="E426" s="1">
        <f t="shared" si="19"/>
        <v>33.555199999999999</v>
      </c>
      <c r="F426" s="461">
        <v>104.86</v>
      </c>
      <c r="G426" s="1"/>
      <c r="I426" s="23">
        <v>105.21</v>
      </c>
      <c r="J426" s="1">
        <f t="shared" si="17"/>
        <v>33.667200000000001</v>
      </c>
      <c r="K426" s="1">
        <f t="shared" si="20"/>
        <v>-0.11200000000000188</v>
      </c>
      <c r="L426" s="1"/>
    </row>
    <row r="427" spans="1:13" x14ac:dyDescent="0.25">
      <c r="A427" t="s">
        <v>173</v>
      </c>
      <c r="B427" t="s">
        <v>1218</v>
      </c>
      <c r="C427" s="1">
        <f t="shared" si="18"/>
        <v>91.2072</v>
      </c>
      <c r="D427">
        <v>1.1399999999999999</v>
      </c>
      <c r="E427" s="1">
        <f t="shared" si="19"/>
        <v>90.0672</v>
      </c>
      <c r="F427" s="461">
        <v>281.45999999999998</v>
      </c>
      <c r="G427" s="1"/>
      <c r="I427" s="23">
        <v>282.39999999999998</v>
      </c>
      <c r="J427" s="1"/>
      <c r="K427" s="1">
        <f t="shared" si="20"/>
        <v>90.0672</v>
      </c>
      <c r="L427" s="1"/>
    </row>
    <row r="428" spans="1:13" x14ac:dyDescent="0.25">
      <c r="A428" t="s">
        <v>173</v>
      </c>
      <c r="B428" t="s">
        <v>100</v>
      </c>
      <c r="C428" s="1">
        <f t="shared" si="18"/>
        <v>13.916800000000002</v>
      </c>
      <c r="D428">
        <v>0.48</v>
      </c>
      <c r="E428" s="1">
        <f t="shared" ref="E428:E483" si="21">F428*0.32</f>
        <v>13.436800000000002</v>
      </c>
      <c r="F428" s="333">
        <v>41.99</v>
      </c>
      <c r="G428" s="1"/>
      <c r="I428" s="1">
        <v>41.71</v>
      </c>
      <c r="J428" s="1">
        <f t="shared" si="17"/>
        <v>13.347200000000001</v>
      </c>
      <c r="K428" s="1">
        <f t="shared" si="20"/>
        <v>8.960000000000079E-2</v>
      </c>
      <c r="L428" s="1"/>
    </row>
    <row r="429" spans="1:13" x14ac:dyDescent="0.25">
      <c r="A429" t="s">
        <v>173</v>
      </c>
      <c r="B429" t="s">
        <v>101</v>
      </c>
      <c r="C429" s="1">
        <f t="shared" si="18"/>
        <v>37.599999999999994</v>
      </c>
      <c r="D429">
        <v>0.48</v>
      </c>
      <c r="E429" s="1">
        <f t="shared" si="21"/>
        <v>37.119999999999997</v>
      </c>
      <c r="F429" s="333">
        <v>116</v>
      </c>
      <c r="G429" s="1"/>
      <c r="I429" s="1">
        <v>115.92</v>
      </c>
      <c r="J429" s="1">
        <f t="shared" si="17"/>
        <v>37.0944</v>
      </c>
      <c r="K429" s="1">
        <f t="shared" si="20"/>
        <v>2.5599999999997181E-2</v>
      </c>
      <c r="L429" s="1"/>
    </row>
    <row r="430" spans="1:13" x14ac:dyDescent="0.25">
      <c r="A430" t="s">
        <v>173</v>
      </c>
      <c r="B430" t="s">
        <v>538</v>
      </c>
      <c r="C430" s="1">
        <f t="shared" si="18"/>
        <v>36.279200000000003</v>
      </c>
      <c r="D430">
        <v>1.1399999999999999</v>
      </c>
      <c r="E430" s="1">
        <f t="shared" si="21"/>
        <v>35.139200000000002</v>
      </c>
      <c r="F430" s="333">
        <v>109.81</v>
      </c>
      <c r="G430" s="1"/>
      <c r="I430" s="1">
        <v>110.67</v>
      </c>
      <c r="J430" s="1">
        <f t="shared" si="17"/>
        <v>35.414400000000001</v>
      </c>
      <c r="K430" s="1">
        <f t="shared" si="20"/>
        <v>-0.27519999999999811</v>
      </c>
      <c r="L430" s="1"/>
    </row>
    <row r="431" spans="1:13" x14ac:dyDescent="0.25">
      <c r="A431" t="s">
        <v>173</v>
      </c>
      <c r="B431" t="s">
        <v>1235</v>
      </c>
      <c r="C431" s="1">
        <f t="shared" si="18"/>
        <v>63.194399999999995</v>
      </c>
      <c r="D431">
        <v>1.1399999999999999</v>
      </c>
      <c r="E431" s="1">
        <f t="shared" si="21"/>
        <v>62.054399999999994</v>
      </c>
      <c r="F431" s="1">
        <v>193.92</v>
      </c>
      <c r="G431" s="1" t="s">
        <v>731</v>
      </c>
      <c r="I431" s="1">
        <v>193.92</v>
      </c>
      <c r="J431" s="1"/>
      <c r="K431" s="1">
        <f t="shared" si="20"/>
        <v>62.054399999999994</v>
      </c>
      <c r="L431" s="1"/>
    </row>
    <row r="432" spans="1:13" x14ac:dyDescent="0.25">
      <c r="A432" t="s">
        <v>173</v>
      </c>
      <c r="B432" s="25" t="s">
        <v>1120</v>
      </c>
      <c r="C432" s="1">
        <f t="shared" si="18"/>
        <v>87.021600000000007</v>
      </c>
      <c r="D432">
        <v>1.1399999999999999</v>
      </c>
      <c r="E432" s="1">
        <f t="shared" si="21"/>
        <v>85.881600000000006</v>
      </c>
      <c r="F432" s="23">
        <v>268.38</v>
      </c>
      <c r="G432" s="1" t="s">
        <v>731</v>
      </c>
      <c r="I432" s="23">
        <v>268.38</v>
      </c>
      <c r="J432" s="1"/>
      <c r="K432" s="1">
        <f t="shared" si="20"/>
        <v>85.881600000000006</v>
      </c>
      <c r="L432" s="1"/>
      <c r="M432" t="s">
        <v>1121</v>
      </c>
    </row>
    <row r="433" spans="1:13" x14ac:dyDescent="0.25">
      <c r="A433" t="s">
        <v>173</v>
      </c>
      <c r="B433" t="s">
        <v>1004</v>
      </c>
      <c r="C433" s="1">
        <f t="shared" si="18"/>
        <v>97.468800000000002</v>
      </c>
      <c r="D433">
        <v>0.48</v>
      </c>
      <c r="E433" s="1">
        <f t="shared" si="21"/>
        <v>96.988799999999998</v>
      </c>
      <c r="F433" s="461">
        <v>303.08999999999997</v>
      </c>
      <c r="G433" s="1"/>
      <c r="I433" s="23">
        <v>304.10000000000002</v>
      </c>
      <c r="J433" s="1">
        <f t="shared" si="17"/>
        <v>97.312000000000012</v>
      </c>
      <c r="K433" s="1">
        <f t="shared" si="20"/>
        <v>-0.32320000000001414</v>
      </c>
      <c r="L433" s="1"/>
      <c r="M433" t="s">
        <v>1026</v>
      </c>
    </row>
    <row r="434" spans="1:13" x14ac:dyDescent="0.25">
      <c r="A434" t="s">
        <v>173</v>
      </c>
      <c r="B434" t="s">
        <v>1196</v>
      </c>
      <c r="C434" s="1">
        <f t="shared" si="18"/>
        <v>108.38160000000001</v>
      </c>
      <c r="D434">
        <v>1.1399999999999999</v>
      </c>
      <c r="E434" s="1">
        <f t="shared" si="21"/>
        <v>107.24160000000001</v>
      </c>
      <c r="F434" s="23">
        <v>335.13</v>
      </c>
      <c r="G434" s="1" t="s">
        <v>731</v>
      </c>
      <c r="I434" s="23">
        <v>335.13</v>
      </c>
      <c r="J434" s="1"/>
      <c r="K434" s="1">
        <f t="shared" si="20"/>
        <v>107.24160000000001</v>
      </c>
      <c r="L434" s="1"/>
    </row>
    <row r="435" spans="1:13" x14ac:dyDescent="0.25">
      <c r="A435" t="s">
        <v>173</v>
      </c>
      <c r="B435" t="s">
        <v>102</v>
      </c>
      <c r="C435" s="1">
        <f t="shared" si="18"/>
        <v>27.315200000000001</v>
      </c>
      <c r="D435">
        <v>0.48</v>
      </c>
      <c r="E435" s="1">
        <f t="shared" si="21"/>
        <v>26.8352</v>
      </c>
      <c r="F435" s="333">
        <v>83.86</v>
      </c>
      <c r="G435" s="1"/>
      <c r="I435" s="1">
        <v>79.099999999999994</v>
      </c>
      <c r="J435" s="1">
        <f t="shared" si="17"/>
        <v>25.311999999999998</v>
      </c>
      <c r="K435" s="1">
        <f t="shared" si="20"/>
        <v>1.5232000000000028</v>
      </c>
      <c r="L435" s="1"/>
    </row>
    <row r="436" spans="1:13" x14ac:dyDescent="0.25">
      <c r="A436" t="s">
        <v>173</v>
      </c>
      <c r="B436" s="25" t="s">
        <v>539</v>
      </c>
      <c r="C436" s="1">
        <f t="shared" si="18"/>
        <v>73.155200000000008</v>
      </c>
      <c r="D436">
        <v>0.48</v>
      </c>
      <c r="E436" s="1">
        <f t="shared" si="21"/>
        <v>72.675200000000004</v>
      </c>
      <c r="F436" s="462">
        <v>227.11</v>
      </c>
      <c r="G436" s="1"/>
      <c r="I436" s="288">
        <v>227.88</v>
      </c>
      <c r="J436" s="1">
        <f t="shared" si="17"/>
        <v>72.921599999999998</v>
      </c>
      <c r="K436" s="1">
        <f t="shared" si="20"/>
        <v>-0.24639999999999418</v>
      </c>
      <c r="L436" s="1"/>
    </row>
    <row r="437" spans="1:13" x14ac:dyDescent="0.25">
      <c r="A437" t="s">
        <v>173</v>
      </c>
      <c r="B437" s="25" t="s">
        <v>540</v>
      </c>
      <c r="C437" s="1">
        <f t="shared" si="18"/>
        <v>73.376800000000003</v>
      </c>
      <c r="D437">
        <v>1.1399999999999999</v>
      </c>
      <c r="E437" s="1">
        <f t="shared" si="21"/>
        <v>72.236800000000002</v>
      </c>
      <c r="F437" s="463">
        <v>225.74</v>
      </c>
      <c r="G437" s="1"/>
      <c r="I437" s="287">
        <v>224.26</v>
      </c>
      <c r="J437" s="1">
        <f t="shared" si="17"/>
        <v>71.763199999999998</v>
      </c>
      <c r="K437" s="1">
        <f t="shared" si="20"/>
        <v>0.47360000000000468</v>
      </c>
      <c r="L437" s="1"/>
    </row>
    <row r="438" spans="1:13" x14ac:dyDescent="0.25">
      <c r="A438" t="s">
        <v>173</v>
      </c>
      <c r="B438" s="25" t="s">
        <v>546</v>
      </c>
      <c r="C438" s="1">
        <f t="shared" si="18"/>
        <v>18.125599999999999</v>
      </c>
      <c r="D438">
        <v>1.1399999999999999</v>
      </c>
      <c r="E438" s="1">
        <f t="shared" si="21"/>
        <v>16.985599999999998</v>
      </c>
      <c r="F438" s="463">
        <v>53.08</v>
      </c>
      <c r="G438" s="1"/>
      <c r="I438" s="287">
        <v>53.26</v>
      </c>
      <c r="J438" s="1">
        <f t="shared" si="17"/>
        <v>17.043199999999999</v>
      </c>
      <c r="K438" s="1">
        <f t="shared" si="20"/>
        <v>-5.7600000000000762E-2</v>
      </c>
      <c r="L438" s="1"/>
    </row>
    <row r="439" spans="1:13" x14ac:dyDescent="0.25">
      <c r="A439" t="s">
        <v>173</v>
      </c>
      <c r="B439" s="25" t="s">
        <v>541</v>
      </c>
      <c r="C439" s="23">
        <f>SUM(D439:E439)</f>
        <v>8.5511999999999997</v>
      </c>
      <c r="D439">
        <v>1.1399999999999999</v>
      </c>
      <c r="E439" s="1">
        <f t="shared" si="21"/>
        <v>7.4112</v>
      </c>
      <c r="F439" s="462">
        <v>23.16</v>
      </c>
      <c r="G439" s="1" t="s">
        <v>731</v>
      </c>
      <c r="I439" s="288">
        <v>23.01</v>
      </c>
      <c r="J439" s="1">
        <f t="shared" si="17"/>
        <v>7.3632000000000009</v>
      </c>
      <c r="K439" s="1">
        <f t="shared" si="20"/>
        <v>4.7999999999999154E-2</v>
      </c>
      <c r="L439" s="1" t="s">
        <v>1181</v>
      </c>
    </row>
    <row r="440" spans="1:13" x14ac:dyDescent="0.25">
      <c r="A440" t="s">
        <v>173</v>
      </c>
      <c r="B440" s="25" t="s">
        <v>542</v>
      </c>
      <c r="C440" s="23">
        <f t="shared" ref="C440:C443" si="22">SUM(D440:E440)</f>
        <v>8.0936000000000003</v>
      </c>
      <c r="D440">
        <v>1.1399999999999999</v>
      </c>
      <c r="E440" s="1">
        <f t="shared" si="21"/>
        <v>6.9536000000000007</v>
      </c>
      <c r="F440" s="462">
        <v>21.73</v>
      </c>
      <c r="G440" s="1" t="s">
        <v>731</v>
      </c>
      <c r="I440" s="288">
        <v>21.58</v>
      </c>
      <c r="J440" s="1">
        <f t="shared" si="17"/>
        <v>6.9055999999999997</v>
      </c>
      <c r="K440" s="1">
        <f t="shared" si="20"/>
        <v>4.8000000000000931E-2</v>
      </c>
      <c r="L440" s="1" t="s">
        <v>1181</v>
      </c>
    </row>
    <row r="441" spans="1:13" x14ac:dyDescent="0.25">
      <c r="A441" t="s">
        <v>173</v>
      </c>
      <c r="B441" s="25" t="s">
        <v>543</v>
      </c>
      <c r="C441" s="23">
        <f t="shared" si="22"/>
        <v>70.125600000000006</v>
      </c>
      <c r="D441">
        <v>1.1399999999999999</v>
      </c>
      <c r="E441" s="1">
        <f t="shared" si="21"/>
        <v>68.985600000000005</v>
      </c>
      <c r="F441" s="462">
        <v>215.58</v>
      </c>
      <c r="G441" s="1" t="s">
        <v>731</v>
      </c>
      <c r="I441" s="288">
        <v>214.17</v>
      </c>
      <c r="J441" s="1">
        <f t="shared" si="17"/>
        <v>68.534399999999991</v>
      </c>
      <c r="K441" s="1">
        <f t="shared" si="20"/>
        <v>0.45120000000001426</v>
      </c>
      <c r="L441" s="1" t="s">
        <v>1181</v>
      </c>
    </row>
    <row r="442" spans="1:13" x14ac:dyDescent="0.25">
      <c r="A442" t="s">
        <v>173</v>
      </c>
      <c r="B442" s="25" t="s">
        <v>544</v>
      </c>
      <c r="C442" s="23">
        <f t="shared" si="22"/>
        <v>36.768800000000006</v>
      </c>
      <c r="D442">
        <v>1.1399999999999999</v>
      </c>
      <c r="E442" s="1">
        <f t="shared" si="21"/>
        <v>35.628800000000005</v>
      </c>
      <c r="F442" s="463">
        <v>111.34</v>
      </c>
      <c r="G442" s="1" t="s">
        <v>731</v>
      </c>
      <c r="I442" s="287">
        <v>76.69</v>
      </c>
      <c r="J442" s="1">
        <f t="shared" si="17"/>
        <v>24.540800000000001</v>
      </c>
      <c r="K442" s="1">
        <f t="shared" si="20"/>
        <v>11.088000000000005</v>
      </c>
      <c r="L442" s="1" t="s">
        <v>1181</v>
      </c>
    </row>
    <row r="443" spans="1:13" x14ac:dyDescent="0.25">
      <c r="A443" t="s">
        <v>173</v>
      </c>
      <c r="B443" s="25" t="s">
        <v>545</v>
      </c>
      <c r="C443" s="23">
        <f t="shared" si="22"/>
        <v>19.3992</v>
      </c>
      <c r="D443">
        <v>1.1399999999999999</v>
      </c>
      <c r="E443" s="1">
        <f t="shared" si="21"/>
        <v>18.2592</v>
      </c>
      <c r="F443" s="463">
        <v>57.06</v>
      </c>
      <c r="G443" s="1" t="s">
        <v>731</v>
      </c>
      <c r="I443" s="287">
        <v>56.68</v>
      </c>
      <c r="J443" s="1">
        <f t="shared" ref="J443:J515" si="23">I443*0.32</f>
        <v>18.137599999999999</v>
      </c>
      <c r="K443" s="1">
        <f t="shared" si="20"/>
        <v>0.12160000000000082</v>
      </c>
      <c r="L443" s="1" t="s">
        <v>1181</v>
      </c>
    </row>
    <row r="444" spans="1:13" x14ac:dyDescent="0.25">
      <c r="A444" t="s">
        <v>173</v>
      </c>
      <c r="B444" s="25" t="s">
        <v>103</v>
      </c>
      <c r="C444" s="1">
        <f t="shared" si="18"/>
        <v>39.834400000000002</v>
      </c>
      <c r="D444">
        <v>1.1399999999999999</v>
      </c>
      <c r="E444" s="1">
        <f t="shared" si="21"/>
        <v>38.694400000000002</v>
      </c>
      <c r="F444" s="333">
        <v>120.92</v>
      </c>
      <c r="G444" s="1"/>
      <c r="I444" s="1">
        <v>121.32</v>
      </c>
      <c r="J444" s="1">
        <f t="shared" si="23"/>
        <v>38.822400000000002</v>
      </c>
      <c r="K444" s="1">
        <f t="shared" si="20"/>
        <v>-0.12800000000000011</v>
      </c>
      <c r="L444" s="1"/>
    </row>
    <row r="445" spans="1:13" x14ac:dyDescent="0.25">
      <c r="A445" t="s">
        <v>173</v>
      </c>
      <c r="B445" s="25" t="s">
        <v>547</v>
      </c>
      <c r="C445" s="1">
        <f t="shared" si="18"/>
        <v>49.373599999999996</v>
      </c>
      <c r="D445">
        <v>1.1399999999999999</v>
      </c>
      <c r="E445" s="1">
        <f t="shared" si="21"/>
        <v>48.233599999999996</v>
      </c>
      <c r="F445" s="333">
        <v>150.72999999999999</v>
      </c>
      <c r="G445" s="1"/>
      <c r="I445" s="1">
        <v>151.22999999999999</v>
      </c>
      <c r="J445" s="1">
        <f t="shared" si="23"/>
        <v>48.393599999999999</v>
      </c>
      <c r="K445" s="1">
        <f t="shared" si="20"/>
        <v>-0.16000000000000369</v>
      </c>
      <c r="L445" s="1"/>
    </row>
    <row r="446" spans="1:13" x14ac:dyDescent="0.25">
      <c r="A446" t="s">
        <v>173</v>
      </c>
      <c r="B446" s="25" t="s">
        <v>1119</v>
      </c>
      <c r="C446" s="1">
        <f t="shared" si="18"/>
        <v>50.317600000000006</v>
      </c>
      <c r="D446">
        <v>1.1399999999999999</v>
      </c>
      <c r="E446" s="1">
        <f t="shared" si="21"/>
        <v>49.177600000000005</v>
      </c>
      <c r="F446" s="333">
        <v>153.68</v>
      </c>
      <c r="G446" s="1"/>
      <c r="I446" s="1">
        <v>154.19</v>
      </c>
      <c r="J446" s="1">
        <f t="shared" si="23"/>
        <v>49.340800000000002</v>
      </c>
      <c r="K446" s="1">
        <f t="shared" si="20"/>
        <v>-0.16319999999999624</v>
      </c>
      <c r="L446" s="1"/>
      <c r="M446" t="s">
        <v>1121</v>
      </c>
    </row>
    <row r="447" spans="1:13" x14ac:dyDescent="0.25">
      <c r="A447" t="s">
        <v>173</v>
      </c>
      <c r="B447" t="s">
        <v>104</v>
      </c>
      <c r="C447" s="1">
        <f t="shared" si="18"/>
        <v>14.895999999999999</v>
      </c>
      <c r="D447">
        <v>0.48</v>
      </c>
      <c r="E447" s="1">
        <f t="shared" si="21"/>
        <v>14.415999999999999</v>
      </c>
      <c r="F447" s="333">
        <v>45.05</v>
      </c>
      <c r="G447" s="1"/>
      <c r="I447" s="1">
        <v>44.88</v>
      </c>
      <c r="J447" s="1">
        <f t="shared" si="23"/>
        <v>14.361600000000001</v>
      </c>
      <c r="K447" s="1">
        <f t="shared" si="20"/>
        <v>5.4399999999997561E-2</v>
      </c>
      <c r="L447" s="1"/>
    </row>
    <row r="448" spans="1:13" x14ac:dyDescent="0.25">
      <c r="A448" t="s">
        <v>173</v>
      </c>
      <c r="B448" t="s">
        <v>105</v>
      </c>
      <c r="C448" s="1">
        <f t="shared" si="18"/>
        <v>21.396000000000001</v>
      </c>
      <c r="D448">
        <v>1.1399999999999999</v>
      </c>
      <c r="E448" s="1">
        <f t="shared" si="21"/>
        <v>20.256</v>
      </c>
      <c r="F448" s="333">
        <v>63.3</v>
      </c>
      <c r="G448" s="1"/>
      <c r="I448" s="1">
        <v>62.88</v>
      </c>
      <c r="J448" s="1">
        <f t="shared" si="23"/>
        <v>20.121600000000001</v>
      </c>
      <c r="K448" s="1">
        <f t="shared" si="20"/>
        <v>0.13439999999999941</v>
      </c>
      <c r="L448" s="1"/>
    </row>
    <row r="449" spans="1:12" x14ac:dyDescent="0.25">
      <c r="A449" t="s">
        <v>173</v>
      </c>
      <c r="B449" t="s">
        <v>106</v>
      </c>
      <c r="C449" s="1">
        <f t="shared" si="18"/>
        <v>10.102400000000001</v>
      </c>
      <c r="D449">
        <v>0.48</v>
      </c>
      <c r="E449" s="1">
        <f t="shared" si="21"/>
        <v>9.6224000000000007</v>
      </c>
      <c r="F449" s="333">
        <v>30.07</v>
      </c>
      <c r="G449" s="1"/>
      <c r="I449" s="1">
        <v>29.87</v>
      </c>
      <c r="J449" s="1">
        <f t="shared" si="23"/>
        <v>9.5584000000000007</v>
      </c>
      <c r="K449" s="1">
        <f t="shared" si="20"/>
        <v>6.4000000000000057E-2</v>
      </c>
      <c r="L449" s="1"/>
    </row>
    <row r="450" spans="1:12" x14ac:dyDescent="0.25">
      <c r="A450" t="s">
        <v>173</v>
      </c>
      <c r="B450" t="s">
        <v>107</v>
      </c>
      <c r="C450" s="1">
        <f t="shared" si="18"/>
        <v>8.8032000000000004</v>
      </c>
      <c r="D450">
        <v>0.48</v>
      </c>
      <c r="E450" s="1">
        <f t="shared" si="21"/>
        <v>8.3231999999999999</v>
      </c>
      <c r="F450" s="333">
        <v>26.01</v>
      </c>
      <c r="G450" s="1"/>
      <c r="I450" s="1">
        <v>25.84</v>
      </c>
      <c r="J450" s="1">
        <f t="shared" si="23"/>
        <v>8.2688000000000006</v>
      </c>
      <c r="K450" s="1">
        <f t="shared" si="20"/>
        <v>5.4399999999999338E-2</v>
      </c>
      <c r="L450" s="1"/>
    </row>
    <row r="451" spans="1:12" x14ac:dyDescent="0.25">
      <c r="A451" t="s">
        <v>173</v>
      </c>
      <c r="B451" t="s">
        <v>621</v>
      </c>
      <c r="C451" s="1">
        <f t="shared" si="18"/>
        <v>17.895199999999999</v>
      </c>
      <c r="D451">
        <v>1.1399999999999999</v>
      </c>
      <c r="E451" s="1">
        <f t="shared" si="21"/>
        <v>16.755199999999999</v>
      </c>
      <c r="F451" s="333">
        <v>52.36</v>
      </c>
      <c r="G451" s="1"/>
      <c r="I451" s="1">
        <v>52.02</v>
      </c>
      <c r="J451" s="1">
        <f t="shared" si="23"/>
        <v>16.6464</v>
      </c>
      <c r="K451" s="1">
        <f t="shared" ref="K451:K515" si="24">E451-J451</f>
        <v>0.10879999999999868</v>
      </c>
      <c r="L451" s="1"/>
    </row>
    <row r="452" spans="1:12" x14ac:dyDescent="0.25">
      <c r="A452" t="s">
        <v>173</v>
      </c>
      <c r="B452" t="s">
        <v>108</v>
      </c>
      <c r="C452" s="1">
        <f t="shared" si="18"/>
        <v>16.272000000000002</v>
      </c>
      <c r="D452">
        <v>0.48</v>
      </c>
      <c r="E452" s="1">
        <f t="shared" si="21"/>
        <v>15.792000000000002</v>
      </c>
      <c r="F452" s="333">
        <v>49.35</v>
      </c>
      <c r="G452" s="1"/>
      <c r="I452" s="1">
        <v>55.33</v>
      </c>
      <c r="J452" s="1">
        <f t="shared" si="23"/>
        <v>17.7056</v>
      </c>
      <c r="K452" s="1">
        <f t="shared" si="24"/>
        <v>-1.9135999999999989</v>
      </c>
      <c r="L452" s="1"/>
    </row>
    <row r="453" spans="1:12" x14ac:dyDescent="0.25">
      <c r="A453" t="s">
        <v>173</v>
      </c>
      <c r="B453" t="s">
        <v>109</v>
      </c>
      <c r="C453" s="1">
        <f t="shared" si="18"/>
        <v>6.16</v>
      </c>
      <c r="D453">
        <v>0.48</v>
      </c>
      <c r="E453" s="1">
        <f t="shared" si="21"/>
        <v>5.68</v>
      </c>
      <c r="F453" s="461">
        <v>17.75</v>
      </c>
      <c r="G453" s="1"/>
      <c r="I453" s="23">
        <v>17.64</v>
      </c>
      <c r="J453" s="1">
        <f t="shared" si="23"/>
        <v>5.6448</v>
      </c>
      <c r="K453" s="1">
        <f t="shared" si="24"/>
        <v>3.5199999999999676E-2</v>
      </c>
      <c r="L453" s="1"/>
    </row>
    <row r="454" spans="1:12" x14ac:dyDescent="0.25">
      <c r="A454" t="s">
        <v>173</v>
      </c>
      <c r="B454" t="s">
        <v>110</v>
      </c>
      <c r="C454" s="1">
        <f t="shared" si="18"/>
        <v>10.083200000000001</v>
      </c>
      <c r="D454">
        <v>0.48</v>
      </c>
      <c r="E454" s="1">
        <f t="shared" si="21"/>
        <v>9.6032000000000011</v>
      </c>
      <c r="F454" s="333">
        <v>30.01</v>
      </c>
      <c r="G454" s="1"/>
      <c r="I454" s="1">
        <v>29.81</v>
      </c>
      <c r="J454" s="1">
        <f t="shared" si="23"/>
        <v>9.5391999999999992</v>
      </c>
      <c r="K454" s="1">
        <f t="shared" si="24"/>
        <v>6.4000000000001833E-2</v>
      </c>
      <c r="L454" s="1"/>
    </row>
    <row r="455" spans="1:12" x14ac:dyDescent="0.25">
      <c r="A455" t="s">
        <v>173</v>
      </c>
      <c r="B455" t="s">
        <v>111</v>
      </c>
      <c r="C455" s="1">
        <f t="shared" si="18"/>
        <v>34.372</v>
      </c>
      <c r="D455">
        <v>1.1399999999999999</v>
      </c>
      <c r="E455" s="1">
        <f t="shared" si="21"/>
        <v>33.231999999999999</v>
      </c>
      <c r="F455" s="333">
        <v>103.85</v>
      </c>
      <c r="G455" s="1"/>
      <c r="I455" s="1">
        <v>103.47</v>
      </c>
      <c r="J455" s="1">
        <f t="shared" si="23"/>
        <v>33.110399999999998</v>
      </c>
      <c r="K455" s="1">
        <f t="shared" si="24"/>
        <v>0.12160000000000082</v>
      </c>
      <c r="L455" s="1"/>
    </row>
    <row r="456" spans="1:12" x14ac:dyDescent="0.25">
      <c r="A456" t="s">
        <v>173</v>
      </c>
      <c r="B456" s="360" t="s">
        <v>1219</v>
      </c>
      <c r="C456" s="363">
        <f t="shared" si="18"/>
        <v>35.4024</v>
      </c>
      <c r="D456">
        <v>1.1399999999999999</v>
      </c>
      <c r="E456" s="1">
        <f t="shared" si="21"/>
        <v>34.2624</v>
      </c>
      <c r="F456" s="333">
        <v>107.07</v>
      </c>
      <c r="G456" s="1"/>
      <c r="I456" s="1">
        <v>106.68</v>
      </c>
      <c r="J456" s="1"/>
      <c r="K456" s="1">
        <f t="shared" si="24"/>
        <v>34.2624</v>
      </c>
      <c r="L456" s="1"/>
    </row>
    <row r="457" spans="1:12" x14ac:dyDescent="0.25">
      <c r="A457" t="s">
        <v>173</v>
      </c>
      <c r="B457" t="s">
        <v>1024</v>
      </c>
      <c r="C457" s="1">
        <f t="shared" si="18"/>
        <v>16.839200000000002</v>
      </c>
      <c r="D457">
        <v>1.1399999999999999</v>
      </c>
      <c r="E457" s="1">
        <f t="shared" si="21"/>
        <v>15.699200000000001</v>
      </c>
      <c r="F457" s="1">
        <v>49.06</v>
      </c>
      <c r="G457" s="1" t="s">
        <v>731</v>
      </c>
      <c r="I457" s="1">
        <v>49.06</v>
      </c>
      <c r="J457" s="1">
        <f t="shared" si="23"/>
        <v>15.699200000000001</v>
      </c>
      <c r="K457" s="1">
        <f t="shared" si="24"/>
        <v>0</v>
      </c>
      <c r="L457" s="1"/>
    </row>
    <row r="458" spans="1:12" x14ac:dyDescent="0.25">
      <c r="A458" t="s">
        <v>173</v>
      </c>
      <c r="B458" t="s">
        <v>1069</v>
      </c>
      <c r="C458" s="1">
        <f t="shared" si="18"/>
        <v>13.1912</v>
      </c>
      <c r="D458">
        <v>1.1399999999999999</v>
      </c>
      <c r="E458" s="1">
        <f t="shared" si="21"/>
        <v>12.0512</v>
      </c>
      <c r="F458" s="333">
        <v>37.659999999999997</v>
      </c>
      <c r="G458" s="1"/>
      <c r="I458" s="1">
        <v>37.4</v>
      </c>
      <c r="J458" s="1">
        <f t="shared" si="23"/>
        <v>11.968</v>
      </c>
      <c r="K458" s="1">
        <f t="shared" si="24"/>
        <v>8.3199999999999719E-2</v>
      </c>
      <c r="L458" s="1"/>
    </row>
    <row r="459" spans="1:12" x14ac:dyDescent="0.25">
      <c r="A459" t="s">
        <v>173</v>
      </c>
      <c r="B459" t="s">
        <v>112</v>
      </c>
      <c r="C459" s="1">
        <f t="shared" si="18"/>
        <v>15.776</v>
      </c>
      <c r="D459">
        <v>0.48</v>
      </c>
      <c r="E459" s="1">
        <f t="shared" si="21"/>
        <v>15.295999999999999</v>
      </c>
      <c r="F459" s="461">
        <v>47.8</v>
      </c>
      <c r="G459" s="1"/>
      <c r="I459" s="23">
        <v>47.63</v>
      </c>
      <c r="J459" s="1">
        <f t="shared" si="23"/>
        <v>15.241600000000002</v>
      </c>
      <c r="K459" s="1">
        <f t="shared" si="24"/>
        <v>5.4399999999997561E-2</v>
      </c>
      <c r="L459" s="1"/>
    </row>
    <row r="460" spans="1:12" x14ac:dyDescent="0.25">
      <c r="A460" t="s">
        <v>173</v>
      </c>
      <c r="B460" t="s">
        <v>113</v>
      </c>
      <c r="C460" s="1">
        <f t="shared" si="18"/>
        <v>62.765600000000006</v>
      </c>
      <c r="D460">
        <v>1.1399999999999999</v>
      </c>
      <c r="E460" s="1">
        <f t="shared" si="21"/>
        <v>61.625600000000006</v>
      </c>
      <c r="F460" s="333">
        <v>192.58</v>
      </c>
      <c r="G460" s="1"/>
      <c r="I460" s="1">
        <v>193.22</v>
      </c>
      <c r="J460" s="1">
        <f t="shared" si="23"/>
        <v>61.830400000000004</v>
      </c>
      <c r="K460" s="1">
        <f t="shared" si="24"/>
        <v>-0.20479999999999876</v>
      </c>
      <c r="L460" s="1"/>
    </row>
    <row r="461" spans="1:12" x14ac:dyDescent="0.25">
      <c r="A461" t="s">
        <v>173</v>
      </c>
      <c r="B461" t="s">
        <v>114</v>
      </c>
      <c r="C461" s="1">
        <f t="shared" si="18"/>
        <v>20.896800000000002</v>
      </c>
      <c r="D461">
        <v>1.1399999999999999</v>
      </c>
      <c r="E461" s="1">
        <f t="shared" si="21"/>
        <v>19.756800000000002</v>
      </c>
      <c r="F461" s="333">
        <v>61.74</v>
      </c>
      <c r="G461" s="1"/>
      <c r="I461" s="1">
        <v>61.96</v>
      </c>
      <c r="J461" s="1">
        <f t="shared" si="23"/>
        <v>19.827200000000001</v>
      </c>
      <c r="K461" s="1">
        <f t="shared" si="24"/>
        <v>-7.0399999999999352E-2</v>
      </c>
      <c r="L461" s="1"/>
    </row>
    <row r="462" spans="1:12" x14ac:dyDescent="0.25">
      <c r="A462" t="s">
        <v>173</v>
      </c>
      <c r="B462" s="25" t="s">
        <v>852</v>
      </c>
      <c r="C462" s="1">
        <f t="shared" si="18"/>
        <v>18.023199999999999</v>
      </c>
      <c r="D462">
        <v>1.1399999999999999</v>
      </c>
      <c r="E462" s="1">
        <f t="shared" si="21"/>
        <v>16.883199999999999</v>
      </c>
      <c r="F462" s="333">
        <v>52.76</v>
      </c>
      <c r="G462" s="1"/>
      <c r="I462" s="1">
        <v>52.22</v>
      </c>
      <c r="J462" s="1">
        <f t="shared" si="23"/>
        <v>16.7104</v>
      </c>
      <c r="K462" s="1">
        <f t="shared" si="24"/>
        <v>0.17279999999999873</v>
      </c>
      <c r="L462" s="1"/>
    </row>
    <row r="463" spans="1:12" x14ac:dyDescent="0.25">
      <c r="A463" t="s">
        <v>173</v>
      </c>
      <c r="B463" t="s">
        <v>115</v>
      </c>
      <c r="C463" s="1">
        <f t="shared" si="18"/>
        <v>30.682399999999998</v>
      </c>
      <c r="D463">
        <v>1.1399999999999999</v>
      </c>
      <c r="E463" s="1">
        <f t="shared" si="21"/>
        <v>29.542399999999997</v>
      </c>
      <c r="F463" s="333">
        <v>92.32</v>
      </c>
      <c r="G463" s="1"/>
      <c r="I463" s="1">
        <v>92.63</v>
      </c>
      <c r="J463" s="1">
        <f t="shared" si="23"/>
        <v>29.6416</v>
      </c>
      <c r="K463" s="1">
        <f t="shared" si="24"/>
        <v>-9.9200000000003286E-2</v>
      </c>
      <c r="L463" s="1"/>
    </row>
    <row r="464" spans="1:12" x14ac:dyDescent="0.25">
      <c r="A464" t="s">
        <v>173</v>
      </c>
      <c r="B464" t="s">
        <v>116</v>
      </c>
      <c r="C464" s="1">
        <f t="shared" si="18"/>
        <v>70.028800000000004</v>
      </c>
      <c r="D464">
        <v>0.48</v>
      </c>
      <c r="E464" s="1">
        <f t="shared" si="21"/>
        <v>69.5488</v>
      </c>
      <c r="F464" s="333">
        <v>217.34</v>
      </c>
      <c r="G464" s="1"/>
      <c r="I464" s="1">
        <v>215.92</v>
      </c>
      <c r="J464" s="1">
        <f t="shared" si="23"/>
        <v>69.094399999999993</v>
      </c>
      <c r="K464" s="1">
        <f t="shared" si="24"/>
        <v>0.4544000000000068</v>
      </c>
      <c r="L464" s="1"/>
    </row>
    <row r="465" spans="1:12" x14ac:dyDescent="0.25">
      <c r="A465" t="s">
        <v>173</v>
      </c>
      <c r="B465" t="s">
        <v>117</v>
      </c>
      <c r="C465" s="1">
        <f t="shared" si="18"/>
        <v>27.392800000000005</v>
      </c>
      <c r="D465">
        <v>1.1399999999999999</v>
      </c>
      <c r="E465" s="1">
        <f t="shared" si="21"/>
        <v>26.252800000000004</v>
      </c>
      <c r="F465" s="333">
        <v>82.04</v>
      </c>
      <c r="G465" s="1"/>
      <c r="I465" s="1">
        <v>81.5</v>
      </c>
      <c r="J465" s="1">
        <f t="shared" si="23"/>
        <v>26.080000000000002</v>
      </c>
      <c r="K465" s="1">
        <f t="shared" si="24"/>
        <v>0.17280000000000229</v>
      </c>
      <c r="L465" s="1"/>
    </row>
    <row r="466" spans="1:12" x14ac:dyDescent="0.25">
      <c r="A466" t="s">
        <v>173</v>
      </c>
      <c r="B466" t="s">
        <v>622</v>
      </c>
      <c r="C466" s="1">
        <f t="shared" si="18"/>
        <v>17.588000000000001</v>
      </c>
      <c r="D466">
        <v>1.1399999999999999</v>
      </c>
      <c r="E466" s="1">
        <f t="shared" si="21"/>
        <v>16.448</v>
      </c>
      <c r="F466" s="461">
        <v>51.4</v>
      </c>
      <c r="G466" s="1"/>
      <c r="I466" s="23">
        <v>51.07</v>
      </c>
      <c r="J466" s="1">
        <f t="shared" si="23"/>
        <v>16.342400000000001</v>
      </c>
      <c r="K466" s="1">
        <f t="shared" si="24"/>
        <v>0.10559999999999903</v>
      </c>
      <c r="L466" s="1"/>
    </row>
    <row r="467" spans="1:12" x14ac:dyDescent="0.25">
      <c r="A467" t="s">
        <v>173</v>
      </c>
      <c r="B467" t="s">
        <v>118</v>
      </c>
      <c r="C467" s="1">
        <f t="shared" si="18"/>
        <v>5.7728000000000002</v>
      </c>
      <c r="D467">
        <v>0.48</v>
      </c>
      <c r="E467" s="1">
        <f t="shared" si="21"/>
        <v>5.2927999999999997</v>
      </c>
      <c r="F467" s="461">
        <v>16.54</v>
      </c>
      <c r="G467" s="1"/>
      <c r="I467" s="23">
        <v>16.489999999999998</v>
      </c>
      <c r="J467" s="1">
        <f t="shared" si="23"/>
        <v>5.2767999999999997</v>
      </c>
      <c r="K467" s="1">
        <f t="shared" si="24"/>
        <v>1.6000000000000014E-2</v>
      </c>
      <c r="L467" s="1"/>
    </row>
    <row r="468" spans="1:12" x14ac:dyDescent="0.25">
      <c r="A468" t="s">
        <v>173</v>
      </c>
      <c r="B468" t="s">
        <v>1130</v>
      </c>
      <c r="C468" s="1">
        <f t="shared" si="18"/>
        <v>18.697600000000001</v>
      </c>
      <c r="D468">
        <v>0.48</v>
      </c>
      <c r="E468" s="1">
        <f t="shared" si="21"/>
        <v>18.217600000000001</v>
      </c>
      <c r="F468" s="461">
        <v>56.93</v>
      </c>
      <c r="G468" s="1"/>
      <c r="I468" s="23">
        <v>56.72</v>
      </c>
      <c r="J468" s="1"/>
      <c r="K468" s="1">
        <f t="shared" si="24"/>
        <v>18.217600000000001</v>
      </c>
      <c r="L468" s="1"/>
    </row>
    <row r="469" spans="1:12" x14ac:dyDescent="0.25">
      <c r="A469" t="s">
        <v>173</v>
      </c>
      <c r="B469" t="s">
        <v>1289</v>
      </c>
      <c r="C469" s="1"/>
      <c r="E469" s="1"/>
      <c r="F469" s="461"/>
      <c r="G469" s="1"/>
      <c r="I469" s="23"/>
      <c r="J469" s="1"/>
      <c r="K469" s="1"/>
      <c r="L469" s="1"/>
    </row>
    <row r="470" spans="1:12" x14ac:dyDescent="0.25">
      <c r="A470" t="s">
        <v>173</v>
      </c>
      <c r="B470" t="s">
        <v>119</v>
      </c>
      <c r="C470" s="1">
        <f t="shared" si="18"/>
        <v>54.303999999999995</v>
      </c>
      <c r="D470">
        <v>0.48</v>
      </c>
      <c r="E470" s="1">
        <f t="shared" si="21"/>
        <v>53.823999999999998</v>
      </c>
      <c r="F470" s="333">
        <v>168.2</v>
      </c>
      <c r="G470" s="1"/>
      <c r="I470" s="1">
        <v>168.77</v>
      </c>
      <c r="J470" s="1">
        <f t="shared" si="23"/>
        <v>54.006400000000006</v>
      </c>
      <c r="K470" s="1">
        <f t="shared" si="24"/>
        <v>-0.18240000000000833</v>
      </c>
      <c r="L470" s="1"/>
    </row>
    <row r="471" spans="1:12" x14ac:dyDescent="0.25">
      <c r="A471" t="s">
        <v>173</v>
      </c>
      <c r="B471" t="s">
        <v>916</v>
      </c>
      <c r="C471" s="1">
        <f t="shared" si="18"/>
        <v>30.781600000000001</v>
      </c>
      <c r="D471">
        <v>1.1399999999999999</v>
      </c>
      <c r="E471" s="1">
        <f t="shared" si="21"/>
        <v>29.6416</v>
      </c>
      <c r="F471" s="333">
        <v>92.63</v>
      </c>
      <c r="G471" s="1"/>
      <c r="I471" s="1">
        <v>92.93</v>
      </c>
      <c r="J471" s="1">
        <f t="shared" si="23"/>
        <v>29.737600000000004</v>
      </c>
      <c r="K471" s="1">
        <f t="shared" si="24"/>
        <v>-9.6000000000003638E-2</v>
      </c>
      <c r="L471" s="1"/>
    </row>
    <row r="472" spans="1:12" x14ac:dyDescent="0.25">
      <c r="A472" t="s">
        <v>173</v>
      </c>
      <c r="B472" t="s">
        <v>120</v>
      </c>
      <c r="C472" s="1">
        <f t="shared" si="18"/>
        <v>31.4312</v>
      </c>
      <c r="D472">
        <v>1.1399999999999999</v>
      </c>
      <c r="E472" s="1">
        <f t="shared" si="21"/>
        <v>30.2912</v>
      </c>
      <c r="F472" s="333">
        <v>94.66</v>
      </c>
      <c r="G472" s="1"/>
      <c r="I472" s="1">
        <v>94.97</v>
      </c>
      <c r="J472" s="1">
        <f t="shared" si="23"/>
        <v>30.3904</v>
      </c>
      <c r="K472" s="1">
        <f t="shared" si="24"/>
        <v>-9.9199999999999733E-2</v>
      </c>
      <c r="L472" s="1"/>
    </row>
    <row r="473" spans="1:12" x14ac:dyDescent="0.25">
      <c r="A473" t="s">
        <v>173</v>
      </c>
      <c r="B473" t="s">
        <v>121</v>
      </c>
      <c r="C473" s="1">
        <f t="shared" si="18"/>
        <v>8.8160000000000007</v>
      </c>
      <c r="D473">
        <v>0.48</v>
      </c>
      <c r="E473" s="1">
        <f t="shared" si="21"/>
        <v>8.3360000000000003</v>
      </c>
      <c r="F473" s="333">
        <v>26.05</v>
      </c>
      <c r="G473" s="1"/>
      <c r="I473" s="1">
        <v>25.87</v>
      </c>
      <c r="J473" s="1">
        <f t="shared" si="23"/>
        <v>8.2784000000000013</v>
      </c>
      <c r="K473" s="1">
        <f t="shared" si="24"/>
        <v>5.7599999999998985E-2</v>
      </c>
      <c r="L473" s="1"/>
    </row>
    <row r="474" spans="1:12" x14ac:dyDescent="0.25">
      <c r="A474" t="s">
        <v>173</v>
      </c>
      <c r="B474" t="s">
        <v>122</v>
      </c>
      <c r="C474" s="1">
        <f t="shared" si="18"/>
        <v>12.388</v>
      </c>
      <c r="D474">
        <v>1.1399999999999999</v>
      </c>
      <c r="E474" s="1">
        <f t="shared" si="21"/>
        <v>11.247999999999999</v>
      </c>
      <c r="F474" s="461">
        <v>35.15</v>
      </c>
      <c r="G474" s="1"/>
      <c r="I474" s="23">
        <v>34.92</v>
      </c>
      <c r="J474" s="1">
        <f t="shared" si="23"/>
        <v>11.1744</v>
      </c>
      <c r="K474" s="1">
        <f t="shared" si="24"/>
        <v>7.3599999999999E-2</v>
      </c>
      <c r="L474" s="1"/>
    </row>
    <row r="475" spans="1:12" x14ac:dyDescent="0.25">
      <c r="A475" t="s">
        <v>173</v>
      </c>
      <c r="B475" t="s">
        <v>123</v>
      </c>
      <c r="C475" s="1">
        <f t="shared" ref="C475:C528" si="25">SUM(D475:E475)</f>
        <v>18.244000000000003</v>
      </c>
      <c r="D475">
        <v>1.1399999999999999</v>
      </c>
      <c r="E475" s="1">
        <f t="shared" si="21"/>
        <v>17.104000000000003</v>
      </c>
      <c r="F475" s="333">
        <v>53.45</v>
      </c>
      <c r="G475" s="1"/>
      <c r="I475" s="1">
        <v>53.09</v>
      </c>
      <c r="J475" s="1">
        <f t="shared" si="23"/>
        <v>16.988800000000001</v>
      </c>
      <c r="K475" s="1">
        <f t="shared" si="24"/>
        <v>0.11520000000000152</v>
      </c>
      <c r="L475" s="1"/>
    </row>
    <row r="476" spans="1:12" x14ac:dyDescent="0.25">
      <c r="A476" t="s">
        <v>173</v>
      </c>
      <c r="B476" t="s">
        <v>124</v>
      </c>
      <c r="C476" s="1">
        <f t="shared" si="25"/>
        <v>6.3455999999999992</v>
      </c>
      <c r="D476">
        <v>0.48</v>
      </c>
      <c r="E476" s="1">
        <f t="shared" si="21"/>
        <v>5.8655999999999997</v>
      </c>
      <c r="F476" s="333">
        <v>18.329999999999998</v>
      </c>
      <c r="G476" s="1"/>
      <c r="I476" s="1">
        <v>18.21</v>
      </c>
      <c r="J476" s="1">
        <f t="shared" si="23"/>
        <v>5.8272000000000004</v>
      </c>
      <c r="K476" s="1">
        <f t="shared" si="24"/>
        <v>3.8399999999999324E-2</v>
      </c>
      <c r="L476" s="1"/>
    </row>
    <row r="477" spans="1:12" x14ac:dyDescent="0.25">
      <c r="A477" t="s">
        <v>173</v>
      </c>
      <c r="B477" t="s">
        <v>125</v>
      </c>
      <c r="C477" s="1">
        <f t="shared" si="25"/>
        <v>10.934400000000002</v>
      </c>
      <c r="D477">
        <v>0.48</v>
      </c>
      <c r="E477" s="1">
        <f t="shared" si="21"/>
        <v>10.454400000000001</v>
      </c>
      <c r="F477" s="461">
        <v>32.67</v>
      </c>
      <c r="G477" s="1"/>
      <c r="I477" s="23">
        <v>32.450000000000003</v>
      </c>
      <c r="J477" s="1">
        <f t="shared" si="23"/>
        <v>10.384</v>
      </c>
      <c r="K477" s="1">
        <f t="shared" si="24"/>
        <v>7.0400000000001128E-2</v>
      </c>
      <c r="L477" s="1"/>
    </row>
    <row r="478" spans="1:12" x14ac:dyDescent="0.25">
      <c r="A478" t="s">
        <v>173</v>
      </c>
      <c r="B478" t="s">
        <v>126</v>
      </c>
      <c r="C478" s="1">
        <f t="shared" si="25"/>
        <v>6.7200000000000006</v>
      </c>
      <c r="D478">
        <v>0.48</v>
      </c>
      <c r="E478" s="1">
        <f t="shared" si="21"/>
        <v>6.24</v>
      </c>
      <c r="F478" s="333">
        <v>19.5</v>
      </c>
      <c r="G478" s="1"/>
      <c r="I478" s="1">
        <v>19.38</v>
      </c>
      <c r="J478" s="1">
        <f t="shared" si="23"/>
        <v>6.2016</v>
      </c>
      <c r="K478" s="1">
        <f t="shared" si="24"/>
        <v>3.8400000000000212E-2</v>
      </c>
      <c r="L478" s="1"/>
    </row>
    <row r="479" spans="1:12" x14ac:dyDescent="0.25">
      <c r="A479" t="s">
        <v>173</v>
      </c>
      <c r="B479" t="s">
        <v>127</v>
      </c>
      <c r="C479" s="1">
        <f t="shared" si="25"/>
        <v>9.4344000000000019</v>
      </c>
      <c r="D479">
        <v>1.1399999999999999</v>
      </c>
      <c r="E479" s="1">
        <f t="shared" si="21"/>
        <v>8.2944000000000013</v>
      </c>
      <c r="F479" s="461">
        <v>25.92</v>
      </c>
      <c r="G479" s="1"/>
      <c r="I479" s="23">
        <v>25.76</v>
      </c>
      <c r="J479" s="1">
        <f t="shared" si="23"/>
        <v>8.2431999999999999</v>
      </c>
      <c r="K479" s="1">
        <f t="shared" si="24"/>
        <v>5.1200000000001467E-2</v>
      </c>
      <c r="L479" s="1"/>
    </row>
    <row r="480" spans="1:12" x14ac:dyDescent="0.25">
      <c r="A480" t="s">
        <v>173</v>
      </c>
      <c r="B480" t="s">
        <v>128</v>
      </c>
      <c r="C480" s="1">
        <f t="shared" si="25"/>
        <v>11.389600000000002</v>
      </c>
      <c r="D480">
        <v>1.1399999999999999</v>
      </c>
      <c r="E480" s="1">
        <f t="shared" si="21"/>
        <v>10.249600000000001</v>
      </c>
      <c r="F480" s="461">
        <v>32.03</v>
      </c>
      <c r="G480" s="1"/>
      <c r="I480" s="23">
        <v>31.82</v>
      </c>
      <c r="J480" s="1">
        <f t="shared" si="23"/>
        <v>10.182399999999999</v>
      </c>
      <c r="K480" s="1">
        <f t="shared" si="24"/>
        <v>6.7200000000001481E-2</v>
      </c>
      <c r="L480" s="1"/>
    </row>
    <row r="481" spans="1:12" x14ac:dyDescent="0.25">
      <c r="A481" t="s">
        <v>173</v>
      </c>
      <c r="B481" t="s">
        <v>129</v>
      </c>
      <c r="C481" s="1">
        <f t="shared" si="25"/>
        <v>7.0175999999999998</v>
      </c>
      <c r="D481">
        <v>0.48</v>
      </c>
      <c r="E481" s="1">
        <f t="shared" si="21"/>
        <v>6.5376000000000003</v>
      </c>
      <c r="F481" s="333">
        <v>20.43</v>
      </c>
      <c r="G481" s="1"/>
      <c r="I481" s="1">
        <v>20.3</v>
      </c>
      <c r="J481" s="1">
        <f t="shared" si="23"/>
        <v>6.4960000000000004</v>
      </c>
      <c r="K481" s="1">
        <f t="shared" si="24"/>
        <v>4.1599999999999859E-2</v>
      </c>
      <c r="L481" s="1"/>
    </row>
    <row r="482" spans="1:12" x14ac:dyDescent="0.25">
      <c r="A482" t="s">
        <v>173</v>
      </c>
      <c r="B482" t="s">
        <v>130</v>
      </c>
      <c r="C482" s="1">
        <f t="shared" si="25"/>
        <v>23.495200000000001</v>
      </c>
      <c r="D482">
        <v>1.1399999999999999</v>
      </c>
      <c r="E482" s="1">
        <f t="shared" si="21"/>
        <v>22.3552</v>
      </c>
      <c r="F482" s="333">
        <v>69.86</v>
      </c>
      <c r="G482" s="1"/>
      <c r="I482" s="1">
        <v>69.41</v>
      </c>
      <c r="J482" s="1">
        <f t="shared" si="23"/>
        <v>22.211199999999998</v>
      </c>
      <c r="K482" s="1">
        <f t="shared" si="24"/>
        <v>0.1440000000000019</v>
      </c>
      <c r="L482" s="1"/>
    </row>
    <row r="483" spans="1:12" x14ac:dyDescent="0.25">
      <c r="A483" t="s">
        <v>173</v>
      </c>
      <c r="B483" t="s">
        <v>1220</v>
      </c>
      <c r="C483" s="1">
        <f t="shared" si="25"/>
        <v>30.048800000000004</v>
      </c>
      <c r="D483">
        <v>1.1399999999999999</v>
      </c>
      <c r="E483" s="1">
        <f t="shared" si="21"/>
        <v>28.908800000000003</v>
      </c>
      <c r="F483" s="333">
        <v>90.34</v>
      </c>
      <c r="G483" s="1"/>
      <c r="I483" s="1">
        <v>89.75</v>
      </c>
      <c r="J483" s="1"/>
      <c r="K483" s="1">
        <f t="shared" si="24"/>
        <v>28.908800000000003</v>
      </c>
      <c r="L483" s="1"/>
    </row>
    <row r="484" spans="1:12" x14ac:dyDescent="0.25">
      <c r="A484" t="s">
        <v>173</v>
      </c>
      <c r="B484" t="s">
        <v>131</v>
      </c>
      <c r="C484" s="1">
        <f t="shared" si="25"/>
        <v>14.896800000000001</v>
      </c>
      <c r="D484">
        <v>1.1399999999999999</v>
      </c>
      <c r="E484" s="1">
        <f t="shared" ref="E484:E518" si="26">F484*0.32</f>
        <v>13.7568</v>
      </c>
      <c r="F484" s="333">
        <v>42.99</v>
      </c>
      <c r="G484" s="1"/>
      <c r="I484" s="1">
        <v>43.14</v>
      </c>
      <c r="J484" s="1">
        <f t="shared" si="23"/>
        <v>13.8048</v>
      </c>
      <c r="K484" s="1">
        <f t="shared" si="24"/>
        <v>-4.8000000000000043E-2</v>
      </c>
      <c r="L484" s="1"/>
    </row>
    <row r="485" spans="1:12" x14ac:dyDescent="0.25">
      <c r="A485" t="s">
        <v>173</v>
      </c>
      <c r="B485" t="s">
        <v>132</v>
      </c>
      <c r="C485" s="1">
        <f t="shared" si="25"/>
        <v>14.416800000000002</v>
      </c>
      <c r="D485">
        <v>1.1399999999999999</v>
      </c>
      <c r="E485" s="1">
        <f t="shared" si="26"/>
        <v>13.276800000000001</v>
      </c>
      <c r="F485" s="333">
        <v>41.49</v>
      </c>
      <c r="G485" s="1"/>
      <c r="I485" s="1">
        <v>41.22</v>
      </c>
      <c r="J485" s="1">
        <f t="shared" si="23"/>
        <v>13.1904</v>
      </c>
      <c r="K485" s="1">
        <f t="shared" si="24"/>
        <v>8.6400000000001143E-2</v>
      </c>
      <c r="L485" s="1"/>
    </row>
    <row r="486" spans="1:12" x14ac:dyDescent="0.25">
      <c r="A486" t="s">
        <v>173</v>
      </c>
      <c r="B486" t="s">
        <v>133</v>
      </c>
      <c r="C486" s="1">
        <f t="shared" si="25"/>
        <v>20.8904</v>
      </c>
      <c r="D486">
        <v>1.1399999999999999</v>
      </c>
      <c r="E486" s="1">
        <f t="shared" si="26"/>
        <v>19.750399999999999</v>
      </c>
      <c r="F486" s="333">
        <v>61.72</v>
      </c>
      <c r="G486" s="1"/>
      <c r="I486" s="1">
        <v>61.93</v>
      </c>
      <c r="J486" s="1">
        <f t="shared" si="23"/>
        <v>19.817599999999999</v>
      </c>
      <c r="K486" s="1">
        <f t="shared" si="24"/>
        <v>-6.7199999999999704E-2</v>
      </c>
      <c r="L486" s="1"/>
    </row>
    <row r="487" spans="1:12" x14ac:dyDescent="0.25">
      <c r="A487" t="s">
        <v>173</v>
      </c>
      <c r="B487" t="s">
        <v>134</v>
      </c>
      <c r="C487" s="1">
        <f t="shared" si="25"/>
        <v>17.908000000000001</v>
      </c>
      <c r="D487">
        <v>1.1399999999999999</v>
      </c>
      <c r="E487" s="1">
        <f t="shared" si="26"/>
        <v>16.768000000000001</v>
      </c>
      <c r="F487" s="333">
        <v>52.4</v>
      </c>
      <c r="G487" s="1"/>
      <c r="I487" s="1">
        <v>52.22</v>
      </c>
      <c r="J487" s="1">
        <f t="shared" si="23"/>
        <v>16.7104</v>
      </c>
      <c r="K487" s="1">
        <f t="shared" si="24"/>
        <v>5.7600000000000762E-2</v>
      </c>
      <c r="L487" s="1"/>
    </row>
    <row r="488" spans="1:12" x14ac:dyDescent="0.25">
      <c r="A488" t="s">
        <v>173</v>
      </c>
      <c r="B488" t="s">
        <v>1068</v>
      </c>
      <c r="C488" s="1">
        <f t="shared" si="25"/>
        <v>6.9600000000000009</v>
      </c>
      <c r="D488">
        <v>0.48</v>
      </c>
      <c r="E488" s="1">
        <f t="shared" si="26"/>
        <v>6.48</v>
      </c>
      <c r="F488" s="333">
        <v>20.25</v>
      </c>
      <c r="G488" s="1"/>
      <c r="I488" s="1">
        <v>20.18</v>
      </c>
      <c r="J488" s="1"/>
      <c r="K488" s="1">
        <f t="shared" si="24"/>
        <v>6.48</v>
      </c>
      <c r="L488" s="1"/>
    </row>
    <row r="489" spans="1:12" x14ac:dyDescent="0.25">
      <c r="A489" t="s">
        <v>173</v>
      </c>
      <c r="B489" t="s">
        <v>135</v>
      </c>
      <c r="C489" s="1">
        <f t="shared" si="25"/>
        <v>8.6912000000000003</v>
      </c>
      <c r="D489">
        <v>0.48</v>
      </c>
      <c r="E489" s="1">
        <f t="shared" si="26"/>
        <v>8.2111999999999998</v>
      </c>
      <c r="F489" s="461">
        <v>25.66</v>
      </c>
      <c r="G489" s="1"/>
      <c r="I489" s="23">
        <v>25.49</v>
      </c>
      <c r="J489" s="1">
        <f t="shared" si="23"/>
        <v>8.1568000000000005</v>
      </c>
      <c r="K489" s="1">
        <f t="shared" si="24"/>
        <v>5.4399999999999338E-2</v>
      </c>
      <c r="L489" s="1"/>
    </row>
    <row r="490" spans="1:12" x14ac:dyDescent="0.25">
      <c r="A490" t="s">
        <v>173</v>
      </c>
      <c r="B490" t="s">
        <v>136</v>
      </c>
      <c r="C490" s="1">
        <f t="shared" si="25"/>
        <v>24.4648</v>
      </c>
      <c r="D490">
        <v>1.1399999999999999</v>
      </c>
      <c r="E490" s="1">
        <f t="shared" si="26"/>
        <v>23.3248</v>
      </c>
      <c r="F490" s="333">
        <v>72.89</v>
      </c>
      <c r="G490" s="1"/>
      <c r="I490" s="1">
        <v>72.41</v>
      </c>
      <c r="J490" s="1">
        <f t="shared" si="23"/>
        <v>23.171199999999999</v>
      </c>
      <c r="K490" s="1">
        <f t="shared" si="24"/>
        <v>0.15360000000000085</v>
      </c>
      <c r="L490" s="1"/>
    </row>
    <row r="491" spans="1:12" x14ac:dyDescent="0.25">
      <c r="A491" t="s">
        <v>173</v>
      </c>
      <c r="B491" t="s">
        <v>137</v>
      </c>
      <c r="C491" s="1">
        <f t="shared" si="25"/>
        <v>22.6248</v>
      </c>
      <c r="D491">
        <v>1.1399999999999999</v>
      </c>
      <c r="E491" s="1">
        <f t="shared" si="26"/>
        <v>21.4848</v>
      </c>
      <c r="F491" s="333">
        <v>67.14</v>
      </c>
      <c r="G491" s="1"/>
      <c r="I491" s="1">
        <v>66.7</v>
      </c>
      <c r="J491" s="1">
        <f t="shared" si="23"/>
        <v>21.344000000000001</v>
      </c>
      <c r="K491" s="1">
        <f t="shared" si="24"/>
        <v>0.1407999999999987</v>
      </c>
      <c r="L491" s="1"/>
    </row>
    <row r="492" spans="1:12" x14ac:dyDescent="0.25">
      <c r="A492" t="s">
        <v>173</v>
      </c>
      <c r="B492" t="s">
        <v>138</v>
      </c>
      <c r="C492" s="1">
        <f t="shared" si="25"/>
        <v>13.661600000000002</v>
      </c>
      <c r="D492">
        <v>1.1399999999999999</v>
      </c>
      <c r="E492" s="1">
        <f t="shared" si="26"/>
        <v>12.521600000000001</v>
      </c>
      <c r="F492" s="333">
        <v>39.130000000000003</v>
      </c>
      <c r="G492" s="1"/>
      <c r="I492" s="1">
        <v>38.880000000000003</v>
      </c>
      <c r="J492" s="1">
        <f t="shared" si="23"/>
        <v>12.441600000000001</v>
      </c>
      <c r="K492" s="1">
        <f t="shared" si="24"/>
        <v>8.0000000000000071E-2</v>
      </c>
      <c r="L492" s="1"/>
    </row>
    <row r="493" spans="1:12" x14ac:dyDescent="0.25">
      <c r="A493" t="s">
        <v>173</v>
      </c>
      <c r="B493" t="s">
        <v>139</v>
      </c>
      <c r="C493" s="1">
        <f t="shared" si="25"/>
        <v>17.783200000000001</v>
      </c>
      <c r="D493">
        <v>1.1399999999999999</v>
      </c>
      <c r="E493" s="1">
        <f t="shared" si="26"/>
        <v>16.6432</v>
      </c>
      <c r="F493" s="333">
        <v>52.01</v>
      </c>
      <c r="G493" s="1"/>
      <c r="I493" s="1">
        <v>51.67</v>
      </c>
      <c r="J493" s="1">
        <f t="shared" si="23"/>
        <v>16.534400000000002</v>
      </c>
      <c r="K493" s="1">
        <f t="shared" si="24"/>
        <v>0.10879999999999868</v>
      </c>
      <c r="L493" s="1"/>
    </row>
    <row r="494" spans="1:12" x14ac:dyDescent="0.25">
      <c r="A494" t="s">
        <v>173</v>
      </c>
      <c r="B494" t="s">
        <v>140</v>
      </c>
      <c r="C494" s="1">
        <f t="shared" si="25"/>
        <v>24.4648</v>
      </c>
      <c r="D494">
        <v>1.1399999999999999</v>
      </c>
      <c r="E494" s="1">
        <f t="shared" si="26"/>
        <v>23.3248</v>
      </c>
      <c r="F494" s="333">
        <v>72.89</v>
      </c>
      <c r="G494" s="1"/>
      <c r="I494" s="1">
        <v>72.63</v>
      </c>
      <c r="J494" s="1">
        <f t="shared" si="23"/>
        <v>23.241599999999998</v>
      </c>
      <c r="K494" s="1">
        <f t="shared" si="24"/>
        <v>8.3200000000001495E-2</v>
      </c>
      <c r="L494" s="1"/>
    </row>
    <row r="495" spans="1:12" x14ac:dyDescent="0.25">
      <c r="A495" t="s">
        <v>173</v>
      </c>
      <c r="B495" t="s">
        <v>141</v>
      </c>
      <c r="C495" s="1">
        <f t="shared" si="25"/>
        <v>15.056800000000001</v>
      </c>
      <c r="D495">
        <v>1.1399999999999999</v>
      </c>
      <c r="E495" s="1">
        <f t="shared" si="26"/>
        <v>13.9168</v>
      </c>
      <c r="F495" s="333">
        <v>43.49</v>
      </c>
      <c r="G495" s="1"/>
      <c r="I495" s="1">
        <v>43.21</v>
      </c>
      <c r="J495" s="1">
        <f t="shared" si="23"/>
        <v>13.827200000000001</v>
      </c>
      <c r="K495" s="1">
        <f t="shared" si="24"/>
        <v>8.9599999999999014E-2</v>
      </c>
      <c r="L495" s="1"/>
    </row>
    <row r="496" spans="1:12" x14ac:dyDescent="0.25">
      <c r="A496" t="s">
        <v>173</v>
      </c>
      <c r="B496" t="s">
        <v>142</v>
      </c>
      <c r="C496" s="1">
        <f t="shared" si="25"/>
        <v>45.047200000000004</v>
      </c>
      <c r="D496">
        <v>1.1399999999999999</v>
      </c>
      <c r="E496" s="1">
        <f t="shared" si="26"/>
        <v>43.907200000000003</v>
      </c>
      <c r="F496" s="461">
        <v>137.21</v>
      </c>
      <c r="G496" s="1"/>
      <c r="I496" s="23">
        <v>136.32</v>
      </c>
      <c r="J496" s="1">
        <f t="shared" si="23"/>
        <v>43.622399999999999</v>
      </c>
      <c r="K496" s="1">
        <f t="shared" si="24"/>
        <v>0.28480000000000416</v>
      </c>
      <c r="L496" s="1"/>
    </row>
    <row r="497" spans="1:12" x14ac:dyDescent="0.25">
      <c r="A497" t="s">
        <v>173</v>
      </c>
      <c r="B497" t="s">
        <v>143</v>
      </c>
      <c r="C497" s="1">
        <f t="shared" si="25"/>
        <v>7.2352000000000007</v>
      </c>
      <c r="D497">
        <v>0.48</v>
      </c>
      <c r="E497" s="1">
        <f t="shared" si="26"/>
        <v>6.7552000000000003</v>
      </c>
      <c r="F497" s="333">
        <v>21.11</v>
      </c>
      <c r="G497" s="1"/>
      <c r="I497" s="1">
        <v>20.97</v>
      </c>
      <c r="J497" s="1">
        <f t="shared" si="23"/>
        <v>6.7103999999999999</v>
      </c>
      <c r="K497" s="1">
        <f t="shared" si="24"/>
        <v>4.4800000000000395E-2</v>
      </c>
      <c r="L497" s="1"/>
    </row>
    <row r="498" spans="1:12" x14ac:dyDescent="0.25">
      <c r="A498" t="s">
        <v>173</v>
      </c>
      <c r="B498" t="s">
        <v>144</v>
      </c>
      <c r="C498" s="1">
        <f t="shared" si="25"/>
        <v>10.518400000000002</v>
      </c>
      <c r="D498">
        <v>0.48</v>
      </c>
      <c r="E498" s="1">
        <f t="shared" si="26"/>
        <v>10.038400000000001</v>
      </c>
      <c r="F498" s="333">
        <v>31.37</v>
      </c>
      <c r="G498" s="1"/>
      <c r="I498" s="1">
        <v>31.48</v>
      </c>
      <c r="J498" s="1">
        <f t="shared" si="23"/>
        <v>10.073600000000001</v>
      </c>
      <c r="K498" s="1">
        <f t="shared" si="24"/>
        <v>-3.5199999999999676E-2</v>
      </c>
      <c r="L498" s="1"/>
    </row>
    <row r="499" spans="1:12" x14ac:dyDescent="0.25">
      <c r="A499" t="s">
        <v>173</v>
      </c>
      <c r="B499" t="s">
        <v>145</v>
      </c>
      <c r="C499" s="1">
        <f t="shared" si="25"/>
        <v>6.3903999999999996</v>
      </c>
      <c r="D499">
        <v>0.48</v>
      </c>
      <c r="E499" s="1">
        <f t="shared" si="26"/>
        <v>5.9104000000000001</v>
      </c>
      <c r="F499" s="333">
        <v>18.47</v>
      </c>
      <c r="G499" s="1"/>
      <c r="I499" s="1">
        <v>18.350000000000001</v>
      </c>
      <c r="J499" s="1">
        <f t="shared" si="23"/>
        <v>5.8720000000000008</v>
      </c>
      <c r="K499" s="1">
        <f t="shared" si="24"/>
        <v>3.8399999999999324E-2</v>
      </c>
      <c r="L499" s="1"/>
    </row>
    <row r="500" spans="1:12" x14ac:dyDescent="0.25">
      <c r="A500" t="s">
        <v>173</v>
      </c>
      <c r="B500" t="s">
        <v>146</v>
      </c>
      <c r="C500" s="1">
        <f t="shared" si="25"/>
        <v>10.484</v>
      </c>
      <c r="D500">
        <v>1.1399999999999999</v>
      </c>
      <c r="E500" s="1">
        <f t="shared" si="26"/>
        <v>9.3439999999999994</v>
      </c>
      <c r="F500" s="333">
        <v>29.2</v>
      </c>
      <c r="G500" s="1"/>
      <c r="I500" s="1">
        <v>29.29</v>
      </c>
      <c r="J500" s="1">
        <f t="shared" si="23"/>
        <v>9.3727999999999998</v>
      </c>
      <c r="K500" s="1">
        <f t="shared" si="24"/>
        <v>-2.8800000000000381E-2</v>
      </c>
      <c r="L500" s="1"/>
    </row>
    <row r="501" spans="1:12" x14ac:dyDescent="0.25">
      <c r="A501" t="s">
        <v>173</v>
      </c>
      <c r="B501" t="s">
        <v>147</v>
      </c>
      <c r="C501" s="1">
        <f t="shared" si="25"/>
        <v>17.882400000000001</v>
      </c>
      <c r="D501">
        <v>1.1399999999999999</v>
      </c>
      <c r="E501" s="1">
        <f t="shared" si="26"/>
        <v>16.7424</v>
      </c>
      <c r="F501" s="333">
        <v>52.32</v>
      </c>
      <c r="G501" s="1"/>
      <c r="I501" s="1">
        <v>52.14</v>
      </c>
      <c r="J501" s="1">
        <f t="shared" si="23"/>
        <v>16.684799999999999</v>
      </c>
      <c r="K501" s="1">
        <f t="shared" si="24"/>
        <v>5.7600000000000762E-2</v>
      </c>
      <c r="L501" s="1"/>
    </row>
    <row r="502" spans="1:12" x14ac:dyDescent="0.25">
      <c r="A502" t="s">
        <v>173</v>
      </c>
      <c r="B502" t="s">
        <v>148</v>
      </c>
      <c r="C502" s="1">
        <f t="shared" si="25"/>
        <v>6.6015999999999995</v>
      </c>
      <c r="D502">
        <v>0.48</v>
      </c>
      <c r="E502" s="1">
        <f t="shared" si="26"/>
        <v>6.1215999999999999</v>
      </c>
      <c r="F502" s="333">
        <v>19.13</v>
      </c>
      <c r="G502" s="1"/>
      <c r="I502" s="1">
        <v>19</v>
      </c>
      <c r="J502" s="1">
        <f t="shared" si="23"/>
        <v>6.08</v>
      </c>
      <c r="K502" s="1">
        <f t="shared" si="24"/>
        <v>4.1599999999999859E-2</v>
      </c>
      <c r="L502" s="1"/>
    </row>
    <row r="503" spans="1:12" x14ac:dyDescent="0.25">
      <c r="A503" t="s">
        <v>173</v>
      </c>
      <c r="B503" t="s">
        <v>149</v>
      </c>
      <c r="C503" s="1">
        <f t="shared" si="25"/>
        <v>17.7544</v>
      </c>
      <c r="D503">
        <v>1.1399999999999999</v>
      </c>
      <c r="E503" s="1">
        <f t="shared" si="26"/>
        <v>16.6144</v>
      </c>
      <c r="F503" s="333">
        <v>51.92</v>
      </c>
      <c r="G503" s="1"/>
      <c r="I503" s="1">
        <v>51.57</v>
      </c>
      <c r="J503" s="1">
        <f t="shared" si="23"/>
        <v>16.502400000000002</v>
      </c>
      <c r="K503" s="1">
        <f t="shared" si="24"/>
        <v>0.11199999999999832</v>
      </c>
      <c r="L503" s="1"/>
    </row>
    <row r="504" spans="1:12" x14ac:dyDescent="0.25">
      <c r="A504" t="s">
        <v>173</v>
      </c>
      <c r="B504" t="s">
        <v>150</v>
      </c>
      <c r="C504" s="1">
        <f t="shared" si="25"/>
        <v>16.893599999999999</v>
      </c>
      <c r="D504">
        <v>1.1399999999999999</v>
      </c>
      <c r="E504" s="1">
        <f t="shared" si="26"/>
        <v>15.753599999999999</v>
      </c>
      <c r="F504" s="333">
        <v>49.23</v>
      </c>
      <c r="G504" s="1"/>
      <c r="I504" s="1">
        <v>49.4</v>
      </c>
      <c r="J504" s="1">
        <f t="shared" si="23"/>
        <v>15.808</v>
      </c>
      <c r="K504" s="1">
        <f t="shared" si="24"/>
        <v>-5.4400000000001114E-2</v>
      </c>
      <c r="L504" s="1"/>
    </row>
    <row r="505" spans="1:12" x14ac:dyDescent="0.25">
      <c r="A505" t="s">
        <v>173</v>
      </c>
      <c r="B505" t="s">
        <v>151</v>
      </c>
      <c r="C505" s="1">
        <f t="shared" si="25"/>
        <v>20.596</v>
      </c>
      <c r="D505">
        <v>1.1399999999999999</v>
      </c>
      <c r="E505" s="1">
        <f t="shared" si="26"/>
        <v>19.456</v>
      </c>
      <c r="F505" s="461">
        <v>60.8</v>
      </c>
      <c r="G505" s="1"/>
      <c r="I505" s="23">
        <v>60.4</v>
      </c>
      <c r="J505" s="1">
        <f t="shared" si="23"/>
        <v>19.327999999999999</v>
      </c>
      <c r="K505" s="1">
        <f t="shared" si="24"/>
        <v>0.12800000000000011</v>
      </c>
      <c r="L505" s="1"/>
    </row>
    <row r="506" spans="1:12" x14ac:dyDescent="0.25">
      <c r="A506" t="s">
        <v>173</v>
      </c>
      <c r="B506" t="s">
        <v>152</v>
      </c>
      <c r="C506" s="1">
        <f t="shared" si="25"/>
        <v>19.879200000000001</v>
      </c>
      <c r="D506">
        <v>1.1399999999999999</v>
      </c>
      <c r="E506" s="1">
        <f t="shared" si="26"/>
        <v>18.7392</v>
      </c>
      <c r="F506" s="333">
        <v>58.56</v>
      </c>
      <c r="G506" s="1"/>
      <c r="I506" s="1">
        <v>58.18</v>
      </c>
      <c r="J506" s="1">
        <f t="shared" si="23"/>
        <v>18.617599999999999</v>
      </c>
      <c r="K506" s="1">
        <f t="shared" si="24"/>
        <v>0.12160000000000082</v>
      </c>
      <c r="L506" s="1"/>
    </row>
    <row r="507" spans="1:12" x14ac:dyDescent="0.25">
      <c r="A507" t="s">
        <v>173</v>
      </c>
      <c r="B507" t="s">
        <v>153</v>
      </c>
      <c r="C507" s="1">
        <f t="shared" si="25"/>
        <v>6.9255999999999993</v>
      </c>
      <c r="D507">
        <v>1.1399999999999999</v>
      </c>
      <c r="E507" s="1">
        <f t="shared" si="26"/>
        <v>5.7855999999999996</v>
      </c>
      <c r="F507" s="333">
        <v>18.079999999999998</v>
      </c>
      <c r="G507" s="1"/>
      <c r="I507" s="1">
        <v>16.600000000000001</v>
      </c>
      <c r="J507" s="1">
        <f t="shared" si="23"/>
        <v>5.3120000000000003</v>
      </c>
      <c r="K507" s="1">
        <f t="shared" si="24"/>
        <v>0.47359999999999935</v>
      </c>
      <c r="L507" s="1"/>
    </row>
    <row r="508" spans="1:12" x14ac:dyDescent="0.25">
      <c r="A508" t="s">
        <v>173</v>
      </c>
      <c r="B508" t="s">
        <v>154</v>
      </c>
      <c r="C508" s="1">
        <f t="shared" si="25"/>
        <v>32.666399999999996</v>
      </c>
      <c r="D508">
        <v>1.1399999999999999</v>
      </c>
      <c r="E508" s="1">
        <f t="shared" si="26"/>
        <v>31.526399999999999</v>
      </c>
      <c r="F508" s="333">
        <v>98.52</v>
      </c>
      <c r="G508" s="1"/>
      <c r="I508" s="1">
        <v>98.95</v>
      </c>
      <c r="J508" s="1">
        <f t="shared" si="23"/>
        <v>31.664000000000001</v>
      </c>
      <c r="K508" s="1">
        <f t="shared" si="24"/>
        <v>-0.13760000000000261</v>
      </c>
      <c r="L508" s="1"/>
    </row>
    <row r="509" spans="1:12" x14ac:dyDescent="0.25">
      <c r="A509" t="s">
        <v>173</v>
      </c>
      <c r="B509" t="s">
        <v>155</v>
      </c>
      <c r="C509" s="1">
        <f t="shared" si="25"/>
        <v>39.152800000000006</v>
      </c>
      <c r="D509">
        <v>1.1399999999999999</v>
      </c>
      <c r="E509" s="1">
        <f t="shared" si="26"/>
        <v>38.012800000000006</v>
      </c>
      <c r="F509" s="333">
        <v>118.79</v>
      </c>
      <c r="G509" s="1"/>
      <c r="I509" s="1">
        <v>118.36</v>
      </c>
      <c r="J509" s="1">
        <f t="shared" si="23"/>
        <v>37.8752</v>
      </c>
      <c r="K509" s="1">
        <f t="shared" si="24"/>
        <v>0.13760000000000616</v>
      </c>
      <c r="L509" s="1"/>
    </row>
    <row r="510" spans="1:12" x14ac:dyDescent="0.25">
      <c r="A510" t="s">
        <v>173</v>
      </c>
      <c r="B510" t="s">
        <v>156</v>
      </c>
      <c r="C510" s="1">
        <f t="shared" si="25"/>
        <v>50.5</v>
      </c>
      <c r="D510">
        <v>1.1399999999999999</v>
      </c>
      <c r="E510" s="1">
        <f t="shared" si="26"/>
        <v>49.36</v>
      </c>
      <c r="F510" s="461">
        <v>154.25</v>
      </c>
      <c r="G510" s="1" t="s">
        <v>731</v>
      </c>
      <c r="I510" s="23">
        <v>144.43</v>
      </c>
      <c r="J510" s="1">
        <f t="shared" si="23"/>
        <v>46.217600000000004</v>
      </c>
      <c r="K510" s="1">
        <f t="shared" si="24"/>
        <v>3.142399999999995</v>
      </c>
      <c r="L510" s="1"/>
    </row>
    <row r="511" spans="1:12" x14ac:dyDescent="0.25">
      <c r="A511" t="s">
        <v>173</v>
      </c>
      <c r="B511" t="s">
        <v>157</v>
      </c>
      <c r="C511" s="1">
        <f t="shared" si="25"/>
        <v>51.108000000000004</v>
      </c>
      <c r="D511">
        <v>1.1399999999999999</v>
      </c>
      <c r="E511" s="1">
        <f t="shared" si="26"/>
        <v>49.968000000000004</v>
      </c>
      <c r="F511" s="333">
        <v>156.15</v>
      </c>
      <c r="G511" s="1"/>
      <c r="I511" s="1">
        <v>156.66999999999999</v>
      </c>
      <c r="J511" s="1">
        <f t="shared" si="23"/>
        <v>50.134399999999999</v>
      </c>
      <c r="K511" s="1">
        <f t="shared" si="24"/>
        <v>-0.16639999999999588</v>
      </c>
      <c r="L511" s="1"/>
    </row>
    <row r="512" spans="1:12" x14ac:dyDescent="0.25">
      <c r="A512" t="s">
        <v>173</v>
      </c>
      <c r="B512" t="s">
        <v>158</v>
      </c>
      <c r="C512" s="1">
        <f t="shared" si="25"/>
        <v>27.9208</v>
      </c>
      <c r="D512">
        <v>1.1399999999999999</v>
      </c>
      <c r="E512" s="1">
        <f t="shared" si="26"/>
        <v>26.780799999999999</v>
      </c>
      <c r="F512" s="333">
        <v>83.69</v>
      </c>
      <c r="G512" s="1"/>
      <c r="I512" s="1">
        <v>83.14</v>
      </c>
      <c r="J512" s="1">
        <f t="shared" si="23"/>
        <v>26.604800000000001</v>
      </c>
      <c r="K512" s="1">
        <f t="shared" si="24"/>
        <v>0.17599999999999838</v>
      </c>
      <c r="L512" s="1"/>
    </row>
    <row r="513" spans="1:12" x14ac:dyDescent="0.25">
      <c r="A513" t="s">
        <v>173</v>
      </c>
      <c r="B513" t="s">
        <v>548</v>
      </c>
      <c r="C513" s="1">
        <f t="shared" si="25"/>
        <v>56.172799999999995</v>
      </c>
      <c r="D513">
        <v>0.48</v>
      </c>
      <c r="E513" s="1">
        <f t="shared" si="26"/>
        <v>55.692799999999998</v>
      </c>
      <c r="F513" s="461">
        <v>174.04</v>
      </c>
      <c r="G513" s="1"/>
      <c r="I513" s="23">
        <v>164.18</v>
      </c>
      <c r="J513" s="1">
        <f t="shared" si="23"/>
        <v>52.537600000000005</v>
      </c>
      <c r="K513" s="1">
        <f t="shared" si="24"/>
        <v>3.1551999999999936</v>
      </c>
      <c r="L513" s="1"/>
    </row>
    <row r="514" spans="1:12" x14ac:dyDescent="0.25">
      <c r="A514" t="s">
        <v>173</v>
      </c>
      <c r="B514" t="s">
        <v>159</v>
      </c>
      <c r="C514" s="1">
        <f t="shared" si="25"/>
        <v>70.803200000000004</v>
      </c>
      <c r="E514" s="1">
        <f t="shared" si="26"/>
        <v>70.803200000000004</v>
      </c>
      <c r="F514" s="333">
        <v>221.26</v>
      </c>
      <c r="G514" s="1"/>
      <c r="I514" s="1">
        <v>222</v>
      </c>
      <c r="J514" s="1">
        <f t="shared" si="23"/>
        <v>71.040000000000006</v>
      </c>
      <c r="K514" s="1">
        <f t="shared" si="24"/>
        <v>-0.23680000000000234</v>
      </c>
      <c r="L514" s="1"/>
    </row>
    <row r="515" spans="1:12" x14ac:dyDescent="0.25">
      <c r="A515" t="s">
        <v>173</v>
      </c>
      <c r="B515" t="s">
        <v>549</v>
      </c>
      <c r="C515" s="1">
        <f t="shared" si="25"/>
        <v>106.8</v>
      </c>
      <c r="E515" s="1">
        <f t="shared" si="26"/>
        <v>106.8</v>
      </c>
      <c r="F515" s="333">
        <v>333.75</v>
      </c>
      <c r="G515" s="1"/>
      <c r="I515" s="1">
        <v>334.87</v>
      </c>
      <c r="J515" s="1">
        <f t="shared" si="23"/>
        <v>107.1584</v>
      </c>
      <c r="K515" s="1">
        <f t="shared" si="24"/>
        <v>-0.35840000000000316</v>
      </c>
      <c r="L515" s="1"/>
    </row>
    <row r="516" spans="1:12" x14ac:dyDescent="0.25">
      <c r="A516" t="s">
        <v>173</v>
      </c>
      <c r="B516" t="s">
        <v>160</v>
      </c>
      <c r="C516" s="1">
        <f t="shared" si="25"/>
        <v>10.928000000000001</v>
      </c>
      <c r="D516">
        <v>0.48</v>
      </c>
      <c r="E516" s="1">
        <f t="shared" si="26"/>
        <v>10.448</v>
      </c>
      <c r="F516" s="333">
        <v>32.65</v>
      </c>
      <c r="G516" s="1"/>
      <c r="I516" s="1">
        <v>32.44</v>
      </c>
      <c r="J516" s="1">
        <f t="shared" ref="J516:J527" si="27">I516*0.32</f>
        <v>10.380799999999999</v>
      </c>
      <c r="K516" s="1">
        <f t="shared" ref="K516:K528" si="28">E516-J516</f>
        <v>6.7200000000001481E-2</v>
      </c>
      <c r="L516" s="1"/>
    </row>
    <row r="517" spans="1:12" x14ac:dyDescent="0.25">
      <c r="A517" t="s">
        <v>173</v>
      </c>
      <c r="B517" t="s">
        <v>161</v>
      </c>
      <c r="C517" s="1">
        <v>12.19</v>
      </c>
      <c r="D517">
        <v>0.48</v>
      </c>
      <c r="E517" s="1">
        <f t="shared" si="26"/>
        <v>12.364800000000001</v>
      </c>
      <c r="F517" s="333">
        <v>38.64</v>
      </c>
      <c r="G517" s="1"/>
      <c r="I517" s="1">
        <v>38.39</v>
      </c>
      <c r="J517" s="1">
        <f t="shared" si="27"/>
        <v>12.284800000000001</v>
      </c>
      <c r="K517" s="1">
        <f t="shared" si="28"/>
        <v>8.0000000000000071E-2</v>
      </c>
      <c r="L517" s="1"/>
    </row>
    <row r="518" spans="1:12" x14ac:dyDescent="0.25">
      <c r="A518" t="s">
        <v>173</v>
      </c>
      <c r="B518" t="s">
        <v>162</v>
      </c>
      <c r="C518" s="1">
        <f t="shared" si="25"/>
        <v>10.617600000000001</v>
      </c>
      <c r="D518">
        <v>0.48</v>
      </c>
      <c r="E518" s="1">
        <f t="shared" si="26"/>
        <v>10.137600000000001</v>
      </c>
      <c r="F518" s="333">
        <v>31.68</v>
      </c>
      <c r="G518" s="1"/>
      <c r="I518" s="1">
        <v>31.44</v>
      </c>
      <c r="J518" s="1">
        <f t="shared" si="27"/>
        <v>10.0608</v>
      </c>
      <c r="K518" s="1">
        <f t="shared" si="28"/>
        <v>7.6800000000000423E-2</v>
      </c>
      <c r="L518" s="1"/>
    </row>
    <row r="519" spans="1:12" x14ac:dyDescent="0.25">
      <c r="A519" t="s">
        <v>173</v>
      </c>
      <c r="B519" t="s">
        <v>163</v>
      </c>
      <c r="C519" s="1">
        <f t="shared" si="25"/>
        <v>8.9184000000000001</v>
      </c>
      <c r="D519">
        <v>0.48</v>
      </c>
      <c r="E519" s="1">
        <f t="shared" ref="E519:E528" si="29">F519*0.32</f>
        <v>8.4383999999999997</v>
      </c>
      <c r="F519" s="333">
        <v>26.37</v>
      </c>
      <c r="G519" s="1"/>
      <c r="I519" s="1">
        <v>26.17</v>
      </c>
      <c r="J519" s="1">
        <f t="shared" si="27"/>
        <v>8.3744000000000014</v>
      </c>
      <c r="K519" s="1">
        <f t="shared" si="28"/>
        <v>6.399999999999828E-2</v>
      </c>
      <c r="L519" s="1"/>
    </row>
    <row r="520" spans="1:12" x14ac:dyDescent="0.25">
      <c r="A520" t="s">
        <v>173</v>
      </c>
      <c r="B520" t="s">
        <v>164</v>
      </c>
      <c r="C520" s="1">
        <f t="shared" si="25"/>
        <v>14.329600000000001</v>
      </c>
      <c r="D520">
        <v>0.48</v>
      </c>
      <c r="E520" s="1">
        <f t="shared" si="29"/>
        <v>13.849600000000001</v>
      </c>
      <c r="F520" s="333">
        <v>43.28</v>
      </c>
      <c r="G520" s="1"/>
      <c r="I520" s="1">
        <v>43</v>
      </c>
      <c r="J520" s="1">
        <f t="shared" si="27"/>
        <v>13.76</v>
      </c>
      <c r="K520" s="1">
        <f t="shared" si="28"/>
        <v>8.960000000000079E-2</v>
      </c>
      <c r="L520" s="1"/>
    </row>
    <row r="521" spans="1:12" x14ac:dyDescent="0.25">
      <c r="A521" t="s">
        <v>173</v>
      </c>
      <c r="B521" t="s">
        <v>165</v>
      </c>
      <c r="C521" s="1">
        <f t="shared" si="25"/>
        <v>13.849600000000001</v>
      </c>
      <c r="D521">
        <v>0.48</v>
      </c>
      <c r="E521" s="1">
        <f t="shared" si="29"/>
        <v>13.3696</v>
      </c>
      <c r="F521" s="333">
        <v>41.78</v>
      </c>
      <c r="G521" s="1"/>
      <c r="I521" s="1">
        <v>41.51</v>
      </c>
      <c r="J521" s="1">
        <f t="shared" si="27"/>
        <v>13.283199999999999</v>
      </c>
      <c r="K521" s="1">
        <f t="shared" si="28"/>
        <v>8.6400000000001143E-2</v>
      </c>
      <c r="L521" s="1"/>
    </row>
    <row r="522" spans="1:12" x14ac:dyDescent="0.25">
      <c r="A522" t="s">
        <v>173</v>
      </c>
      <c r="B522" t="s">
        <v>166</v>
      </c>
      <c r="C522" s="1">
        <f t="shared" si="25"/>
        <v>18.080000000000002</v>
      </c>
      <c r="D522">
        <v>0.48</v>
      </c>
      <c r="E522" s="1">
        <f t="shared" si="29"/>
        <v>17.600000000000001</v>
      </c>
      <c r="F522" s="333">
        <v>55</v>
      </c>
      <c r="G522" s="1"/>
      <c r="I522" s="1">
        <v>41.11</v>
      </c>
      <c r="J522" s="1">
        <f t="shared" si="27"/>
        <v>13.155200000000001</v>
      </c>
      <c r="K522" s="1">
        <f t="shared" si="28"/>
        <v>4.4448000000000008</v>
      </c>
      <c r="L522" s="1"/>
    </row>
    <row r="523" spans="1:12" x14ac:dyDescent="0.25">
      <c r="A523" t="s">
        <v>173</v>
      </c>
      <c r="B523" t="s">
        <v>550</v>
      </c>
      <c r="C523" s="1">
        <f t="shared" si="25"/>
        <v>40.6496</v>
      </c>
      <c r="D523">
        <v>0.48</v>
      </c>
      <c r="E523" s="1">
        <f t="shared" si="29"/>
        <v>40.169600000000003</v>
      </c>
      <c r="F523" s="333">
        <v>125.53</v>
      </c>
      <c r="G523" s="1"/>
      <c r="I523" s="1">
        <v>125.46</v>
      </c>
      <c r="J523" s="1">
        <f t="shared" si="27"/>
        <v>40.147199999999998</v>
      </c>
      <c r="K523" s="1">
        <f t="shared" si="28"/>
        <v>2.2400000000004638E-2</v>
      </c>
      <c r="L523" s="1"/>
    </row>
    <row r="524" spans="1:12" x14ac:dyDescent="0.25">
      <c r="A524" t="s">
        <v>173</v>
      </c>
      <c r="B524" t="s">
        <v>167</v>
      </c>
      <c r="C524" s="1">
        <f t="shared" si="25"/>
        <v>45.756799999999998</v>
      </c>
      <c r="D524">
        <v>0.48</v>
      </c>
      <c r="E524" s="1">
        <f t="shared" si="29"/>
        <v>45.276800000000001</v>
      </c>
      <c r="F524" s="333">
        <v>141.49</v>
      </c>
      <c r="G524" s="1"/>
      <c r="I524" s="1">
        <v>140.44999999999999</v>
      </c>
      <c r="J524" s="1">
        <f t="shared" si="27"/>
        <v>44.943999999999996</v>
      </c>
      <c r="K524" s="1">
        <f t="shared" si="28"/>
        <v>0.33280000000000598</v>
      </c>
      <c r="L524" s="1"/>
    </row>
    <row r="525" spans="1:12" x14ac:dyDescent="0.25">
      <c r="A525" t="s">
        <v>173</v>
      </c>
      <c r="B525" t="s">
        <v>168</v>
      </c>
      <c r="C525" s="1">
        <f t="shared" si="25"/>
        <v>29.036799999999999</v>
      </c>
      <c r="D525">
        <v>0.48</v>
      </c>
      <c r="E525" s="1">
        <f t="shared" si="29"/>
        <v>28.556799999999999</v>
      </c>
      <c r="F525" s="333">
        <v>89.24</v>
      </c>
      <c r="G525" s="1"/>
      <c r="I525" s="1">
        <v>89.17</v>
      </c>
      <c r="J525" s="1">
        <f t="shared" si="27"/>
        <v>28.534400000000002</v>
      </c>
      <c r="K525" s="1">
        <f t="shared" si="28"/>
        <v>2.2399999999997533E-2</v>
      </c>
      <c r="L525" s="1"/>
    </row>
    <row r="526" spans="1:12" x14ac:dyDescent="0.25">
      <c r="A526" t="s">
        <v>173</v>
      </c>
      <c r="B526" t="s">
        <v>551</v>
      </c>
      <c r="C526" s="1">
        <f t="shared" si="25"/>
        <v>28.246400000000001</v>
      </c>
      <c r="D526">
        <v>0.48</v>
      </c>
      <c r="E526" s="1">
        <f t="shared" si="29"/>
        <v>27.766400000000001</v>
      </c>
      <c r="F526" s="333">
        <v>86.77</v>
      </c>
      <c r="G526" s="1"/>
      <c r="I526" s="1">
        <v>96.13</v>
      </c>
      <c r="J526" s="1">
        <f t="shared" si="27"/>
        <v>30.761599999999998</v>
      </c>
      <c r="K526" s="1">
        <f t="shared" si="28"/>
        <v>-2.995199999999997</v>
      </c>
      <c r="L526" s="1"/>
    </row>
    <row r="527" spans="1:12" x14ac:dyDescent="0.25">
      <c r="A527" t="s">
        <v>173</v>
      </c>
      <c r="B527" t="s">
        <v>169</v>
      </c>
      <c r="C527" s="1">
        <f t="shared" si="25"/>
        <v>64.540800000000004</v>
      </c>
      <c r="D527">
        <v>0.48</v>
      </c>
      <c r="E527" s="1">
        <f t="shared" si="29"/>
        <v>64.0608</v>
      </c>
      <c r="F527" s="333">
        <v>200.19</v>
      </c>
      <c r="G527" s="1"/>
      <c r="I527" s="1">
        <v>198.88</v>
      </c>
      <c r="J527" s="1">
        <f t="shared" si="27"/>
        <v>63.641599999999997</v>
      </c>
      <c r="K527" s="1">
        <f t="shared" si="28"/>
        <v>0.41920000000000357</v>
      </c>
      <c r="L527" s="1"/>
    </row>
    <row r="528" spans="1:12" x14ac:dyDescent="0.25">
      <c r="A528" t="s">
        <v>173</v>
      </c>
      <c r="B528" s="360" t="s">
        <v>1221</v>
      </c>
      <c r="C528" s="1">
        <f t="shared" si="25"/>
        <v>59.071999999999996</v>
      </c>
      <c r="D528">
        <v>0.48</v>
      </c>
      <c r="E528" s="1">
        <f t="shared" si="29"/>
        <v>58.591999999999999</v>
      </c>
      <c r="F528" s="333">
        <v>183.1</v>
      </c>
      <c r="G528" s="1"/>
      <c r="I528" s="1">
        <v>181.91</v>
      </c>
      <c r="J528" s="1"/>
      <c r="K528" s="1">
        <f t="shared" si="28"/>
        <v>58.591999999999999</v>
      </c>
      <c r="L528" s="1"/>
    </row>
    <row r="529" spans="1:12" x14ac:dyDescent="0.25">
      <c r="A529" t="s">
        <v>688</v>
      </c>
      <c r="C529" s="1">
        <v>1250</v>
      </c>
      <c r="E529" s="1"/>
      <c r="F529" s="1"/>
      <c r="G529" s="1"/>
      <c r="J529" s="1"/>
      <c r="K529" s="1"/>
      <c r="L529" s="1"/>
    </row>
    <row r="530" spans="1:12" x14ac:dyDescent="0.25">
      <c r="A530" t="s">
        <v>688</v>
      </c>
      <c r="C530" s="1"/>
      <c r="E530" s="1"/>
      <c r="F530" s="1"/>
      <c r="G530" s="1"/>
      <c r="J530" s="1"/>
      <c r="K530" s="1"/>
      <c r="L530" s="1"/>
    </row>
    <row r="531" spans="1:12" x14ac:dyDescent="0.25">
      <c r="A531" t="s">
        <v>688</v>
      </c>
      <c r="C531" s="1"/>
      <c r="E531" s="1"/>
      <c r="F531" s="1"/>
      <c r="G531" s="1"/>
      <c r="J531" s="1"/>
      <c r="K531" s="1"/>
      <c r="L531" s="1"/>
    </row>
    <row r="532" spans="1:12" x14ac:dyDescent="0.25">
      <c r="A532" t="s">
        <v>688</v>
      </c>
      <c r="C532" s="1"/>
      <c r="E532" s="1"/>
      <c r="F532" s="1"/>
      <c r="G532" s="1"/>
      <c r="J532" s="1"/>
      <c r="K532" s="1"/>
      <c r="L532" s="1"/>
    </row>
    <row r="533" spans="1:12" x14ac:dyDescent="0.25">
      <c r="A533" t="s">
        <v>423</v>
      </c>
      <c r="B533" s="3" t="s">
        <v>623</v>
      </c>
      <c r="C533" s="6">
        <v>81.010000000000005</v>
      </c>
      <c r="F533" t="s">
        <v>1135</v>
      </c>
      <c r="I533" t="s">
        <v>1134</v>
      </c>
    </row>
    <row r="534" spans="1:12" x14ac:dyDescent="0.25">
      <c r="A534" t="s">
        <v>423</v>
      </c>
      <c r="B534" s="3" t="s">
        <v>238</v>
      </c>
      <c r="C534" s="6">
        <v>14.99</v>
      </c>
    </row>
    <row r="535" spans="1:12" x14ac:dyDescent="0.25">
      <c r="A535" t="s">
        <v>423</v>
      </c>
      <c r="B535" s="3" t="s">
        <v>239</v>
      </c>
      <c r="C535" s="6">
        <v>0</v>
      </c>
      <c r="F535" t="s">
        <v>1133</v>
      </c>
    </row>
    <row r="536" spans="1:12" x14ac:dyDescent="0.25">
      <c r="A536" t="s">
        <v>423</v>
      </c>
      <c r="B536" s="3" t="s">
        <v>240</v>
      </c>
      <c r="C536" s="6">
        <v>65.989999999999995</v>
      </c>
      <c r="D536" t="s">
        <v>1176</v>
      </c>
    </row>
    <row r="537" spans="1:12" x14ac:dyDescent="0.25">
      <c r="A537" t="s">
        <v>423</v>
      </c>
      <c r="B537" s="3" t="s">
        <v>624</v>
      </c>
      <c r="C537" s="6">
        <v>88.99</v>
      </c>
    </row>
    <row r="538" spans="1:12" x14ac:dyDescent="0.25">
      <c r="A538" t="s">
        <v>854</v>
      </c>
      <c r="B538" s="5">
        <v>103061</v>
      </c>
      <c r="C538" s="6">
        <v>14.99</v>
      </c>
    </row>
    <row r="539" spans="1:12" x14ac:dyDescent="0.25">
      <c r="A539" t="s">
        <v>424</v>
      </c>
      <c r="B539" s="5" t="s">
        <v>1241</v>
      </c>
      <c r="C539" s="6">
        <v>107.63</v>
      </c>
    </row>
    <row r="540" spans="1:12" x14ac:dyDescent="0.25">
      <c r="A540" t="s">
        <v>424</v>
      </c>
      <c r="B540" s="3" t="s">
        <v>241</v>
      </c>
      <c r="C540" s="6">
        <v>82.07</v>
      </c>
    </row>
    <row r="541" spans="1:12" x14ac:dyDescent="0.25">
      <c r="A541" t="s">
        <v>424</v>
      </c>
      <c r="B541" s="3" t="s">
        <v>242</v>
      </c>
      <c r="C541" s="6">
        <v>30.84</v>
      </c>
    </row>
    <row r="542" spans="1:12" x14ac:dyDescent="0.25">
      <c r="A542" t="s">
        <v>424</v>
      </c>
      <c r="B542" s="3" t="s">
        <v>243</v>
      </c>
      <c r="C542" s="6">
        <v>130.12</v>
      </c>
    </row>
    <row r="543" spans="1:12" x14ac:dyDescent="0.25">
      <c r="A543" t="s">
        <v>424</v>
      </c>
      <c r="B543" s="3" t="s">
        <v>244</v>
      </c>
      <c r="C543" s="6">
        <v>28.54</v>
      </c>
    </row>
    <row r="544" spans="1:12" x14ac:dyDescent="0.25">
      <c r="A544" t="s">
        <v>424</v>
      </c>
      <c r="B544" s="3" t="s">
        <v>1274</v>
      </c>
      <c r="C544" s="6">
        <v>57.99</v>
      </c>
    </row>
    <row r="545" spans="1:9" x14ac:dyDescent="0.25">
      <c r="A545" t="s">
        <v>424</v>
      </c>
      <c r="B545" s="3" t="s">
        <v>245</v>
      </c>
      <c r="C545" s="6">
        <v>113.59</v>
      </c>
    </row>
    <row r="546" spans="1:9" x14ac:dyDescent="0.25">
      <c r="A546" t="s">
        <v>424</v>
      </c>
      <c r="B546" s="3" t="s">
        <v>246</v>
      </c>
      <c r="C546" s="6">
        <v>127.68</v>
      </c>
      <c r="E546" s="26"/>
      <c r="G546">
        <v>76.099999999999994</v>
      </c>
    </row>
    <row r="547" spans="1:9" x14ac:dyDescent="0.25">
      <c r="A547" t="s">
        <v>424</v>
      </c>
      <c r="B547" s="3" t="s">
        <v>247</v>
      </c>
      <c r="C547" s="6">
        <v>95</v>
      </c>
      <c r="D547" s="329" t="s">
        <v>1273</v>
      </c>
      <c r="E547" s="26" t="s">
        <v>1272</v>
      </c>
      <c r="G547">
        <v>63.08</v>
      </c>
      <c r="I547" t="s">
        <v>184</v>
      </c>
    </row>
    <row r="548" spans="1:9" x14ac:dyDescent="0.25">
      <c r="A548" t="s">
        <v>424</v>
      </c>
      <c r="B548" s="3" t="s">
        <v>1242</v>
      </c>
      <c r="C548" s="6">
        <v>71.17</v>
      </c>
    </row>
    <row r="549" spans="1:9" x14ac:dyDescent="0.25">
      <c r="A549" t="s">
        <v>424</v>
      </c>
      <c r="B549" s="3" t="s">
        <v>248</v>
      </c>
      <c r="C549" s="6">
        <v>48.12</v>
      </c>
    </row>
    <row r="550" spans="1:9" x14ac:dyDescent="0.25">
      <c r="A550" t="s">
        <v>424</v>
      </c>
      <c r="B550" s="3" t="s">
        <v>249</v>
      </c>
      <c r="C550" s="6">
        <v>85.54</v>
      </c>
    </row>
    <row r="551" spans="1:9" x14ac:dyDescent="0.25">
      <c r="A551" t="s">
        <v>424</v>
      </c>
      <c r="B551" s="3" t="s">
        <v>250</v>
      </c>
      <c r="C551" s="6">
        <v>61.91</v>
      </c>
    </row>
    <row r="552" spans="1:9" x14ac:dyDescent="0.25">
      <c r="A552" t="s">
        <v>424</v>
      </c>
      <c r="B552" s="3" t="s">
        <v>251</v>
      </c>
      <c r="C552" s="6">
        <v>42.93</v>
      </c>
    </row>
    <row r="553" spans="1:9" x14ac:dyDescent="0.25">
      <c r="A553" t="s">
        <v>424</v>
      </c>
      <c r="B553" s="3" t="s">
        <v>252</v>
      </c>
      <c r="C553" s="6">
        <v>38.29</v>
      </c>
    </row>
    <row r="554" spans="1:9" x14ac:dyDescent="0.25">
      <c r="A554" t="s">
        <v>424</v>
      </c>
      <c r="B554" s="3" t="s">
        <v>253</v>
      </c>
      <c r="C554" s="6">
        <v>72.48</v>
      </c>
    </row>
    <row r="555" spans="1:9" x14ac:dyDescent="0.25">
      <c r="A555" t="s">
        <v>424</v>
      </c>
      <c r="B555" s="3" t="s">
        <v>254</v>
      </c>
      <c r="C555" s="6">
        <v>102.78</v>
      </c>
    </row>
    <row r="556" spans="1:9" x14ac:dyDescent="0.25">
      <c r="A556" t="s">
        <v>424</v>
      </c>
      <c r="B556" s="3" t="s">
        <v>255</v>
      </c>
      <c r="C556" s="6">
        <v>43.94</v>
      </c>
    </row>
    <row r="557" spans="1:9" x14ac:dyDescent="0.25">
      <c r="A557" t="s">
        <v>424</v>
      </c>
      <c r="B557" s="3" t="s">
        <v>256</v>
      </c>
      <c r="C557" s="6">
        <v>85.1</v>
      </c>
    </row>
    <row r="558" spans="1:9" x14ac:dyDescent="0.25">
      <c r="A558" t="s">
        <v>424</v>
      </c>
      <c r="B558" s="3" t="s">
        <v>1156</v>
      </c>
      <c r="C558" s="6">
        <v>42.19</v>
      </c>
    </row>
    <row r="559" spans="1:9" x14ac:dyDescent="0.25">
      <c r="A559" t="s">
        <v>424</v>
      </c>
      <c r="B559" s="3" t="s">
        <v>257</v>
      </c>
      <c r="C559" s="6">
        <v>169.69</v>
      </c>
    </row>
    <row r="560" spans="1:9" x14ac:dyDescent="0.25">
      <c r="A560" t="s">
        <v>424</v>
      </c>
      <c r="B560" s="3" t="s">
        <v>1157</v>
      </c>
      <c r="C560" s="6">
        <v>145.85</v>
      </c>
    </row>
    <row r="561" spans="1:9" x14ac:dyDescent="0.25">
      <c r="A561" t="s">
        <v>424</v>
      </c>
      <c r="B561" s="3" t="s">
        <v>258</v>
      </c>
      <c r="C561" s="6">
        <v>57.98</v>
      </c>
      <c r="E561" t="s">
        <v>1127</v>
      </c>
    </row>
    <row r="562" spans="1:9" x14ac:dyDescent="0.25">
      <c r="A562" t="s">
        <v>425</v>
      </c>
      <c r="B562" s="3" t="s">
        <v>1123</v>
      </c>
      <c r="C562" s="6">
        <v>37.25</v>
      </c>
      <c r="E562" t="s">
        <v>1126</v>
      </c>
      <c r="I562" t="s">
        <v>1132</v>
      </c>
    </row>
    <row r="563" spans="1:9" x14ac:dyDescent="0.25">
      <c r="A563" t="s">
        <v>425</v>
      </c>
      <c r="B563" s="3" t="s">
        <v>259</v>
      </c>
      <c r="C563" s="6">
        <v>40.9</v>
      </c>
      <c r="E563" t="s">
        <v>1127</v>
      </c>
      <c r="I563" t="s">
        <v>1130</v>
      </c>
    </row>
    <row r="564" spans="1:9" x14ac:dyDescent="0.25">
      <c r="A564" t="s">
        <v>425</v>
      </c>
      <c r="B564" s="3" t="s">
        <v>260</v>
      </c>
      <c r="C564" s="6">
        <v>28.07</v>
      </c>
      <c r="E564" t="s">
        <v>1128</v>
      </c>
      <c r="I564" t="s">
        <v>1129</v>
      </c>
    </row>
    <row r="565" spans="1:9" x14ac:dyDescent="0.25">
      <c r="A565" t="s">
        <v>425</v>
      </c>
      <c r="B565" s="3" t="s">
        <v>844</v>
      </c>
      <c r="C565" s="6">
        <v>32.29</v>
      </c>
      <c r="E565" t="s">
        <v>1127</v>
      </c>
      <c r="I565" t="s">
        <v>1130</v>
      </c>
    </row>
    <row r="566" spans="1:9" x14ac:dyDescent="0.25">
      <c r="A566" t="s">
        <v>425</v>
      </c>
      <c r="B566" s="3" t="s">
        <v>1122</v>
      </c>
      <c r="C566" s="6">
        <v>48.9</v>
      </c>
      <c r="E566" t="s">
        <v>1128</v>
      </c>
      <c r="I566" t="s">
        <v>1132</v>
      </c>
    </row>
    <row r="567" spans="1:9" x14ac:dyDescent="0.25">
      <c r="A567" t="s">
        <v>431</v>
      </c>
      <c r="B567" s="3" t="s">
        <v>261</v>
      </c>
      <c r="C567" s="6">
        <v>30.16</v>
      </c>
    </row>
    <row r="568" spans="1:9" x14ac:dyDescent="0.25">
      <c r="A568" t="s">
        <v>426</v>
      </c>
      <c r="B568" s="5">
        <v>20704613</v>
      </c>
      <c r="C568" s="6">
        <v>32.28</v>
      </c>
    </row>
    <row r="569" spans="1:9" x14ac:dyDescent="0.25">
      <c r="A569" t="s">
        <v>426</v>
      </c>
      <c r="B569" s="4">
        <v>20704772</v>
      </c>
      <c r="C569" s="6">
        <v>5.98</v>
      </c>
      <c r="F569" t="s">
        <v>1049</v>
      </c>
    </row>
    <row r="570" spans="1:9" x14ac:dyDescent="0.25">
      <c r="A570" t="s">
        <v>426</v>
      </c>
      <c r="B570" s="4">
        <v>20704867</v>
      </c>
      <c r="C570" s="6">
        <v>29.67</v>
      </c>
    </row>
    <row r="571" spans="1:9" x14ac:dyDescent="0.25">
      <c r="A571" t="s">
        <v>426</v>
      </c>
      <c r="B571" s="4">
        <v>20706140</v>
      </c>
      <c r="C571" s="6">
        <v>26.35</v>
      </c>
      <c r="F571" t="s">
        <v>1048</v>
      </c>
    </row>
    <row r="572" spans="1:9" x14ac:dyDescent="0.25">
      <c r="A572" t="s">
        <v>426</v>
      </c>
      <c r="B572" s="4">
        <v>20972295</v>
      </c>
      <c r="C572" s="6">
        <v>64.739999999999995</v>
      </c>
    </row>
    <row r="573" spans="1:9" x14ac:dyDescent="0.25">
      <c r="A573" t="s">
        <v>426</v>
      </c>
      <c r="B573" s="4">
        <v>21074769</v>
      </c>
      <c r="C573" s="6">
        <v>151.33000000000001</v>
      </c>
      <c r="F573" t="s">
        <v>1043</v>
      </c>
    </row>
    <row r="574" spans="1:9" x14ac:dyDescent="0.25">
      <c r="A574" t="s">
        <v>426</v>
      </c>
      <c r="B574" s="4">
        <v>21075041</v>
      </c>
      <c r="C574" s="6">
        <v>45.26</v>
      </c>
    </row>
    <row r="575" spans="1:9" x14ac:dyDescent="0.25">
      <c r="A575" t="s">
        <v>426</v>
      </c>
      <c r="B575" s="4">
        <v>21380521</v>
      </c>
      <c r="C575" s="6">
        <v>49.72</v>
      </c>
    </row>
    <row r="576" spans="1:9" x14ac:dyDescent="0.25">
      <c r="A576" t="s">
        <v>426</v>
      </c>
      <c r="B576" s="4">
        <v>21707135</v>
      </c>
      <c r="C576" s="6">
        <v>47.42</v>
      </c>
    </row>
    <row r="577" spans="1:6" x14ac:dyDescent="0.25">
      <c r="A577" t="s">
        <v>426</v>
      </c>
      <c r="B577" s="4">
        <v>21737481</v>
      </c>
      <c r="C577" s="6">
        <v>51.86</v>
      </c>
    </row>
    <row r="578" spans="1:6" x14ac:dyDescent="0.25">
      <c r="A578" t="s">
        <v>426</v>
      </c>
      <c r="B578" s="4">
        <v>21937298</v>
      </c>
      <c r="C578" s="6">
        <v>17.010000000000002</v>
      </c>
    </row>
    <row r="579" spans="1:6" x14ac:dyDescent="0.25">
      <c r="A579" t="s">
        <v>426</v>
      </c>
      <c r="B579" s="4">
        <v>21939298</v>
      </c>
      <c r="C579" s="6">
        <v>34.450000000000003</v>
      </c>
    </row>
    <row r="580" spans="1:6" x14ac:dyDescent="0.25">
      <c r="A580" t="s">
        <v>426</v>
      </c>
      <c r="B580" s="4">
        <v>22094987</v>
      </c>
      <c r="C580" s="6">
        <v>52.67</v>
      </c>
    </row>
    <row r="581" spans="1:6" x14ac:dyDescent="0.25">
      <c r="A581" t="s">
        <v>426</v>
      </c>
      <c r="B581" s="4">
        <v>23155587</v>
      </c>
      <c r="C581" s="6">
        <v>27.58</v>
      </c>
    </row>
    <row r="582" spans="1:6" x14ac:dyDescent="0.25">
      <c r="A582" t="s">
        <v>426</v>
      </c>
      <c r="B582" s="4">
        <v>23658111</v>
      </c>
      <c r="C582" s="6">
        <v>30.67</v>
      </c>
    </row>
    <row r="583" spans="1:6" x14ac:dyDescent="0.25">
      <c r="A583" t="s">
        <v>426</v>
      </c>
      <c r="B583" s="4">
        <v>23856895</v>
      </c>
      <c r="C583" s="6">
        <v>48.77</v>
      </c>
    </row>
    <row r="584" spans="1:6" x14ac:dyDescent="0.25">
      <c r="A584" t="s">
        <v>426</v>
      </c>
      <c r="B584" s="4">
        <v>23879508</v>
      </c>
      <c r="C584" s="6">
        <v>65.569999999999993</v>
      </c>
      <c r="F584" t="s">
        <v>1073</v>
      </c>
    </row>
    <row r="585" spans="1:6" x14ac:dyDescent="0.25">
      <c r="A585" t="s">
        <v>426</v>
      </c>
      <c r="B585" s="4">
        <v>23920471</v>
      </c>
      <c r="C585" s="6">
        <v>62.57</v>
      </c>
    </row>
    <row r="586" spans="1:6" x14ac:dyDescent="0.25">
      <c r="A586" t="s">
        <v>426</v>
      </c>
      <c r="B586" s="4">
        <v>24225156</v>
      </c>
      <c r="C586" s="6">
        <v>65.569999999999993</v>
      </c>
    </row>
    <row r="587" spans="1:6" x14ac:dyDescent="0.25">
      <c r="A587" t="s">
        <v>426</v>
      </c>
      <c r="B587" s="4">
        <v>25089409</v>
      </c>
      <c r="C587" s="6">
        <v>147.28</v>
      </c>
      <c r="F587" t="s">
        <v>1046</v>
      </c>
    </row>
    <row r="588" spans="1:6" x14ac:dyDescent="0.25">
      <c r="A588" t="s">
        <v>426</v>
      </c>
      <c r="B588" s="4">
        <v>25100073</v>
      </c>
      <c r="C588" s="6">
        <v>45.9</v>
      </c>
    </row>
    <row r="589" spans="1:6" x14ac:dyDescent="0.25">
      <c r="A589" t="s">
        <v>426</v>
      </c>
      <c r="B589" s="4">
        <v>25126202</v>
      </c>
      <c r="C589" s="6">
        <v>120.02</v>
      </c>
    </row>
    <row r="590" spans="1:6" x14ac:dyDescent="0.25">
      <c r="A590" t="s">
        <v>426</v>
      </c>
      <c r="B590" s="4" t="s">
        <v>845</v>
      </c>
      <c r="C590" s="6">
        <v>24</v>
      </c>
      <c r="F590" t="s">
        <v>848</v>
      </c>
    </row>
    <row r="591" spans="1:6" x14ac:dyDescent="0.25">
      <c r="A591" t="s">
        <v>426</v>
      </c>
      <c r="B591" s="4">
        <v>25127839</v>
      </c>
      <c r="C591" s="6">
        <v>49.84</v>
      </c>
    </row>
    <row r="592" spans="1:6" x14ac:dyDescent="0.25">
      <c r="A592" t="s">
        <v>426</v>
      </c>
      <c r="B592" s="4">
        <v>25168319</v>
      </c>
      <c r="C592" s="6">
        <v>55.51</v>
      </c>
    </row>
    <row r="593" spans="1:6" x14ac:dyDescent="0.25">
      <c r="A593" t="s">
        <v>426</v>
      </c>
      <c r="B593" s="4">
        <v>25501624</v>
      </c>
      <c r="C593" s="6">
        <v>50.79</v>
      </c>
    </row>
    <row r="594" spans="1:6" x14ac:dyDescent="0.25">
      <c r="A594" t="s">
        <v>426</v>
      </c>
      <c r="B594" s="4">
        <v>25502421</v>
      </c>
      <c r="C594" s="6">
        <v>37.909999999999997</v>
      </c>
    </row>
    <row r="595" spans="1:6" x14ac:dyDescent="0.25">
      <c r="A595" t="s">
        <v>426</v>
      </c>
      <c r="B595" s="4">
        <v>25502422</v>
      </c>
      <c r="C595" s="6">
        <v>54.58</v>
      </c>
    </row>
    <row r="596" spans="1:6" x14ac:dyDescent="0.25">
      <c r="A596" t="s">
        <v>426</v>
      </c>
      <c r="B596" s="4">
        <v>25502423</v>
      </c>
      <c r="C596" s="6">
        <v>59.48</v>
      </c>
    </row>
    <row r="597" spans="1:6" x14ac:dyDescent="0.25">
      <c r="A597" t="s">
        <v>426</v>
      </c>
      <c r="B597" s="4">
        <v>25503129</v>
      </c>
      <c r="C597" s="6">
        <v>123.61</v>
      </c>
    </row>
    <row r="598" spans="1:6" x14ac:dyDescent="0.25">
      <c r="A598" t="s">
        <v>426</v>
      </c>
      <c r="B598" s="4" t="s">
        <v>1106</v>
      </c>
      <c r="C598" s="6">
        <v>26</v>
      </c>
    </row>
    <row r="599" spans="1:6" x14ac:dyDescent="0.25">
      <c r="A599" t="s">
        <v>426</v>
      </c>
      <c r="B599" s="4">
        <v>25503228</v>
      </c>
      <c r="C599" s="6">
        <v>32.11</v>
      </c>
    </row>
    <row r="600" spans="1:6" x14ac:dyDescent="0.25">
      <c r="A600" t="s">
        <v>426</v>
      </c>
      <c r="B600" s="5" t="s">
        <v>262</v>
      </c>
      <c r="C600" s="6">
        <v>89.53</v>
      </c>
    </row>
    <row r="601" spans="1:6" x14ac:dyDescent="0.25">
      <c r="A601" t="s">
        <v>426</v>
      </c>
      <c r="B601" s="5" t="s">
        <v>263</v>
      </c>
      <c r="C601" s="6">
        <v>25.35</v>
      </c>
      <c r="F601" t="s">
        <v>1047</v>
      </c>
    </row>
    <row r="602" spans="1:6" x14ac:dyDescent="0.25">
      <c r="A602" t="s">
        <v>426</v>
      </c>
      <c r="B602" s="5" t="s">
        <v>264</v>
      </c>
      <c r="C602" s="6">
        <v>5.98</v>
      </c>
    </row>
    <row r="603" spans="1:6" x14ac:dyDescent="0.25">
      <c r="A603" t="s">
        <v>426</v>
      </c>
      <c r="B603" s="5" t="s">
        <v>265</v>
      </c>
      <c r="C603" s="6">
        <v>9.7899999999999991</v>
      </c>
    </row>
    <row r="604" spans="1:6" x14ac:dyDescent="0.25">
      <c r="A604" t="s">
        <v>426</v>
      </c>
      <c r="B604" s="5" t="s">
        <v>553</v>
      </c>
      <c r="C604" s="6">
        <v>32.28</v>
      </c>
      <c r="F604" t="s">
        <v>1050</v>
      </c>
    </row>
    <row r="605" spans="1:6" x14ac:dyDescent="0.25">
      <c r="A605" t="s">
        <v>426</v>
      </c>
      <c r="B605" s="5" t="s">
        <v>554</v>
      </c>
      <c r="C605" s="6">
        <v>29.67</v>
      </c>
      <c r="F605" t="s">
        <v>1051</v>
      </c>
    </row>
    <row r="606" spans="1:6" x14ac:dyDescent="0.25">
      <c r="A606" t="s">
        <v>426</v>
      </c>
      <c r="B606" s="5" t="s">
        <v>555</v>
      </c>
      <c r="C606" s="6">
        <v>55.51</v>
      </c>
      <c r="F606" t="s">
        <v>967</v>
      </c>
    </row>
    <row r="607" spans="1:6" x14ac:dyDescent="0.25">
      <c r="A607" t="s">
        <v>426</v>
      </c>
      <c r="B607" s="5" t="s">
        <v>556</v>
      </c>
      <c r="C607" s="6">
        <v>44.42</v>
      </c>
      <c r="F607" t="s">
        <v>1052</v>
      </c>
    </row>
    <row r="608" spans="1:6" x14ac:dyDescent="0.25">
      <c r="A608" t="s">
        <v>426</v>
      </c>
      <c r="B608" s="5" t="s">
        <v>557</v>
      </c>
      <c r="C608" s="6">
        <v>59.48</v>
      </c>
      <c r="F608" t="s">
        <v>1053</v>
      </c>
    </row>
    <row r="609" spans="1:6" x14ac:dyDescent="0.25">
      <c r="A609" t="s">
        <v>426</v>
      </c>
      <c r="B609" s="5" t="s">
        <v>558</v>
      </c>
      <c r="C609" s="6">
        <v>151.33000000000001</v>
      </c>
      <c r="F609" t="s">
        <v>1044</v>
      </c>
    </row>
    <row r="610" spans="1:6" x14ac:dyDescent="0.25">
      <c r="A610" t="s">
        <v>426</v>
      </c>
      <c r="B610" s="4">
        <v>5001858091</v>
      </c>
      <c r="C610" s="6">
        <v>35.78</v>
      </c>
    </row>
    <row r="611" spans="1:6" x14ac:dyDescent="0.25">
      <c r="A611" t="s">
        <v>426</v>
      </c>
      <c r="B611" s="4" t="s">
        <v>559</v>
      </c>
      <c r="C611" s="6">
        <v>49.84</v>
      </c>
      <c r="F611" t="s">
        <v>1054</v>
      </c>
    </row>
    <row r="612" spans="1:6" x14ac:dyDescent="0.25">
      <c r="A612" t="s">
        <v>426</v>
      </c>
      <c r="B612" s="4" t="s">
        <v>560</v>
      </c>
      <c r="C612" s="6">
        <v>45.26</v>
      </c>
      <c r="F612" t="s">
        <v>1055</v>
      </c>
    </row>
    <row r="613" spans="1:6" x14ac:dyDescent="0.25">
      <c r="A613" t="s">
        <v>426</v>
      </c>
      <c r="B613" s="4">
        <v>6650559370</v>
      </c>
      <c r="C613" s="6">
        <v>16.53</v>
      </c>
    </row>
    <row r="614" spans="1:6" x14ac:dyDescent="0.25">
      <c r="A614" t="s">
        <v>426</v>
      </c>
      <c r="B614" s="5" t="s">
        <v>266</v>
      </c>
      <c r="C614" s="6">
        <v>0</v>
      </c>
    </row>
    <row r="615" spans="1:6" x14ac:dyDescent="0.25">
      <c r="A615" t="s">
        <v>426</v>
      </c>
      <c r="B615" s="4">
        <v>85136709</v>
      </c>
      <c r="C615" s="6">
        <v>25.78</v>
      </c>
    </row>
    <row r="616" spans="1:6" x14ac:dyDescent="0.25">
      <c r="A616" t="s">
        <v>426</v>
      </c>
      <c r="B616" s="4">
        <v>85145616</v>
      </c>
      <c r="C616" s="6">
        <v>33.08</v>
      </c>
    </row>
    <row r="617" spans="1:6" x14ac:dyDescent="0.25">
      <c r="A617" t="s">
        <v>426</v>
      </c>
      <c r="B617" s="4">
        <v>85152246</v>
      </c>
      <c r="C617" s="6">
        <v>209.44</v>
      </c>
    </row>
    <row r="618" spans="1:6" x14ac:dyDescent="0.25">
      <c r="A618" t="s">
        <v>427</v>
      </c>
      <c r="B618" s="5" t="s">
        <v>586</v>
      </c>
      <c r="C618" s="6">
        <v>28.76</v>
      </c>
    </row>
    <row r="619" spans="1:6" x14ac:dyDescent="0.25">
      <c r="A619" t="s">
        <v>427</v>
      </c>
      <c r="B619" s="5" t="s">
        <v>587</v>
      </c>
      <c r="C619" s="6">
        <v>18.309999999999999</v>
      </c>
    </row>
    <row r="620" spans="1:6" x14ac:dyDescent="0.25">
      <c r="A620" t="s">
        <v>427</v>
      </c>
      <c r="B620" s="5" t="s">
        <v>588</v>
      </c>
      <c r="C620" s="6">
        <v>25.09</v>
      </c>
    </row>
    <row r="621" spans="1:6" x14ac:dyDescent="0.25">
      <c r="A621" t="s">
        <v>427</v>
      </c>
      <c r="B621" s="5" t="s">
        <v>267</v>
      </c>
      <c r="C621" s="6">
        <v>37.42</v>
      </c>
    </row>
    <row r="622" spans="1:6" x14ac:dyDescent="0.25">
      <c r="A622" t="s">
        <v>427</v>
      </c>
      <c r="B622" s="4">
        <v>23535927</v>
      </c>
      <c r="C622" s="6">
        <v>79.53</v>
      </c>
    </row>
    <row r="623" spans="1:6" x14ac:dyDescent="0.25">
      <c r="A623" t="s">
        <v>427</v>
      </c>
      <c r="B623" s="4">
        <v>3282266</v>
      </c>
      <c r="C623" s="6">
        <v>12.1</v>
      </c>
    </row>
    <row r="624" spans="1:6" x14ac:dyDescent="0.25">
      <c r="A624" t="s">
        <v>427</v>
      </c>
      <c r="B624" s="4">
        <v>3287561</v>
      </c>
      <c r="C624" s="6">
        <v>15.12</v>
      </c>
    </row>
    <row r="625" spans="1:3" x14ac:dyDescent="0.25">
      <c r="A625" t="s">
        <v>427</v>
      </c>
      <c r="B625" s="4" t="s">
        <v>589</v>
      </c>
      <c r="C625" s="6">
        <v>24.92</v>
      </c>
    </row>
    <row r="626" spans="1:3" x14ac:dyDescent="0.25">
      <c r="A626" t="s">
        <v>427</v>
      </c>
      <c r="B626" s="4" t="s">
        <v>590</v>
      </c>
      <c r="C626" s="6">
        <v>50.65</v>
      </c>
    </row>
    <row r="627" spans="1:3" x14ac:dyDescent="0.25">
      <c r="A627" t="s">
        <v>427</v>
      </c>
      <c r="B627" s="5" t="s">
        <v>268</v>
      </c>
      <c r="C627" s="6">
        <v>21.53</v>
      </c>
    </row>
    <row r="628" spans="1:3" x14ac:dyDescent="0.25">
      <c r="A628" t="s">
        <v>427</v>
      </c>
      <c r="B628" s="5" t="s">
        <v>269</v>
      </c>
      <c r="C628" s="6">
        <v>26.16</v>
      </c>
    </row>
    <row r="629" spans="1:3" x14ac:dyDescent="0.25">
      <c r="A629" t="s">
        <v>427</v>
      </c>
      <c r="B629" s="5" t="s">
        <v>270</v>
      </c>
      <c r="C629" s="6">
        <v>27.46</v>
      </c>
    </row>
    <row r="630" spans="1:3" x14ac:dyDescent="0.25">
      <c r="A630" t="s">
        <v>427</v>
      </c>
      <c r="B630" s="5" t="s">
        <v>271</v>
      </c>
      <c r="C630" s="6">
        <v>38.880000000000003</v>
      </c>
    </row>
    <row r="631" spans="1:3" x14ac:dyDescent="0.25">
      <c r="A631" t="s">
        <v>427</v>
      </c>
      <c r="B631" s="5" t="s">
        <v>272</v>
      </c>
      <c r="C631" s="6">
        <v>59.06</v>
      </c>
    </row>
    <row r="632" spans="1:3" x14ac:dyDescent="0.25">
      <c r="A632" t="s">
        <v>427</v>
      </c>
      <c r="B632" s="5" t="s">
        <v>273</v>
      </c>
      <c r="C632" s="6">
        <v>18.79</v>
      </c>
    </row>
    <row r="633" spans="1:3" x14ac:dyDescent="0.25">
      <c r="A633" t="s">
        <v>427</v>
      </c>
      <c r="B633" s="5" t="s">
        <v>274</v>
      </c>
      <c r="C633" s="6">
        <v>320.48</v>
      </c>
    </row>
    <row r="634" spans="1:3" x14ac:dyDescent="0.25">
      <c r="A634" t="s">
        <v>427</v>
      </c>
      <c r="B634" s="5" t="s">
        <v>275</v>
      </c>
      <c r="C634" s="6">
        <v>28.71</v>
      </c>
    </row>
    <row r="635" spans="1:3" x14ac:dyDescent="0.25">
      <c r="A635" t="s">
        <v>427</v>
      </c>
      <c r="B635" s="5" t="s">
        <v>276</v>
      </c>
      <c r="C635" s="6">
        <v>35.4</v>
      </c>
    </row>
    <row r="636" spans="1:3" x14ac:dyDescent="0.25">
      <c r="A636" t="s">
        <v>427</v>
      </c>
      <c r="B636" s="5" t="s">
        <v>277</v>
      </c>
      <c r="C636" s="6">
        <v>2.87</v>
      </c>
    </row>
    <row r="637" spans="1:3" x14ac:dyDescent="0.25">
      <c r="A637" t="s">
        <v>427</v>
      </c>
      <c r="B637" s="5" t="s">
        <v>278</v>
      </c>
      <c r="C637" s="6">
        <v>6.95</v>
      </c>
    </row>
    <row r="638" spans="1:3" x14ac:dyDescent="0.25">
      <c r="A638" t="s">
        <v>427</v>
      </c>
      <c r="B638" s="5" t="s">
        <v>279</v>
      </c>
      <c r="C638" s="6">
        <v>6.95</v>
      </c>
    </row>
    <row r="639" spans="1:3" x14ac:dyDescent="0.25">
      <c r="A639" t="s">
        <v>427</v>
      </c>
      <c r="B639" s="5" t="s">
        <v>280</v>
      </c>
      <c r="C639" s="6">
        <v>9.66</v>
      </c>
    </row>
    <row r="640" spans="1:3" x14ac:dyDescent="0.25">
      <c r="A640" t="s">
        <v>427</v>
      </c>
      <c r="B640" s="5" t="s">
        <v>281</v>
      </c>
      <c r="C640" s="6">
        <v>4.93</v>
      </c>
    </row>
    <row r="641" spans="1:4" x14ac:dyDescent="0.25">
      <c r="A641" t="s">
        <v>427</v>
      </c>
      <c r="B641" s="5" t="s">
        <v>282</v>
      </c>
      <c r="C641" s="6">
        <v>0.42</v>
      </c>
    </row>
    <row r="642" spans="1:4" x14ac:dyDescent="0.25">
      <c r="A642" t="s">
        <v>427</v>
      </c>
      <c r="B642" s="5" t="s">
        <v>283</v>
      </c>
      <c r="C642" s="6">
        <v>3.57</v>
      </c>
    </row>
    <row r="643" spans="1:4" x14ac:dyDescent="0.25">
      <c r="A643" t="s">
        <v>427</v>
      </c>
      <c r="B643" s="5" t="s">
        <v>284</v>
      </c>
      <c r="C643" s="6">
        <v>8.75</v>
      </c>
    </row>
    <row r="644" spans="1:4" x14ac:dyDescent="0.25">
      <c r="A644" t="s">
        <v>427</v>
      </c>
      <c r="B644" s="5" t="s">
        <v>285</v>
      </c>
      <c r="C644" s="6">
        <v>37.840000000000003</v>
      </c>
    </row>
    <row r="645" spans="1:4" x14ac:dyDescent="0.25">
      <c r="A645" t="s">
        <v>970</v>
      </c>
      <c r="B645" s="5">
        <v>10002</v>
      </c>
      <c r="C645" s="6">
        <v>30</v>
      </c>
    </row>
    <row r="646" spans="1:4" x14ac:dyDescent="0.25">
      <c r="A646" t="s">
        <v>970</v>
      </c>
      <c r="B646" s="5">
        <v>10013</v>
      </c>
      <c r="C646" s="6">
        <v>29</v>
      </c>
    </row>
    <row r="647" spans="1:4" x14ac:dyDescent="0.25">
      <c r="A647" t="s">
        <v>970</v>
      </c>
      <c r="B647" s="5">
        <v>10015</v>
      </c>
      <c r="C647" s="6"/>
    </row>
    <row r="648" spans="1:4" x14ac:dyDescent="0.25">
      <c r="A648" t="s">
        <v>971</v>
      </c>
      <c r="B648" s="5">
        <v>10031</v>
      </c>
      <c r="C648" s="6">
        <v>27.49</v>
      </c>
    </row>
    <row r="649" spans="1:4" x14ac:dyDescent="0.25">
      <c r="A649" t="s">
        <v>970</v>
      </c>
      <c r="B649" s="5">
        <v>20131</v>
      </c>
      <c r="C649" s="6">
        <v>35</v>
      </c>
    </row>
    <row r="650" spans="1:4" x14ac:dyDescent="0.25">
      <c r="A650" t="s">
        <v>970</v>
      </c>
      <c r="B650" s="5">
        <v>20279</v>
      </c>
      <c r="C650" s="6">
        <v>27.5</v>
      </c>
    </row>
    <row r="651" spans="1:4" x14ac:dyDescent="0.25">
      <c r="A651" t="s">
        <v>1008</v>
      </c>
      <c r="B651" s="5">
        <v>908959</v>
      </c>
      <c r="C651" s="6">
        <v>15.45</v>
      </c>
    </row>
    <row r="652" spans="1:4" x14ac:dyDescent="0.25">
      <c r="B652" s="11" t="s">
        <v>977</v>
      </c>
      <c r="C652" s="6"/>
      <c r="D652">
        <v>49.8</v>
      </c>
    </row>
    <row r="653" spans="1:4" x14ac:dyDescent="0.25">
      <c r="B653" s="11">
        <v>43143530</v>
      </c>
      <c r="C653" s="6"/>
    </row>
    <row r="654" spans="1:4" x14ac:dyDescent="0.25">
      <c r="B654" s="11" t="s">
        <v>978</v>
      </c>
      <c r="C654" s="6"/>
    </row>
    <row r="655" spans="1:4" x14ac:dyDescent="0.25">
      <c r="B655" s="11" t="s">
        <v>979</v>
      </c>
      <c r="C655" s="6"/>
    </row>
    <row r="656" spans="1:4" x14ac:dyDescent="0.25">
      <c r="A656" s="8" t="s">
        <v>996</v>
      </c>
      <c r="B656" s="11">
        <v>908916</v>
      </c>
      <c r="C656" s="6">
        <v>59.88</v>
      </c>
    </row>
    <row r="657" spans="1:6" x14ac:dyDescent="0.25">
      <c r="A657" s="8" t="s">
        <v>996</v>
      </c>
      <c r="B657" s="11">
        <v>219194</v>
      </c>
      <c r="C657" s="6">
        <v>22.8</v>
      </c>
    </row>
    <row r="658" spans="1:6" x14ac:dyDescent="0.25">
      <c r="A658" s="8" t="s">
        <v>996</v>
      </c>
      <c r="B658" s="11">
        <v>219196</v>
      </c>
      <c r="C658" s="6">
        <v>23.6</v>
      </c>
    </row>
    <row r="659" spans="1:6" x14ac:dyDescent="0.25">
      <c r="A659" s="8" t="s">
        <v>996</v>
      </c>
      <c r="B659" s="365" t="s">
        <v>1222</v>
      </c>
      <c r="C659" s="6">
        <f>'Oil Price'!E25</f>
        <v>24.13</v>
      </c>
    </row>
    <row r="660" spans="1:6" x14ac:dyDescent="0.25">
      <c r="A660" s="8" t="s">
        <v>996</v>
      </c>
      <c r="B660" s="11" t="s">
        <v>779</v>
      </c>
      <c r="C660" s="6">
        <v>22.2</v>
      </c>
    </row>
    <row r="661" spans="1:6" x14ac:dyDescent="0.25">
      <c r="A661" s="8" t="s">
        <v>996</v>
      </c>
      <c r="B661" s="11" t="s">
        <v>784</v>
      </c>
      <c r="C661" s="6">
        <v>34.56</v>
      </c>
    </row>
    <row r="662" spans="1:6" x14ac:dyDescent="0.25">
      <c r="A662" s="8" t="s">
        <v>996</v>
      </c>
      <c r="B662" s="11" t="s">
        <v>785</v>
      </c>
      <c r="C662" s="6">
        <v>35.81</v>
      </c>
      <c r="F662" t="s">
        <v>1010</v>
      </c>
    </row>
    <row r="663" spans="1:6" x14ac:dyDescent="0.25">
      <c r="A663" s="8" t="s">
        <v>996</v>
      </c>
      <c r="B663" s="11">
        <v>50252558</v>
      </c>
      <c r="C663" s="6">
        <v>23.2</v>
      </c>
    </row>
    <row r="664" spans="1:6" x14ac:dyDescent="0.25">
      <c r="A664" s="8" t="s">
        <v>996</v>
      </c>
      <c r="B664" s="11">
        <v>50252847</v>
      </c>
      <c r="C664" s="6">
        <v>23.2</v>
      </c>
    </row>
    <row r="665" spans="1:6" x14ac:dyDescent="0.25">
      <c r="A665" s="8" t="s">
        <v>996</v>
      </c>
      <c r="B665" s="11">
        <v>550045018</v>
      </c>
      <c r="C665" s="6">
        <v>32.85</v>
      </c>
    </row>
    <row r="666" spans="1:6" x14ac:dyDescent="0.25">
      <c r="A666" s="8" t="s">
        <v>996</v>
      </c>
      <c r="B666" s="11">
        <v>550045135</v>
      </c>
      <c r="C666" s="6">
        <v>27.85</v>
      </c>
    </row>
    <row r="667" spans="1:6" x14ac:dyDescent="0.25">
      <c r="A667" s="8" t="s">
        <v>996</v>
      </c>
      <c r="B667" s="11">
        <v>550046252</v>
      </c>
      <c r="C667" s="6">
        <v>34.18</v>
      </c>
    </row>
    <row r="668" spans="1:6" x14ac:dyDescent="0.25">
      <c r="A668" s="8" t="s">
        <v>996</v>
      </c>
      <c r="B668" s="11">
        <v>550045390</v>
      </c>
      <c r="C668" s="6">
        <v>41.35</v>
      </c>
    </row>
    <row r="669" spans="1:6" x14ac:dyDescent="0.25">
      <c r="A669" s="8" t="s">
        <v>996</v>
      </c>
      <c r="B669" s="11">
        <v>550046250</v>
      </c>
      <c r="C669" s="6">
        <v>37.17</v>
      </c>
    </row>
    <row r="670" spans="1:6" x14ac:dyDescent="0.25">
      <c r="B670" s="11" t="s">
        <v>1003</v>
      </c>
      <c r="C670" s="6"/>
    </row>
    <row r="671" spans="1:6" x14ac:dyDescent="0.25">
      <c r="A671" s="8" t="s">
        <v>1012</v>
      </c>
      <c r="B671" s="11" t="s">
        <v>1000</v>
      </c>
      <c r="C671" s="6">
        <v>6.02</v>
      </c>
    </row>
    <row r="672" spans="1:6" x14ac:dyDescent="0.25">
      <c r="A672" s="8" t="s">
        <v>1012</v>
      </c>
      <c r="B672" s="11" t="s">
        <v>1223</v>
      </c>
      <c r="C672" s="6">
        <v>5.49</v>
      </c>
      <c r="F672" t="s">
        <v>1011</v>
      </c>
    </row>
    <row r="673" spans="1:9" x14ac:dyDescent="0.25">
      <c r="A673" s="8" t="s">
        <v>1012</v>
      </c>
      <c r="B673" s="11" t="s">
        <v>1001</v>
      </c>
      <c r="C673" s="6">
        <v>8.19</v>
      </c>
    </row>
    <row r="674" spans="1:9" x14ac:dyDescent="0.25">
      <c r="A674" t="s">
        <v>428</v>
      </c>
      <c r="B674" s="3" t="s">
        <v>286</v>
      </c>
      <c r="C674" s="6">
        <v>1.97</v>
      </c>
    </row>
    <row r="675" spans="1:9" x14ac:dyDescent="0.25">
      <c r="A675" t="s">
        <v>428</v>
      </c>
      <c r="B675" s="3" t="s">
        <v>287</v>
      </c>
      <c r="C675" s="6">
        <v>2.59</v>
      </c>
    </row>
    <row r="676" spans="1:9" x14ac:dyDescent="0.25">
      <c r="A676" t="s">
        <v>428</v>
      </c>
      <c r="B676" s="3" t="s">
        <v>288</v>
      </c>
      <c r="C676" s="6">
        <v>14.75</v>
      </c>
    </row>
    <row r="677" spans="1:9" x14ac:dyDescent="0.25">
      <c r="A677" t="s">
        <v>428</v>
      </c>
      <c r="B677" s="3" t="s">
        <v>289</v>
      </c>
      <c r="C677" s="6">
        <v>9.56</v>
      </c>
    </row>
    <row r="678" spans="1:9" x14ac:dyDescent="0.25">
      <c r="A678" t="s">
        <v>428</v>
      </c>
      <c r="B678" s="3" t="s">
        <v>290</v>
      </c>
      <c r="C678" s="6">
        <v>92.5</v>
      </c>
      <c r="D678">
        <v>76.8</v>
      </c>
    </row>
    <row r="679" spans="1:9" x14ac:dyDescent="0.25">
      <c r="A679" t="s">
        <v>428</v>
      </c>
      <c r="B679" s="3" t="s">
        <v>291</v>
      </c>
      <c r="C679" s="6">
        <v>76.489999999999995</v>
      </c>
    </row>
    <row r="680" spans="1:9" x14ac:dyDescent="0.25">
      <c r="A680" t="s">
        <v>428</v>
      </c>
      <c r="B680" s="3" t="s">
        <v>292</v>
      </c>
      <c r="C680" s="6">
        <v>7.11</v>
      </c>
    </row>
    <row r="681" spans="1:9" x14ac:dyDescent="0.25">
      <c r="A681" t="s">
        <v>428</v>
      </c>
      <c r="B681" s="3" t="s">
        <v>293</v>
      </c>
      <c r="C681" s="6">
        <v>2.8</v>
      </c>
    </row>
    <row r="682" spans="1:9" x14ac:dyDescent="0.25">
      <c r="A682" t="s">
        <v>428</v>
      </c>
      <c r="B682" s="3" t="s">
        <v>294</v>
      </c>
      <c r="C682" s="6">
        <v>77.650000000000006</v>
      </c>
      <c r="D682" s="1"/>
    </row>
    <row r="683" spans="1:9" x14ac:dyDescent="0.25">
      <c r="A683" t="s">
        <v>428</v>
      </c>
      <c r="B683" s="3" t="s">
        <v>295</v>
      </c>
      <c r="C683" s="6">
        <v>269.86</v>
      </c>
      <c r="G683" t="s">
        <v>1233</v>
      </c>
      <c r="I683" s="329" t="s">
        <v>1287</v>
      </c>
    </row>
    <row r="684" spans="1:9" x14ac:dyDescent="0.25">
      <c r="A684" t="s">
        <v>428</v>
      </c>
      <c r="B684" s="3" t="s">
        <v>296</v>
      </c>
      <c r="C684" s="6">
        <v>69.06</v>
      </c>
    </row>
    <row r="685" spans="1:9" x14ac:dyDescent="0.25">
      <c r="A685" t="s">
        <v>428</v>
      </c>
      <c r="B685" s="3" t="s">
        <v>297</v>
      </c>
      <c r="C685" s="6">
        <v>20.78</v>
      </c>
    </row>
    <row r="686" spans="1:9" x14ac:dyDescent="0.25">
      <c r="A686" t="s">
        <v>428</v>
      </c>
      <c r="B686" s="3" t="s">
        <v>298</v>
      </c>
      <c r="C686" s="6">
        <v>276.54000000000002</v>
      </c>
    </row>
    <row r="687" spans="1:9" x14ac:dyDescent="0.25">
      <c r="A687" t="s">
        <v>428</v>
      </c>
      <c r="B687" s="3" t="s">
        <v>299</v>
      </c>
      <c r="C687" s="6">
        <v>201.68</v>
      </c>
    </row>
    <row r="688" spans="1:9" x14ac:dyDescent="0.25">
      <c r="A688" t="s">
        <v>428</v>
      </c>
      <c r="B688" s="3" t="s">
        <v>300</v>
      </c>
      <c r="C688" s="6">
        <v>58.99</v>
      </c>
    </row>
    <row r="689" spans="1:3" x14ac:dyDescent="0.25">
      <c r="A689" t="s">
        <v>428</v>
      </c>
      <c r="B689" s="3" t="s">
        <v>301</v>
      </c>
      <c r="C689" s="6">
        <v>76.47</v>
      </c>
    </row>
    <row r="690" spans="1:3" x14ac:dyDescent="0.25">
      <c r="A690" s="25" t="s">
        <v>428</v>
      </c>
      <c r="B690" s="3" t="s">
        <v>1115</v>
      </c>
      <c r="C690" s="6">
        <v>92.35</v>
      </c>
    </row>
    <row r="691" spans="1:3" x14ac:dyDescent="0.25">
      <c r="A691" t="s">
        <v>428</v>
      </c>
      <c r="B691" s="3" t="s">
        <v>562</v>
      </c>
      <c r="C691" s="6">
        <v>125.25</v>
      </c>
    </row>
    <row r="692" spans="1:3" x14ac:dyDescent="0.25">
      <c r="A692" t="s">
        <v>428</v>
      </c>
      <c r="B692" s="3" t="s">
        <v>917</v>
      </c>
      <c r="C692" s="6">
        <v>154.74</v>
      </c>
    </row>
    <row r="693" spans="1:3" x14ac:dyDescent="0.25">
      <c r="A693" t="s">
        <v>428</v>
      </c>
      <c r="B693" s="3" t="s">
        <v>563</v>
      </c>
      <c r="C693" s="6">
        <v>92.99</v>
      </c>
    </row>
    <row r="694" spans="1:3" x14ac:dyDescent="0.25">
      <c r="A694" t="s">
        <v>428</v>
      </c>
      <c r="B694" s="3" t="s">
        <v>1234</v>
      </c>
      <c r="C694" s="6">
        <v>269.86</v>
      </c>
    </row>
    <row r="695" spans="1:3" x14ac:dyDescent="0.25">
      <c r="A695" s="25" t="s">
        <v>428</v>
      </c>
      <c r="B695" s="3" t="s">
        <v>1116</v>
      </c>
      <c r="C695" s="6">
        <v>111.54</v>
      </c>
    </row>
    <row r="696" spans="1:3" x14ac:dyDescent="0.25">
      <c r="A696" t="s">
        <v>428</v>
      </c>
      <c r="B696" s="3" t="s">
        <v>302</v>
      </c>
      <c r="C696" s="6">
        <v>171.16</v>
      </c>
    </row>
    <row r="697" spans="1:3" x14ac:dyDescent="0.25">
      <c r="A697" t="s">
        <v>428</v>
      </c>
      <c r="B697" s="3" t="s">
        <v>1168</v>
      </c>
      <c r="C697" s="6">
        <v>57.99</v>
      </c>
    </row>
    <row r="698" spans="1:3" x14ac:dyDescent="0.25">
      <c r="A698" t="s">
        <v>428</v>
      </c>
      <c r="B698" s="3" t="s">
        <v>303</v>
      </c>
      <c r="C698" s="6">
        <v>54.65</v>
      </c>
    </row>
    <row r="699" spans="1:3" x14ac:dyDescent="0.25">
      <c r="A699" t="s">
        <v>428</v>
      </c>
      <c r="B699" s="3" t="s">
        <v>564</v>
      </c>
      <c r="C699" s="6">
        <v>23.97</v>
      </c>
    </row>
    <row r="700" spans="1:3" x14ac:dyDescent="0.25">
      <c r="A700" t="s">
        <v>428</v>
      </c>
      <c r="B700" s="3" t="s">
        <v>304</v>
      </c>
      <c r="C700" s="361">
        <v>64.5</v>
      </c>
    </row>
    <row r="701" spans="1:3" x14ac:dyDescent="0.25">
      <c r="A701" t="s">
        <v>428</v>
      </c>
      <c r="B701" s="3" t="s">
        <v>305</v>
      </c>
      <c r="C701" s="6">
        <v>62.32</v>
      </c>
    </row>
    <row r="702" spans="1:3" x14ac:dyDescent="0.25">
      <c r="A702" t="s">
        <v>428</v>
      </c>
      <c r="B702" s="3" t="s">
        <v>306</v>
      </c>
      <c r="C702" s="6">
        <v>64.63</v>
      </c>
    </row>
    <row r="703" spans="1:3" x14ac:dyDescent="0.25">
      <c r="A703" t="s">
        <v>428</v>
      </c>
      <c r="B703" s="3" t="s">
        <v>307</v>
      </c>
      <c r="C703" s="361">
        <v>64</v>
      </c>
    </row>
    <row r="704" spans="1:3" x14ac:dyDescent="0.25">
      <c r="A704" t="s">
        <v>428</v>
      </c>
      <c r="B704" s="3" t="s">
        <v>1113</v>
      </c>
      <c r="C704" s="6">
        <v>14.57</v>
      </c>
    </row>
    <row r="705" spans="1:3" x14ac:dyDescent="0.25">
      <c r="A705" t="s">
        <v>428</v>
      </c>
      <c r="B705" s="3" t="s">
        <v>1111</v>
      </c>
      <c r="C705" s="6">
        <v>114.51</v>
      </c>
    </row>
    <row r="706" spans="1:3" x14ac:dyDescent="0.25">
      <c r="A706" t="s">
        <v>428</v>
      </c>
      <c r="B706" s="3" t="s">
        <v>308</v>
      </c>
      <c r="C706" s="469">
        <v>136.34</v>
      </c>
    </row>
    <row r="707" spans="1:3" x14ac:dyDescent="0.25">
      <c r="A707" t="s">
        <v>428</v>
      </c>
      <c r="B707" s="3" t="s">
        <v>1291</v>
      </c>
      <c r="C707" s="6">
        <v>45.76</v>
      </c>
    </row>
    <row r="708" spans="1:3" x14ac:dyDescent="0.25">
      <c r="A708" t="s">
        <v>855</v>
      </c>
      <c r="B708" s="5">
        <v>75130</v>
      </c>
      <c r="C708" s="6">
        <v>12.11</v>
      </c>
    </row>
    <row r="709" spans="1:3" x14ac:dyDescent="0.25">
      <c r="A709" t="s">
        <v>855</v>
      </c>
      <c r="B709" s="5" t="s">
        <v>856</v>
      </c>
      <c r="C709" s="6">
        <v>37.65</v>
      </c>
    </row>
    <row r="710" spans="1:3" x14ac:dyDescent="0.25">
      <c r="A710" t="s">
        <v>855</v>
      </c>
      <c r="B710" s="5" t="s">
        <v>857</v>
      </c>
      <c r="C710" s="6">
        <v>37.65</v>
      </c>
    </row>
    <row r="711" spans="1:3" x14ac:dyDescent="0.25">
      <c r="A711" t="s">
        <v>855</v>
      </c>
      <c r="B711" s="5" t="s">
        <v>1062</v>
      </c>
      <c r="C711" s="6">
        <v>90.6</v>
      </c>
    </row>
    <row r="712" spans="1:3" x14ac:dyDescent="0.25">
      <c r="A712" t="s">
        <v>855</v>
      </c>
      <c r="B712" s="5" t="s">
        <v>858</v>
      </c>
      <c r="C712" s="6">
        <v>37.65</v>
      </c>
    </row>
    <row r="713" spans="1:3" x14ac:dyDescent="0.25">
      <c r="A713" t="s">
        <v>855</v>
      </c>
      <c r="B713" s="5" t="s">
        <v>859</v>
      </c>
      <c r="C713" s="6">
        <v>37.65</v>
      </c>
    </row>
    <row r="714" spans="1:3" x14ac:dyDescent="0.25">
      <c r="A714" t="s">
        <v>855</v>
      </c>
      <c r="B714" s="5" t="s">
        <v>860</v>
      </c>
      <c r="C714" s="6">
        <v>37.65</v>
      </c>
    </row>
    <row r="715" spans="1:3" x14ac:dyDescent="0.25">
      <c r="A715" t="s">
        <v>855</v>
      </c>
      <c r="B715" s="5" t="s">
        <v>861</v>
      </c>
      <c r="C715" s="6">
        <v>37.65</v>
      </c>
    </row>
    <row r="716" spans="1:3" x14ac:dyDescent="0.25">
      <c r="A716" t="s">
        <v>855</v>
      </c>
      <c r="B716" s="5" t="s">
        <v>862</v>
      </c>
      <c r="C716" s="6">
        <v>37.65</v>
      </c>
    </row>
    <row r="717" spans="1:3" x14ac:dyDescent="0.25">
      <c r="A717" t="s">
        <v>855</v>
      </c>
      <c r="B717" s="5" t="s">
        <v>863</v>
      </c>
      <c r="C717" s="6">
        <v>37.65</v>
      </c>
    </row>
    <row r="718" spans="1:3" x14ac:dyDescent="0.25">
      <c r="A718" t="s">
        <v>855</v>
      </c>
      <c r="B718" s="5" t="s">
        <v>864</v>
      </c>
      <c r="C718" s="6">
        <v>37.65</v>
      </c>
    </row>
    <row r="719" spans="1:3" x14ac:dyDescent="0.25">
      <c r="A719" t="s">
        <v>855</v>
      </c>
      <c r="B719" s="5">
        <v>1002</v>
      </c>
      <c r="C719" s="6">
        <v>13.57</v>
      </c>
    </row>
    <row r="720" spans="1:3" x14ac:dyDescent="0.25">
      <c r="A720" t="s">
        <v>855</v>
      </c>
      <c r="B720" s="5">
        <v>1004</v>
      </c>
      <c r="C720" s="6">
        <v>23.82</v>
      </c>
    </row>
    <row r="721" spans="1:6" x14ac:dyDescent="0.25">
      <c r="A721" t="s">
        <v>855</v>
      </c>
      <c r="B721" s="5">
        <v>1020</v>
      </c>
      <c r="C721" s="6">
        <v>5.48</v>
      </c>
    </row>
    <row r="722" spans="1:6" x14ac:dyDescent="0.25">
      <c r="A722" t="s">
        <v>855</v>
      </c>
      <c r="B722" s="5" t="s">
        <v>865</v>
      </c>
      <c r="C722" s="6"/>
    </row>
    <row r="723" spans="1:6" x14ac:dyDescent="0.25">
      <c r="A723" t="s">
        <v>855</v>
      </c>
      <c r="B723" s="5" t="s">
        <v>866</v>
      </c>
      <c r="C723" s="6">
        <v>5.25</v>
      </c>
    </row>
    <row r="724" spans="1:6" x14ac:dyDescent="0.25">
      <c r="A724" t="s">
        <v>855</v>
      </c>
      <c r="B724" s="5" t="s">
        <v>1224</v>
      </c>
      <c r="C724" s="6">
        <f>C723+4</f>
        <v>9.25</v>
      </c>
    </row>
    <row r="725" spans="1:6" x14ac:dyDescent="0.25">
      <c r="A725" t="s">
        <v>855</v>
      </c>
      <c r="B725" s="5" t="s">
        <v>607</v>
      </c>
      <c r="C725" s="6">
        <v>37.65</v>
      </c>
    </row>
    <row r="726" spans="1:6" x14ac:dyDescent="0.25">
      <c r="A726" t="s">
        <v>855</v>
      </c>
      <c r="B726" s="5">
        <v>20571854</v>
      </c>
      <c r="C726" s="6">
        <v>36.68</v>
      </c>
    </row>
    <row r="727" spans="1:6" x14ac:dyDescent="0.25">
      <c r="A727" t="s">
        <v>855</v>
      </c>
      <c r="B727" s="5">
        <v>20706141</v>
      </c>
      <c r="C727" s="6">
        <v>10.029999999999999</v>
      </c>
      <c r="E727">
        <v>3.17</v>
      </c>
      <c r="F727" t="s">
        <v>1276</v>
      </c>
    </row>
    <row r="728" spans="1:6" x14ac:dyDescent="0.25">
      <c r="A728" t="s">
        <v>855</v>
      </c>
      <c r="B728" s="5">
        <v>21540428</v>
      </c>
      <c r="C728" s="6">
        <v>36.880000000000003</v>
      </c>
      <c r="E728" t="s">
        <v>1065</v>
      </c>
    </row>
    <row r="729" spans="1:6" x14ac:dyDescent="0.25">
      <c r="A729" t="s">
        <v>855</v>
      </c>
      <c r="B729" s="5">
        <v>3055069</v>
      </c>
      <c r="C729" s="6">
        <v>37.700000000000003</v>
      </c>
    </row>
    <row r="730" spans="1:6" x14ac:dyDescent="0.25">
      <c r="A730" t="s">
        <v>855</v>
      </c>
      <c r="B730" s="5" t="s">
        <v>1226</v>
      </c>
      <c r="C730" s="6">
        <v>13.66</v>
      </c>
    </row>
    <row r="731" spans="1:6" x14ac:dyDescent="0.25">
      <c r="A731" t="s">
        <v>855</v>
      </c>
      <c r="B731" s="5" t="s">
        <v>867</v>
      </c>
      <c r="C731" s="6"/>
    </row>
    <row r="732" spans="1:6" x14ac:dyDescent="0.25">
      <c r="A732" t="s">
        <v>855</v>
      </c>
      <c r="B732" s="5" t="s">
        <v>868</v>
      </c>
      <c r="C732" s="6"/>
    </row>
    <row r="733" spans="1:6" x14ac:dyDescent="0.25">
      <c r="A733" t="s">
        <v>855</v>
      </c>
      <c r="B733" s="5">
        <v>3678606</v>
      </c>
      <c r="C733" s="6"/>
    </row>
    <row r="734" spans="1:6" x14ac:dyDescent="0.25">
      <c r="A734" t="s">
        <v>855</v>
      </c>
      <c r="B734" s="5">
        <v>39220773</v>
      </c>
      <c r="C734" s="6">
        <v>4.79</v>
      </c>
    </row>
    <row r="735" spans="1:6" x14ac:dyDescent="0.25">
      <c r="A735" t="s">
        <v>855</v>
      </c>
      <c r="B735" s="5">
        <v>3924147</v>
      </c>
      <c r="C735" s="6">
        <v>17.54</v>
      </c>
    </row>
    <row r="736" spans="1:6" x14ac:dyDescent="0.25">
      <c r="A736" t="s">
        <v>855</v>
      </c>
      <c r="B736" s="5">
        <v>3947334</v>
      </c>
      <c r="C736" s="6">
        <v>12.48</v>
      </c>
    </row>
    <row r="737" spans="1:3" x14ac:dyDescent="0.25">
      <c r="A737" t="s">
        <v>855</v>
      </c>
      <c r="B737" s="5" t="s">
        <v>869</v>
      </c>
      <c r="C737" s="6">
        <v>17.61</v>
      </c>
    </row>
    <row r="738" spans="1:3" x14ac:dyDescent="0.25">
      <c r="A738" t="s">
        <v>855</v>
      </c>
      <c r="B738" s="5" t="s">
        <v>870</v>
      </c>
      <c r="C738" s="6">
        <v>37.65</v>
      </c>
    </row>
    <row r="739" spans="1:3" x14ac:dyDescent="0.25">
      <c r="A739" t="s">
        <v>855</v>
      </c>
      <c r="B739" s="5">
        <v>4304023</v>
      </c>
      <c r="C739" s="6">
        <v>18.920000000000002</v>
      </c>
    </row>
    <row r="740" spans="1:3" x14ac:dyDescent="0.25">
      <c r="A740" t="s">
        <v>855</v>
      </c>
      <c r="B740" s="5">
        <v>4331268</v>
      </c>
      <c r="C740" s="6">
        <v>32</v>
      </c>
    </row>
    <row r="741" spans="1:3" x14ac:dyDescent="0.25">
      <c r="A741" t="s">
        <v>855</v>
      </c>
      <c r="B741" s="5">
        <v>4926565</v>
      </c>
      <c r="C741" s="6">
        <v>76.17</v>
      </c>
    </row>
    <row r="742" spans="1:3" x14ac:dyDescent="0.25">
      <c r="A742" t="s">
        <v>855</v>
      </c>
      <c r="B742" s="5" t="s">
        <v>874</v>
      </c>
      <c r="C742" s="6">
        <v>37.65</v>
      </c>
    </row>
    <row r="743" spans="1:3" x14ac:dyDescent="0.25">
      <c r="A743" t="s">
        <v>855</v>
      </c>
      <c r="B743" s="5">
        <v>5528109</v>
      </c>
      <c r="C743" s="6">
        <v>13.57</v>
      </c>
    </row>
    <row r="744" spans="1:3" x14ac:dyDescent="0.25">
      <c r="A744" t="s">
        <v>855</v>
      </c>
      <c r="B744" s="5">
        <v>5658178</v>
      </c>
      <c r="C744" s="6">
        <v>2.77</v>
      </c>
    </row>
    <row r="745" spans="1:3" x14ac:dyDescent="0.25">
      <c r="A745" t="s">
        <v>855</v>
      </c>
      <c r="B745" s="5">
        <v>6080020123</v>
      </c>
      <c r="C745" s="6">
        <v>28</v>
      </c>
    </row>
    <row r="746" spans="1:3" x14ac:dyDescent="0.25">
      <c r="A746" t="s">
        <v>855</v>
      </c>
      <c r="B746" s="5">
        <v>6090020040</v>
      </c>
      <c r="C746" s="6">
        <v>28</v>
      </c>
    </row>
    <row r="747" spans="1:3" x14ac:dyDescent="0.25">
      <c r="A747" t="s">
        <v>855</v>
      </c>
      <c r="B747" s="5">
        <v>6090020055</v>
      </c>
      <c r="C747" s="6">
        <v>28</v>
      </c>
    </row>
    <row r="748" spans="1:3" x14ac:dyDescent="0.25">
      <c r="A748" t="s">
        <v>855</v>
      </c>
      <c r="B748" s="5">
        <v>6090020063</v>
      </c>
      <c r="C748" s="6">
        <v>28</v>
      </c>
    </row>
    <row r="749" spans="1:3" x14ac:dyDescent="0.25">
      <c r="A749" t="s">
        <v>855</v>
      </c>
      <c r="B749" s="5">
        <v>6090020070</v>
      </c>
      <c r="C749" s="6">
        <v>28</v>
      </c>
    </row>
    <row r="750" spans="1:3" x14ac:dyDescent="0.25">
      <c r="A750" t="s">
        <v>855</v>
      </c>
      <c r="B750" s="5">
        <v>6090020071</v>
      </c>
      <c r="C750" s="6">
        <v>28</v>
      </c>
    </row>
    <row r="751" spans="1:3" x14ac:dyDescent="0.25">
      <c r="A751" t="s">
        <v>855</v>
      </c>
      <c r="B751" s="5">
        <v>650103</v>
      </c>
      <c r="C751" s="6"/>
    </row>
    <row r="752" spans="1:3" x14ac:dyDescent="0.25">
      <c r="A752" t="s">
        <v>855</v>
      </c>
      <c r="B752" s="5">
        <v>67946</v>
      </c>
      <c r="C752" s="6">
        <v>9</v>
      </c>
    </row>
    <row r="753" spans="1:3" x14ac:dyDescent="0.25">
      <c r="A753" t="s">
        <v>855</v>
      </c>
      <c r="B753" s="5" t="s">
        <v>1277</v>
      </c>
      <c r="C753" s="6">
        <v>1.1000000000000001</v>
      </c>
    </row>
    <row r="754" spans="1:3" x14ac:dyDescent="0.25">
      <c r="A754" t="s">
        <v>855</v>
      </c>
      <c r="B754" s="5" t="s">
        <v>875</v>
      </c>
      <c r="C754" s="6"/>
    </row>
    <row r="755" spans="1:3" x14ac:dyDescent="0.25">
      <c r="A755" t="s">
        <v>855</v>
      </c>
      <c r="B755" s="5" t="s">
        <v>876</v>
      </c>
      <c r="C755" s="6"/>
    </row>
    <row r="756" spans="1:3" x14ac:dyDescent="0.25">
      <c r="A756" t="s">
        <v>855</v>
      </c>
      <c r="B756" s="5" t="s">
        <v>877</v>
      </c>
      <c r="C756" s="6"/>
    </row>
    <row r="757" spans="1:3" x14ac:dyDescent="0.25">
      <c r="A757" t="s">
        <v>855</v>
      </c>
      <c r="B757" s="5" t="s">
        <v>878</v>
      </c>
      <c r="C757" s="6"/>
    </row>
    <row r="758" spans="1:3" x14ac:dyDescent="0.25">
      <c r="A758" t="s">
        <v>855</v>
      </c>
      <c r="B758" s="5" t="s">
        <v>879</v>
      </c>
      <c r="C758" s="6"/>
    </row>
    <row r="759" spans="1:3" x14ac:dyDescent="0.25">
      <c r="A759" t="s">
        <v>855</v>
      </c>
      <c r="B759" s="5" t="s">
        <v>1166</v>
      </c>
      <c r="C759" s="6">
        <v>10.88</v>
      </c>
    </row>
    <row r="760" spans="1:3" x14ac:dyDescent="0.25">
      <c r="A760" t="s">
        <v>855</v>
      </c>
      <c r="B760" s="5" t="s">
        <v>880</v>
      </c>
      <c r="C760" s="6"/>
    </row>
    <row r="761" spans="1:3" x14ac:dyDescent="0.25">
      <c r="A761" t="s">
        <v>855</v>
      </c>
      <c r="B761" s="5" t="s">
        <v>881</v>
      </c>
      <c r="C761" s="6"/>
    </row>
    <row r="762" spans="1:3" x14ac:dyDescent="0.25">
      <c r="A762" t="s">
        <v>855</v>
      </c>
      <c r="B762" s="5" t="s">
        <v>882</v>
      </c>
      <c r="C762" s="6"/>
    </row>
    <row r="763" spans="1:3" x14ac:dyDescent="0.25">
      <c r="A763" t="s">
        <v>855</v>
      </c>
      <c r="B763" s="5" t="s">
        <v>883</v>
      </c>
      <c r="C763" s="6"/>
    </row>
    <row r="764" spans="1:3" x14ac:dyDescent="0.25">
      <c r="A764" t="s">
        <v>855</v>
      </c>
      <c r="B764" s="5" t="s">
        <v>884</v>
      </c>
      <c r="C764" s="6"/>
    </row>
    <row r="765" spans="1:3" x14ac:dyDescent="0.25">
      <c r="A765" t="s">
        <v>855</v>
      </c>
      <c r="B765" s="5" t="s">
        <v>885</v>
      </c>
      <c r="C765" s="6"/>
    </row>
    <row r="766" spans="1:3" x14ac:dyDescent="0.25">
      <c r="A766" t="s">
        <v>855</v>
      </c>
      <c r="B766" s="5" t="s">
        <v>886</v>
      </c>
      <c r="C766" s="6">
        <v>7.9</v>
      </c>
    </row>
    <row r="767" spans="1:3" x14ac:dyDescent="0.25">
      <c r="A767" t="s">
        <v>855</v>
      </c>
      <c r="B767" s="5" t="s">
        <v>887</v>
      </c>
      <c r="C767" s="6"/>
    </row>
    <row r="768" spans="1:3" x14ac:dyDescent="0.25">
      <c r="A768" t="s">
        <v>855</v>
      </c>
      <c r="B768" s="5" t="s">
        <v>888</v>
      </c>
      <c r="C768" s="6"/>
    </row>
    <row r="769" spans="1:11" x14ac:dyDescent="0.25">
      <c r="A769" t="s">
        <v>855</v>
      </c>
      <c r="B769" s="5" t="s">
        <v>889</v>
      </c>
      <c r="C769" s="6">
        <v>4.0999999999999996</v>
      </c>
    </row>
    <row r="770" spans="1:11" x14ac:dyDescent="0.25">
      <c r="A770" t="s">
        <v>855</v>
      </c>
      <c r="B770" s="5" t="s">
        <v>890</v>
      </c>
      <c r="C770" s="6">
        <v>1.46</v>
      </c>
    </row>
    <row r="771" spans="1:11" x14ac:dyDescent="0.25">
      <c r="A771" t="s">
        <v>855</v>
      </c>
      <c r="B771" s="5" t="s">
        <v>891</v>
      </c>
      <c r="C771" s="361">
        <v>16.47</v>
      </c>
    </row>
    <row r="772" spans="1:11" x14ac:dyDescent="0.25">
      <c r="A772" t="s">
        <v>855</v>
      </c>
      <c r="B772" s="5" t="s">
        <v>892</v>
      </c>
      <c r="C772" s="361">
        <v>7.52</v>
      </c>
    </row>
    <row r="773" spans="1:11" x14ac:dyDescent="0.25">
      <c r="A773" t="s">
        <v>855</v>
      </c>
      <c r="B773" s="5" t="s">
        <v>893</v>
      </c>
      <c r="C773" s="6">
        <v>61.83</v>
      </c>
    </row>
    <row r="774" spans="1:11" x14ac:dyDescent="0.25">
      <c r="A774" t="s">
        <v>855</v>
      </c>
      <c r="B774" s="5" t="s">
        <v>957</v>
      </c>
      <c r="C774" s="6">
        <v>73.680000000000007</v>
      </c>
    </row>
    <row r="775" spans="1:11" x14ac:dyDescent="0.25">
      <c r="A775" t="s">
        <v>855</v>
      </c>
      <c r="B775" s="5" t="s">
        <v>894</v>
      </c>
      <c r="C775" s="6">
        <v>3.45</v>
      </c>
    </row>
    <row r="776" spans="1:11" x14ac:dyDescent="0.25">
      <c r="A776" t="s">
        <v>855</v>
      </c>
      <c r="B776" s="5" t="s">
        <v>895</v>
      </c>
      <c r="C776" s="6">
        <v>11.65</v>
      </c>
    </row>
    <row r="777" spans="1:11" x14ac:dyDescent="0.25">
      <c r="A777" t="s">
        <v>855</v>
      </c>
      <c r="B777" s="5" t="s">
        <v>896</v>
      </c>
      <c r="C777" s="6">
        <v>2.4900000000000002</v>
      </c>
    </row>
    <row r="778" spans="1:11" x14ac:dyDescent="0.25">
      <c r="A778" t="s">
        <v>855</v>
      </c>
      <c r="B778" s="5" t="s">
        <v>897</v>
      </c>
      <c r="C778" s="6">
        <v>3.39</v>
      </c>
      <c r="I778" t="s">
        <v>1198</v>
      </c>
      <c r="J778" t="s">
        <v>1197</v>
      </c>
    </row>
    <row r="779" spans="1:11" x14ac:dyDescent="0.25">
      <c r="A779" t="s">
        <v>429</v>
      </c>
      <c r="B779" s="4">
        <v>20395028</v>
      </c>
      <c r="C779" s="6">
        <v>10.48</v>
      </c>
      <c r="I779" s="1">
        <f>C779-J779</f>
        <v>0</v>
      </c>
      <c r="J779" s="1">
        <v>10.48</v>
      </c>
      <c r="K779" s="1"/>
    </row>
    <row r="780" spans="1:11" x14ac:dyDescent="0.25">
      <c r="A780" t="s">
        <v>429</v>
      </c>
      <c r="B780" s="4">
        <v>20395034</v>
      </c>
      <c r="C780" s="6">
        <v>13.51</v>
      </c>
      <c r="I780" s="1">
        <f t="shared" ref="I780:I819" si="30">C780-J780</f>
        <v>0</v>
      </c>
      <c r="J780" s="1">
        <v>13.51</v>
      </c>
      <c r="K780" s="1"/>
    </row>
    <row r="781" spans="1:11" x14ac:dyDescent="0.25">
      <c r="A781" t="s">
        <v>429</v>
      </c>
      <c r="B781" s="4">
        <v>20395038</v>
      </c>
      <c r="C781" s="6">
        <v>18.38</v>
      </c>
      <c r="I781" s="1">
        <f t="shared" si="30"/>
        <v>0</v>
      </c>
      <c r="J781" s="1">
        <v>18.38</v>
      </c>
      <c r="K781" s="1"/>
    </row>
    <row r="782" spans="1:11" x14ac:dyDescent="0.25">
      <c r="A782" t="s">
        <v>429</v>
      </c>
      <c r="B782" s="4">
        <v>20440935</v>
      </c>
      <c r="C782" s="6">
        <v>5.65</v>
      </c>
      <c r="I782" s="1">
        <f t="shared" si="30"/>
        <v>0</v>
      </c>
      <c r="J782" s="1">
        <v>5.65</v>
      </c>
      <c r="K782" s="1"/>
    </row>
    <row r="783" spans="1:11" x14ac:dyDescent="0.25">
      <c r="A783" t="s">
        <v>429</v>
      </c>
      <c r="B783" s="4">
        <v>20514654</v>
      </c>
      <c r="C783" s="6">
        <v>52.39</v>
      </c>
      <c r="G783" t="s">
        <v>849</v>
      </c>
      <c r="I783" s="1">
        <f t="shared" si="30"/>
        <v>0</v>
      </c>
      <c r="J783" s="1">
        <v>52.39</v>
      </c>
      <c r="K783" s="1"/>
    </row>
    <row r="784" spans="1:11" x14ac:dyDescent="0.25">
      <c r="A784" t="s">
        <v>429</v>
      </c>
      <c r="B784" s="4">
        <v>20579690</v>
      </c>
      <c r="C784" s="6">
        <v>7.82</v>
      </c>
      <c r="I784" s="1">
        <f t="shared" si="30"/>
        <v>0</v>
      </c>
      <c r="J784" s="1">
        <v>7.82</v>
      </c>
      <c r="K784" s="1"/>
    </row>
    <row r="785" spans="1:16" x14ac:dyDescent="0.25">
      <c r="A785" t="s">
        <v>429</v>
      </c>
      <c r="B785" s="4">
        <v>20807510</v>
      </c>
      <c r="C785" s="6">
        <v>27.5</v>
      </c>
      <c r="I785" s="1">
        <f t="shared" si="30"/>
        <v>0</v>
      </c>
      <c r="J785" s="1">
        <v>27.5</v>
      </c>
      <c r="K785" s="1"/>
    </row>
    <row r="786" spans="1:16" x14ac:dyDescent="0.25">
      <c r="A786" t="s">
        <v>429</v>
      </c>
      <c r="B786" s="4">
        <v>20998367</v>
      </c>
      <c r="C786" s="6">
        <v>68.430000000000007</v>
      </c>
      <c r="I786" s="1">
        <f t="shared" si="30"/>
        <v>16.040000000000006</v>
      </c>
      <c r="J786" s="1">
        <v>52.39</v>
      </c>
      <c r="K786" s="1"/>
    </row>
    <row r="787" spans="1:16" x14ac:dyDescent="0.25">
      <c r="A787" t="s">
        <v>429</v>
      </c>
      <c r="B787" s="4">
        <v>21053162</v>
      </c>
      <c r="C787" s="6">
        <v>42.74</v>
      </c>
      <c r="I787" s="1">
        <f t="shared" si="30"/>
        <v>0</v>
      </c>
      <c r="J787" s="1">
        <v>42.74</v>
      </c>
      <c r="K787" s="1"/>
    </row>
    <row r="788" spans="1:16" x14ac:dyDescent="0.25">
      <c r="A788" t="s">
        <v>429</v>
      </c>
      <c r="B788" s="4">
        <v>21376707</v>
      </c>
      <c r="C788" s="6">
        <v>83.21</v>
      </c>
      <c r="I788" s="1">
        <f t="shared" si="30"/>
        <v>0</v>
      </c>
      <c r="J788" s="1">
        <v>83.21</v>
      </c>
      <c r="K788" s="1"/>
      <c r="L788" t="s">
        <v>1237</v>
      </c>
    </row>
    <row r="789" spans="1:16" x14ac:dyDescent="0.25">
      <c r="A789" t="s">
        <v>429</v>
      </c>
      <c r="B789" s="4">
        <v>21380475</v>
      </c>
      <c r="C789" s="6">
        <v>49.72</v>
      </c>
      <c r="G789" t="s">
        <v>850</v>
      </c>
      <c r="I789" s="1">
        <f t="shared" si="30"/>
        <v>8.5600000000000023</v>
      </c>
      <c r="J789" s="1">
        <v>41.16</v>
      </c>
      <c r="K789" s="1"/>
      <c r="N789" s="360">
        <v>31.49</v>
      </c>
      <c r="P789" s="1">
        <f>N789-C789</f>
        <v>-18.23</v>
      </c>
    </row>
    <row r="790" spans="1:16" x14ac:dyDescent="0.25">
      <c r="A790" t="s">
        <v>429</v>
      </c>
      <c r="B790" s="4">
        <v>21707132</v>
      </c>
      <c r="C790" s="6">
        <v>45.24</v>
      </c>
      <c r="I790" s="1">
        <f t="shared" si="30"/>
        <v>0.92000000000000171</v>
      </c>
      <c r="J790" s="1">
        <v>44.32</v>
      </c>
      <c r="K790" s="1"/>
      <c r="N790" s="360">
        <v>29.68</v>
      </c>
      <c r="P790" s="1">
        <f t="shared" ref="P790:P802" si="31">N790-C790</f>
        <v>-15.560000000000002</v>
      </c>
    </row>
    <row r="791" spans="1:16" x14ac:dyDescent="0.25">
      <c r="A791" t="s">
        <v>429</v>
      </c>
      <c r="B791" s="4">
        <v>21707133</v>
      </c>
      <c r="C791" s="6">
        <v>20.07</v>
      </c>
      <c r="I791" s="1">
        <f t="shared" si="30"/>
        <v>0</v>
      </c>
      <c r="J791" s="1">
        <v>20.07</v>
      </c>
      <c r="K791" s="1"/>
      <c r="P791" s="1"/>
    </row>
    <row r="792" spans="1:16" x14ac:dyDescent="0.25">
      <c r="A792" t="s">
        <v>429</v>
      </c>
      <c r="B792" s="4">
        <v>21737499</v>
      </c>
      <c r="C792" s="6">
        <v>50.02</v>
      </c>
      <c r="G792" t="s">
        <v>1192</v>
      </c>
      <c r="I792" s="1">
        <f t="shared" si="30"/>
        <v>1.6000000000000014</v>
      </c>
      <c r="J792" s="1">
        <v>48.42</v>
      </c>
      <c r="K792" s="1"/>
      <c r="N792" s="360">
        <v>44.19</v>
      </c>
      <c r="P792" s="1">
        <f t="shared" si="31"/>
        <v>-5.8300000000000054</v>
      </c>
    </row>
    <row r="793" spans="1:16" x14ac:dyDescent="0.25">
      <c r="A793" t="s">
        <v>429</v>
      </c>
      <c r="B793" s="4">
        <v>21937327</v>
      </c>
      <c r="C793" s="6">
        <v>20.89</v>
      </c>
      <c r="I793" s="1">
        <f t="shared" si="30"/>
        <v>2.620000000000001</v>
      </c>
      <c r="J793" s="1">
        <v>18.27</v>
      </c>
      <c r="K793" s="1"/>
      <c r="N793" s="329">
        <v>26.39</v>
      </c>
      <c r="P793" s="1">
        <f t="shared" si="31"/>
        <v>5.5</v>
      </c>
    </row>
    <row r="794" spans="1:16" x14ac:dyDescent="0.25">
      <c r="A794" t="s">
        <v>429</v>
      </c>
      <c r="B794" s="4">
        <v>22474709</v>
      </c>
      <c r="C794" s="6">
        <v>44.86</v>
      </c>
      <c r="I794" s="1">
        <f t="shared" si="30"/>
        <v>0</v>
      </c>
      <c r="J794" s="1">
        <v>44.86</v>
      </c>
      <c r="K794" s="1"/>
      <c r="P794" s="1"/>
    </row>
    <row r="795" spans="1:16" x14ac:dyDescent="0.25">
      <c r="A795" t="s">
        <v>429</v>
      </c>
      <c r="B795" s="4">
        <v>22480372</v>
      </c>
      <c r="C795" s="6">
        <v>37.99</v>
      </c>
      <c r="I795" s="1">
        <f t="shared" si="30"/>
        <v>0.35999999999999943</v>
      </c>
      <c r="J795" s="1">
        <v>37.630000000000003</v>
      </c>
      <c r="K795" s="1"/>
      <c r="P795" s="1"/>
    </row>
    <row r="796" spans="1:16" x14ac:dyDescent="0.25">
      <c r="A796" t="s">
        <v>429</v>
      </c>
      <c r="B796" s="4">
        <v>23151592</v>
      </c>
      <c r="C796" s="6">
        <v>29.01</v>
      </c>
      <c r="I796" s="1">
        <f t="shared" si="30"/>
        <v>4.5500000000000007</v>
      </c>
      <c r="J796" s="1">
        <v>24.46</v>
      </c>
      <c r="K796" s="1"/>
      <c r="N796" s="329">
        <v>31.86</v>
      </c>
      <c r="P796" s="1">
        <f t="shared" si="31"/>
        <v>2.8499999999999979</v>
      </c>
    </row>
    <row r="797" spans="1:16" x14ac:dyDescent="0.25">
      <c r="A797" t="s">
        <v>429</v>
      </c>
      <c r="B797" s="4">
        <v>23381562</v>
      </c>
      <c r="C797" s="6">
        <v>146.81</v>
      </c>
      <c r="G797" t="s">
        <v>851</v>
      </c>
      <c r="I797" s="1">
        <f t="shared" si="30"/>
        <v>12.240000000000009</v>
      </c>
      <c r="J797" s="1">
        <v>134.57</v>
      </c>
      <c r="K797" s="1"/>
      <c r="P797" s="1"/>
    </row>
    <row r="798" spans="1:16" x14ac:dyDescent="0.25">
      <c r="A798" t="s">
        <v>429</v>
      </c>
      <c r="B798" s="4">
        <v>23658092</v>
      </c>
      <c r="C798" s="6">
        <v>29.24</v>
      </c>
      <c r="I798" s="1">
        <f t="shared" si="30"/>
        <v>2.389999999999997</v>
      </c>
      <c r="J798" s="1">
        <v>26.85</v>
      </c>
      <c r="K798" s="1"/>
      <c r="N798">
        <v>24.99</v>
      </c>
      <c r="P798" s="1">
        <f t="shared" si="31"/>
        <v>-4.25</v>
      </c>
    </row>
    <row r="799" spans="1:16" x14ac:dyDescent="0.25">
      <c r="A799" t="s">
        <v>429</v>
      </c>
      <c r="B799" s="4">
        <v>23880047</v>
      </c>
      <c r="C799" s="6">
        <v>66.38</v>
      </c>
      <c r="G799" t="s">
        <v>1072</v>
      </c>
      <c r="I799" s="1">
        <f t="shared" si="30"/>
        <v>0</v>
      </c>
      <c r="J799" s="1">
        <v>66.38</v>
      </c>
      <c r="K799" s="1"/>
      <c r="N799" s="360">
        <v>40.380000000000003</v>
      </c>
      <c r="P799" s="1">
        <f t="shared" si="31"/>
        <v>-25.999999999999993</v>
      </c>
    </row>
    <row r="800" spans="1:16" x14ac:dyDescent="0.25">
      <c r="A800" t="s">
        <v>429</v>
      </c>
      <c r="B800" s="4">
        <v>23920469</v>
      </c>
      <c r="C800" s="6">
        <v>62.57</v>
      </c>
      <c r="I800" s="1">
        <f t="shared" si="30"/>
        <v>9.1199999999999974</v>
      </c>
      <c r="J800" s="1">
        <v>53.45</v>
      </c>
      <c r="K800" s="1"/>
      <c r="N800" s="360">
        <v>44.65</v>
      </c>
      <c r="P800" s="1">
        <f t="shared" si="31"/>
        <v>-17.920000000000002</v>
      </c>
    </row>
    <row r="801" spans="1:16" x14ac:dyDescent="0.25">
      <c r="A801" t="s">
        <v>429</v>
      </c>
      <c r="B801" s="4">
        <v>24008818</v>
      </c>
      <c r="C801" s="6">
        <v>47.63</v>
      </c>
      <c r="E801" t="s">
        <v>1165</v>
      </c>
      <c r="I801" s="1">
        <f t="shared" si="30"/>
        <v>0</v>
      </c>
      <c r="J801" s="1">
        <v>47.63</v>
      </c>
      <c r="K801" s="1"/>
      <c r="P801" s="1"/>
    </row>
    <row r="802" spans="1:16" x14ac:dyDescent="0.25">
      <c r="A802" t="s">
        <v>429</v>
      </c>
      <c r="B802" s="4">
        <v>24009059</v>
      </c>
      <c r="C802" s="6">
        <v>212.15</v>
      </c>
      <c r="I802" s="1">
        <f t="shared" si="30"/>
        <v>4.2300000000000182</v>
      </c>
      <c r="J802" s="1">
        <v>207.92</v>
      </c>
      <c r="K802" s="1"/>
      <c r="N802">
        <v>185.89</v>
      </c>
      <c r="P802" s="1">
        <f t="shared" si="31"/>
        <v>-26.260000000000019</v>
      </c>
    </row>
    <row r="803" spans="1:16" x14ac:dyDescent="0.25">
      <c r="A803" t="s">
        <v>429</v>
      </c>
      <c r="B803" s="4">
        <v>24137737</v>
      </c>
      <c r="C803" s="6">
        <v>45.92</v>
      </c>
      <c r="I803" s="1">
        <f t="shared" si="30"/>
        <v>3.2899999999999991</v>
      </c>
      <c r="J803" s="1">
        <v>42.63</v>
      </c>
      <c r="K803" s="1"/>
    </row>
    <row r="804" spans="1:16" x14ac:dyDescent="0.25">
      <c r="A804" t="s">
        <v>429</v>
      </c>
      <c r="B804" s="4">
        <v>24225154</v>
      </c>
      <c r="C804" s="6">
        <v>71.98</v>
      </c>
      <c r="I804" s="1">
        <f t="shared" si="30"/>
        <v>5.6000000000000085</v>
      </c>
      <c r="J804" s="1">
        <v>66.38</v>
      </c>
      <c r="K804" s="1"/>
    </row>
    <row r="805" spans="1:16" x14ac:dyDescent="0.25">
      <c r="A805" t="s">
        <v>429</v>
      </c>
      <c r="B805" s="4">
        <v>24283117</v>
      </c>
      <c r="C805" s="6">
        <v>53.34</v>
      </c>
      <c r="I805" s="1">
        <f t="shared" si="30"/>
        <v>2.2600000000000051</v>
      </c>
      <c r="J805" s="1">
        <v>51.08</v>
      </c>
      <c r="K805" s="1"/>
    </row>
    <row r="806" spans="1:16" x14ac:dyDescent="0.25">
      <c r="A806" s="25" t="s">
        <v>429</v>
      </c>
      <c r="B806" s="4">
        <v>24633960</v>
      </c>
      <c r="C806" s="6">
        <v>42.26</v>
      </c>
      <c r="E806" t="s">
        <v>1164</v>
      </c>
      <c r="I806" s="1">
        <f t="shared" si="30"/>
        <v>0.89999999999999858</v>
      </c>
      <c r="J806" s="1">
        <v>41.36</v>
      </c>
      <c r="K806" s="1"/>
    </row>
    <row r="807" spans="1:16" x14ac:dyDescent="0.25">
      <c r="A807" s="25" t="s">
        <v>429</v>
      </c>
      <c r="B807" s="4">
        <v>24472550</v>
      </c>
      <c r="C807" s="6">
        <v>76.569999999999993</v>
      </c>
      <c r="I807" s="1"/>
      <c r="J807" s="1"/>
      <c r="K807" s="1"/>
      <c r="L807" t="s">
        <v>1236</v>
      </c>
    </row>
    <row r="808" spans="1:16" x14ac:dyDescent="0.25">
      <c r="A808" t="s">
        <v>429</v>
      </c>
      <c r="B808" s="4">
        <v>3945411</v>
      </c>
      <c r="C808" s="6">
        <v>26.35</v>
      </c>
      <c r="I808" s="1">
        <f t="shared" si="30"/>
        <v>5.360000000000003</v>
      </c>
      <c r="J808" s="1">
        <v>20.99</v>
      </c>
      <c r="K808" s="1"/>
    </row>
    <row r="809" spans="1:16" x14ac:dyDescent="0.25">
      <c r="A809" t="s">
        <v>429</v>
      </c>
      <c r="B809" s="4">
        <v>466623</v>
      </c>
      <c r="C809" s="6">
        <v>22.03</v>
      </c>
      <c r="I809" s="1">
        <f t="shared" si="30"/>
        <v>0</v>
      </c>
      <c r="J809" s="1">
        <v>22.03</v>
      </c>
      <c r="K809" s="1"/>
    </row>
    <row r="810" spans="1:16" x14ac:dyDescent="0.25">
      <c r="A810" t="s">
        <v>429</v>
      </c>
      <c r="B810" s="4">
        <v>469904</v>
      </c>
      <c r="C810" s="6">
        <v>54.92</v>
      </c>
      <c r="I810" s="1">
        <f t="shared" si="30"/>
        <v>0</v>
      </c>
      <c r="J810" s="1">
        <v>54.92</v>
      </c>
      <c r="K810" s="1"/>
    </row>
    <row r="811" spans="1:16" x14ac:dyDescent="0.25">
      <c r="A811" t="s">
        <v>429</v>
      </c>
      <c r="B811" s="4">
        <v>8193841</v>
      </c>
      <c r="C811" s="6">
        <v>19.690000000000001</v>
      </c>
      <c r="I811" s="1">
        <f t="shared" si="30"/>
        <v>0.47000000000000242</v>
      </c>
      <c r="J811" s="1">
        <v>19.22</v>
      </c>
      <c r="K811" s="1"/>
    </row>
    <row r="812" spans="1:16" x14ac:dyDescent="0.25">
      <c r="A812" t="s">
        <v>429</v>
      </c>
      <c r="B812" s="4">
        <v>82269261</v>
      </c>
      <c r="C812" s="6">
        <v>78.44</v>
      </c>
      <c r="I812" s="1">
        <f t="shared" si="30"/>
        <v>4.6599999999999966</v>
      </c>
      <c r="J812" s="1">
        <v>73.78</v>
      </c>
      <c r="K812" s="1"/>
    </row>
    <row r="813" spans="1:16" x14ac:dyDescent="0.25">
      <c r="A813" t="s">
        <v>429</v>
      </c>
      <c r="B813" s="4">
        <v>85121709</v>
      </c>
      <c r="C813" s="6">
        <v>48.66</v>
      </c>
      <c r="I813" s="1">
        <f t="shared" si="30"/>
        <v>4.5699999999999932</v>
      </c>
      <c r="J813" s="1">
        <v>44.09</v>
      </c>
      <c r="K813" s="1"/>
    </row>
    <row r="814" spans="1:16" x14ac:dyDescent="0.25">
      <c r="A814" t="s">
        <v>429</v>
      </c>
      <c r="B814" s="4">
        <v>85132685</v>
      </c>
      <c r="C814" s="6">
        <v>81.44</v>
      </c>
      <c r="I814" s="1">
        <f t="shared" si="30"/>
        <v>0</v>
      </c>
      <c r="J814" s="1">
        <v>81.44</v>
      </c>
      <c r="K814" s="1"/>
    </row>
    <row r="815" spans="1:16" x14ac:dyDescent="0.25">
      <c r="A815" t="s">
        <v>429</v>
      </c>
      <c r="B815" s="4">
        <v>85132686</v>
      </c>
      <c r="C815" s="6">
        <v>81.98</v>
      </c>
      <c r="I815" s="1">
        <f t="shared" si="30"/>
        <v>0</v>
      </c>
      <c r="J815" s="1">
        <v>81.98</v>
      </c>
      <c r="K815" s="1"/>
    </row>
    <row r="816" spans="1:16" x14ac:dyDescent="0.25">
      <c r="A816" t="s">
        <v>429</v>
      </c>
      <c r="B816" s="4">
        <v>949329</v>
      </c>
      <c r="C816" s="6">
        <v>5.28</v>
      </c>
      <c r="I816" s="1">
        <f t="shared" si="30"/>
        <v>0</v>
      </c>
      <c r="J816" s="1">
        <v>5.28</v>
      </c>
      <c r="K816" s="1"/>
    </row>
    <row r="817" spans="1:11" x14ac:dyDescent="0.25">
      <c r="A817" t="s">
        <v>429</v>
      </c>
      <c r="B817" s="4">
        <v>974584</v>
      </c>
      <c r="C817" s="6">
        <v>9.94</v>
      </c>
      <c r="I817" s="1">
        <f t="shared" si="30"/>
        <v>0</v>
      </c>
      <c r="J817" s="1">
        <v>9.94</v>
      </c>
      <c r="K817" s="1"/>
    </row>
    <row r="818" spans="1:11" x14ac:dyDescent="0.25">
      <c r="A818" t="s">
        <v>429</v>
      </c>
      <c r="B818" s="4">
        <v>981281</v>
      </c>
      <c r="C818" s="6">
        <v>56.5</v>
      </c>
      <c r="I818" s="1">
        <f t="shared" si="30"/>
        <v>0</v>
      </c>
      <c r="J818" s="1">
        <v>56.5</v>
      </c>
      <c r="K818" s="1"/>
    </row>
    <row r="819" spans="1:11" x14ac:dyDescent="0.25">
      <c r="A819" t="s">
        <v>429</v>
      </c>
      <c r="B819" s="3" t="s">
        <v>309</v>
      </c>
      <c r="C819" s="6">
        <v>5</v>
      </c>
      <c r="I819" s="1">
        <f t="shared" si="30"/>
        <v>0</v>
      </c>
      <c r="J819" s="1">
        <v>5</v>
      </c>
      <c r="K819" s="1"/>
    </row>
  </sheetData>
  <phoneticPr fontId="3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19"/>
  <sheetViews>
    <sheetView zoomScaleNormal="100" workbookViewId="0">
      <pane ySplit="2" topLeftCell="A3" activePane="bottomLeft" state="frozen"/>
      <selection pane="bottomLeft" activeCell="K4" sqref="K4"/>
    </sheetView>
  </sheetViews>
  <sheetFormatPr defaultColWidth="11.42578125" defaultRowHeight="15" x14ac:dyDescent="0.25"/>
  <cols>
    <col min="1" max="1" width="11.5703125" customWidth="1"/>
    <col min="2" max="2" width="13" customWidth="1"/>
    <col min="3" max="3" width="33.140625" customWidth="1"/>
    <col min="4" max="4" width="7.85546875" customWidth="1"/>
    <col min="5" max="5" width="9" customWidth="1"/>
    <col min="6" max="6" width="9.85546875" customWidth="1"/>
    <col min="7" max="7" width="6.7109375" customWidth="1"/>
    <col min="8" max="8" width="7.85546875" customWidth="1"/>
    <col min="9" max="10" width="7" customWidth="1"/>
    <col min="11" max="12" width="6.28515625" customWidth="1"/>
    <col min="13" max="13" width="6.5703125" customWidth="1"/>
    <col min="14" max="14" width="8.5703125" customWidth="1"/>
    <col min="15" max="15" width="7.28515625" customWidth="1"/>
    <col min="16" max="16" width="5.140625" customWidth="1"/>
    <col min="17" max="17" width="8" customWidth="1"/>
    <col min="18" max="18" width="6" customWidth="1"/>
    <col min="19" max="19" width="9.28515625" customWidth="1"/>
    <col min="20" max="20" width="6.5703125" customWidth="1"/>
    <col min="21" max="21" width="8" customWidth="1"/>
    <col min="22" max="23" width="7.5703125" customWidth="1"/>
    <col min="24" max="25" width="7.42578125" customWidth="1"/>
  </cols>
  <sheetData>
    <row r="1" spans="1:26" x14ac:dyDescent="0.25">
      <c r="A1" t="s">
        <v>442</v>
      </c>
      <c r="D1" s="12"/>
      <c r="E1" s="13"/>
      <c r="F1" s="13"/>
      <c r="G1" s="19" t="s">
        <v>515</v>
      </c>
      <c r="H1" s="13"/>
      <c r="I1" s="13"/>
      <c r="J1" s="13"/>
      <c r="K1" s="13"/>
      <c r="L1" s="13"/>
      <c r="M1" s="14"/>
      <c r="S1" s="20" t="s">
        <v>516</v>
      </c>
    </row>
    <row r="2" spans="1:26" ht="34.15" customHeight="1" x14ac:dyDescent="0.25">
      <c r="A2" t="s">
        <v>174</v>
      </c>
      <c r="B2" t="s">
        <v>175</v>
      </c>
      <c r="C2" t="s">
        <v>447</v>
      </c>
      <c r="D2" s="15" t="s">
        <v>183</v>
      </c>
      <c r="E2" s="16" t="s">
        <v>439</v>
      </c>
      <c r="F2" s="17" t="s">
        <v>179</v>
      </c>
      <c r="G2" s="17" t="s">
        <v>440</v>
      </c>
      <c r="H2" s="17" t="s">
        <v>443</v>
      </c>
      <c r="I2" s="17" t="s">
        <v>446</v>
      </c>
      <c r="J2" s="17" t="s">
        <v>445</v>
      </c>
      <c r="K2" s="17" t="s">
        <v>514</v>
      </c>
      <c r="L2" s="17" t="s">
        <v>585</v>
      </c>
      <c r="M2" s="18" t="s">
        <v>513</v>
      </c>
      <c r="N2" s="2" t="s">
        <v>441</v>
      </c>
      <c r="O2" s="2" t="s">
        <v>438</v>
      </c>
      <c r="P2" s="7" t="s">
        <v>444</v>
      </c>
      <c r="Q2" s="2" t="s">
        <v>183</v>
      </c>
      <c r="R2" s="7" t="s">
        <v>439</v>
      </c>
      <c r="S2" s="2" t="s">
        <v>179</v>
      </c>
      <c r="T2" s="2" t="s">
        <v>440</v>
      </c>
      <c r="U2" s="2" t="s">
        <v>443</v>
      </c>
      <c r="V2" s="2" t="s">
        <v>446</v>
      </c>
      <c r="W2" s="2" t="s">
        <v>445</v>
      </c>
      <c r="X2" s="2" t="s">
        <v>514</v>
      </c>
      <c r="Y2" s="2" t="s">
        <v>585</v>
      </c>
      <c r="Z2" s="7" t="s">
        <v>513</v>
      </c>
    </row>
    <row r="3" spans="1:26" x14ac:dyDescent="0.25">
      <c r="A3" s="8" t="s">
        <v>432</v>
      </c>
      <c r="B3" s="9" t="s">
        <v>310</v>
      </c>
      <c r="C3" s="8" t="s">
        <v>432</v>
      </c>
      <c r="D3" s="1"/>
      <c r="E3" s="1"/>
      <c r="F3" s="1"/>
      <c r="G3" s="1"/>
      <c r="H3" s="1"/>
      <c r="I3" s="1">
        <f t="shared" ref="I3:I44" si="0">V3</f>
        <v>55</v>
      </c>
      <c r="J3" s="1"/>
      <c r="K3" s="1"/>
      <c r="L3" s="1"/>
      <c r="M3" s="1"/>
      <c r="N3" s="1">
        <v>0</v>
      </c>
      <c r="O3" s="1">
        <v>10</v>
      </c>
      <c r="V3">
        <v>55</v>
      </c>
    </row>
    <row r="4" spans="1:26" x14ac:dyDescent="0.25">
      <c r="A4" s="8" t="s">
        <v>432</v>
      </c>
      <c r="B4" s="9" t="s">
        <v>311</v>
      </c>
      <c r="C4" s="8" t="s">
        <v>432</v>
      </c>
      <c r="D4" s="1"/>
      <c r="E4" s="1"/>
      <c r="F4" s="1"/>
      <c r="G4" s="1"/>
      <c r="H4" s="1"/>
      <c r="I4" s="1">
        <f t="shared" si="0"/>
        <v>55</v>
      </c>
      <c r="J4" s="1"/>
      <c r="K4" s="1"/>
      <c r="L4" s="1"/>
      <c r="M4" s="1"/>
      <c r="N4" s="1">
        <v>0</v>
      </c>
      <c r="O4" s="1">
        <v>10</v>
      </c>
      <c r="V4">
        <v>55</v>
      </c>
    </row>
    <row r="5" spans="1:26" x14ac:dyDescent="0.25">
      <c r="A5" s="8" t="s">
        <v>432</v>
      </c>
      <c r="B5" s="9" t="s">
        <v>775</v>
      </c>
      <c r="C5" s="8" t="s">
        <v>432</v>
      </c>
      <c r="D5" s="1"/>
      <c r="E5" s="1"/>
      <c r="F5" s="1"/>
      <c r="G5" s="1"/>
      <c r="H5" s="1"/>
      <c r="I5" s="1">
        <f t="shared" si="0"/>
        <v>55</v>
      </c>
      <c r="J5" s="1"/>
      <c r="K5" s="1"/>
      <c r="L5" s="1"/>
      <c r="M5" s="1"/>
      <c r="N5" s="1">
        <v>0</v>
      </c>
      <c r="O5" s="1">
        <v>10</v>
      </c>
      <c r="V5">
        <v>55</v>
      </c>
    </row>
    <row r="6" spans="1:26" x14ac:dyDescent="0.25">
      <c r="A6" s="8" t="s">
        <v>432</v>
      </c>
      <c r="B6" s="10">
        <v>21715813</v>
      </c>
      <c r="C6" s="8" t="s">
        <v>432</v>
      </c>
      <c r="D6" s="1"/>
      <c r="E6" s="1"/>
      <c r="F6" s="1"/>
      <c r="G6" s="1"/>
      <c r="H6" s="1"/>
      <c r="I6" s="1">
        <f t="shared" si="0"/>
        <v>30</v>
      </c>
      <c r="J6" s="1"/>
      <c r="K6" s="1"/>
      <c r="L6" s="1"/>
      <c r="M6" s="1"/>
      <c r="N6" s="1">
        <v>0</v>
      </c>
      <c r="O6" s="1">
        <v>0</v>
      </c>
      <c r="V6">
        <v>30</v>
      </c>
    </row>
    <row r="7" spans="1:26" x14ac:dyDescent="0.25">
      <c r="A7" s="8" t="s">
        <v>432</v>
      </c>
      <c r="B7" s="10">
        <v>23883251</v>
      </c>
      <c r="C7" s="8" t="s">
        <v>432</v>
      </c>
      <c r="D7" s="1"/>
      <c r="E7" s="1"/>
      <c r="F7" s="1"/>
      <c r="G7" s="1"/>
      <c r="H7" s="1"/>
      <c r="I7" s="1">
        <f t="shared" si="0"/>
        <v>58</v>
      </c>
      <c r="J7" s="1"/>
      <c r="K7" s="1"/>
      <c r="L7" s="1"/>
      <c r="M7" s="1"/>
      <c r="N7" s="1"/>
      <c r="O7" s="1"/>
      <c r="V7">
        <v>58</v>
      </c>
    </row>
    <row r="8" spans="1:26" x14ac:dyDescent="0.25">
      <c r="A8" s="8" t="s">
        <v>432</v>
      </c>
      <c r="B8" s="9" t="s">
        <v>312</v>
      </c>
      <c r="C8" s="8" t="s">
        <v>432</v>
      </c>
      <c r="D8" s="1"/>
      <c r="E8" s="1"/>
      <c r="F8" s="1"/>
      <c r="G8" s="1"/>
      <c r="H8" s="1"/>
      <c r="I8" s="1">
        <f t="shared" si="0"/>
        <v>50</v>
      </c>
      <c r="J8" s="1"/>
      <c r="K8" s="1"/>
      <c r="L8" s="1"/>
      <c r="M8" s="1"/>
      <c r="N8" s="1">
        <v>0</v>
      </c>
      <c r="O8" s="1"/>
      <c r="V8">
        <v>50</v>
      </c>
    </row>
    <row r="9" spans="1:26" x14ac:dyDescent="0.25">
      <c r="A9" s="8" t="s">
        <v>432</v>
      </c>
      <c r="B9" s="9" t="s">
        <v>313</v>
      </c>
      <c r="C9" s="8" t="s">
        <v>432</v>
      </c>
      <c r="D9" s="1"/>
      <c r="E9" s="1"/>
      <c r="F9" s="1"/>
      <c r="G9" s="1"/>
      <c r="H9" s="1"/>
      <c r="I9" s="1">
        <f t="shared" si="0"/>
        <v>70</v>
      </c>
      <c r="J9" s="1"/>
      <c r="K9" s="1"/>
      <c r="L9" s="1"/>
      <c r="M9" s="1"/>
      <c r="N9" s="1">
        <v>0</v>
      </c>
      <c r="O9" s="1"/>
      <c r="V9">
        <v>70</v>
      </c>
    </row>
    <row r="10" spans="1:26" x14ac:dyDescent="0.25">
      <c r="A10" s="8" t="s">
        <v>432</v>
      </c>
      <c r="B10" s="11">
        <v>4329012482</v>
      </c>
      <c r="C10" s="8" t="s">
        <v>1015</v>
      </c>
      <c r="D10" s="1"/>
      <c r="E10" s="1"/>
      <c r="F10" s="1"/>
      <c r="G10" s="1"/>
      <c r="H10" s="1"/>
      <c r="I10" s="1">
        <f t="shared" si="0"/>
        <v>30</v>
      </c>
      <c r="J10" s="1"/>
      <c r="K10" s="1"/>
      <c r="L10" s="1"/>
      <c r="M10" s="1"/>
      <c r="N10" s="1">
        <v>20</v>
      </c>
      <c r="O10" s="1">
        <v>10</v>
      </c>
      <c r="V10">
        <v>30</v>
      </c>
    </row>
    <row r="11" spans="1:26" x14ac:dyDescent="0.25">
      <c r="A11" s="8" t="s">
        <v>432</v>
      </c>
      <c r="B11" s="3" t="s">
        <v>591</v>
      </c>
      <c r="C11" s="8" t="s">
        <v>432</v>
      </c>
      <c r="D11" s="1"/>
      <c r="E11" s="1"/>
      <c r="F11" s="1"/>
      <c r="G11" s="1"/>
      <c r="H11" s="1"/>
      <c r="I11" s="1">
        <f t="shared" si="0"/>
        <v>27</v>
      </c>
      <c r="J11" s="1"/>
      <c r="K11" s="1"/>
      <c r="L11" s="1"/>
      <c r="M11" s="1"/>
      <c r="N11" s="1">
        <v>0</v>
      </c>
      <c r="O11" s="1"/>
      <c r="V11">
        <v>27</v>
      </c>
    </row>
    <row r="12" spans="1:26" x14ac:dyDescent="0.25">
      <c r="A12" s="8" t="s">
        <v>432</v>
      </c>
      <c r="B12" s="9" t="s">
        <v>314</v>
      </c>
      <c r="C12" s="8" t="s">
        <v>1016</v>
      </c>
      <c r="D12" s="1"/>
      <c r="E12" s="1"/>
      <c r="F12" s="1"/>
      <c r="G12" s="1"/>
      <c r="H12" s="1"/>
      <c r="I12" s="1">
        <f t="shared" si="0"/>
        <v>25</v>
      </c>
      <c r="J12" s="1"/>
      <c r="K12" s="1"/>
      <c r="L12" s="1"/>
      <c r="M12" s="1"/>
      <c r="N12" s="1">
        <v>15</v>
      </c>
      <c r="O12" s="1">
        <v>10</v>
      </c>
      <c r="V12">
        <v>25</v>
      </c>
    </row>
    <row r="13" spans="1:26" x14ac:dyDescent="0.25">
      <c r="A13" s="8" t="s">
        <v>432</v>
      </c>
      <c r="B13" s="9" t="s">
        <v>920</v>
      </c>
      <c r="C13" s="8" t="s">
        <v>511</v>
      </c>
      <c r="D13" s="1"/>
      <c r="E13" s="1"/>
      <c r="F13" s="1"/>
      <c r="G13" s="1"/>
      <c r="H13" s="1"/>
      <c r="I13" s="1">
        <f t="shared" si="0"/>
        <v>30</v>
      </c>
      <c r="J13" s="1"/>
      <c r="K13" s="1"/>
      <c r="L13" s="1"/>
      <c r="M13" s="1"/>
      <c r="N13" s="1">
        <v>15</v>
      </c>
      <c r="O13" s="1">
        <v>10</v>
      </c>
      <c r="V13">
        <v>30</v>
      </c>
    </row>
    <row r="14" spans="1:26" x14ac:dyDescent="0.25">
      <c r="A14" s="8" t="s">
        <v>432</v>
      </c>
      <c r="B14" s="9" t="s">
        <v>921</v>
      </c>
      <c r="C14" s="8" t="s">
        <v>511</v>
      </c>
      <c r="D14" s="1"/>
      <c r="E14" s="1"/>
      <c r="F14" s="1"/>
      <c r="G14" s="1"/>
      <c r="H14" s="1"/>
      <c r="I14" s="1">
        <f t="shared" si="0"/>
        <v>30</v>
      </c>
      <c r="J14" s="1"/>
      <c r="K14" s="1"/>
      <c r="L14" s="1"/>
      <c r="M14" s="1"/>
      <c r="N14" s="1">
        <v>15</v>
      </c>
      <c r="O14" s="1">
        <v>10</v>
      </c>
      <c r="V14">
        <v>30</v>
      </c>
    </row>
    <row r="15" spans="1:26" x14ac:dyDescent="0.25">
      <c r="A15" s="8" t="s">
        <v>432</v>
      </c>
      <c r="B15" s="9" t="s">
        <v>1288</v>
      </c>
      <c r="C15" s="8" t="s">
        <v>1290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8</v>
      </c>
      <c r="O15" s="1"/>
    </row>
    <row r="16" spans="1:26" x14ac:dyDescent="0.25">
      <c r="A16" s="8" t="s">
        <v>432</v>
      </c>
      <c r="B16" s="9" t="s">
        <v>1214</v>
      </c>
      <c r="C16" s="8" t="s">
        <v>432</v>
      </c>
      <c r="D16" s="1"/>
      <c r="E16" s="1"/>
      <c r="F16" s="1"/>
      <c r="G16" s="1"/>
      <c r="H16" s="1"/>
      <c r="I16" s="1">
        <f t="shared" si="0"/>
        <v>30</v>
      </c>
      <c r="J16" s="1"/>
      <c r="K16" s="1"/>
      <c r="L16" s="1"/>
      <c r="M16" s="1"/>
      <c r="N16" s="1"/>
      <c r="O16" s="1"/>
      <c r="V16">
        <v>30</v>
      </c>
    </row>
    <row r="17" spans="1:22" x14ac:dyDescent="0.25">
      <c r="A17" s="8" t="s">
        <v>432</v>
      </c>
      <c r="B17" s="9" t="s">
        <v>315</v>
      </c>
      <c r="C17" s="8" t="s">
        <v>432</v>
      </c>
      <c r="D17" s="1"/>
      <c r="E17" s="1"/>
      <c r="F17" s="1"/>
      <c r="G17" s="1"/>
      <c r="H17" s="1"/>
      <c r="I17" s="1">
        <f t="shared" si="0"/>
        <v>20</v>
      </c>
      <c r="J17" s="1"/>
      <c r="K17" s="1"/>
      <c r="L17" s="1"/>
      <c r="M17" s="1"/>
      <c r="N17" s="1">
        <v>0</v>
      </c>
      <c r="O17" s="1"/>
      <c r="V17">
        <v>20</v>
      </c>
    </row>
    <row r="18" spans="1:22" x14ac:dyDescent="0.25">
      <c r="A18" s="8" t="s">
        <v>432</v>
      </c>
      <c r="B18" s="9" t="s">
        <v>316</v>
      </c>
      <c r="C18" s="8" t="s">
        <v>432</v>
      </c>
      <c r="D18" s="1"/>
      <c r="E18" s="1"/>
      <c r="F18" s="1"/>
      <c r="G18" s="1"/>
      <c r="H18" s="1"/>
      <c r="I18" s="1">
        <f t="shared" si="0"/>
        <v>30</v>
      </c>
      <c r="J18" s="1"/>
      <c r="K18" s="1"/>
      <c r="L18" s="1"/>
      <c r="M18" s="1"/>
      <c r="N18" s="1">
        <v>0</v>
      </c>
      <c r="O18" s="1"/>
      <c r="V18">
        <v>30</v>
      </c>
    </row>
    <row r="19" spans="1:22" x14ac:dyDescent="0.25">
      <c r="A19" s="8" t="s">
        <v>432</v>
      </c>
      <c r="B19" s="9" t="s">
        <v>317</v>
      </c>
      <c r="C19" s="8" t="s">
        <v>432</v>
      </c>
      <c r="D19" s="1"/>
      <c r="E19" s="1"/>
      <c r="F19" s="1"/>
      <c r="G19" s="1"/>
      <c r="H19" s="1"/>
      <c r="I19" s="1">
        <f t="shared" si="0"/>
        <v>36</v>
      </c>
      <c r="J19" s="1"/>
      <c r="K19" s="1"/>
      <c r="L19" s="1"/>
      <c r="M19" s="1"/>
      <c r="N19" s="1">
        <v>0</v>
      </c>
      <c r="O19" s="1"/>
      <c r="V19">
        <v>36</v>
      </c>
    </row>
    <row r="20" spans="1:22" x14ac:dyDescent="0.25">
      <c r="A20" s="8" t="s">
        <v>432</v>
      </c>
      <c r="B20" s="9" t="s">
        <v>1215</v>
      </c>
      <c r="C20" s="8" t="s">
        <v>432</v>
      </c>
      <c r="D20" s="1"/>
      <c r="E20" s="1"/>
      <c r="F20" s="1"/>
      <c r="G20" s="1"/>
      <c r="H20" s="1"/>
      <c r="I20" s="1">
        <f t="shared" si="0"/>
        <v>30</v>
      </c>
      <c r="J20" s="1"/>
      <c r="K20" s="1"/>
      <c r="L20" s="1"/>
      <c r="M20" s="1"/>
      <c r="N20" s="1"/>
      <c r="O20" s="1"/>
      <c r="V20">
        <v>30</v>
      </c>
    </row>
    <row r="21" spans="1:22" x14ac:dyDescent="0.25">
      <c r="A21" s="8" t="s">
        <v>432</v>
      </c>
      <c r="B21" s="9" t="s">
        <v>318</v>
      </c>
      <c r="C21" s="8" t="s">
        <v>432</v>
      </c>
      <c r="D21" s="1"/>
      <c r="E21" s="1"/>
      <c r="F21" s="1"/>
      <c r="G21" s="1"/>
      <c r="H21" s="1"/>
      <c r="I21" s="1">
        <f t="shared" si="0"/>
        <v>25</v>
      </c>
      <c r="J21" s="1"/>
      <c r="K21" s="1"/>
      <c r="L21" s="1"/>
      <c r="M21" s="1"/>
      <c r="N21" s="1">
        <v>0</v>
      </c>
      <c r="O21" s="1"/>
      <c r="V21">
        <v>25</v>
      </c>
    </row>
    <row r="22" spans="1:22" x14ac:dyDescent="0.25">
      <c r="A22" s="8" t="s">
        <v>432</v>
      </c>
      <c r="B22" s="9" t="s">
        <v>319</v>
      </c>
      <c r="C22" s="8" t="s">
        <v>432</v>
      </c>
      <c r="D22" s="1"/>
      <c r="E22" s="1"/>
      <c r="F22" s="1"/>
      <c r="G22" s="1"/>
      <c r="H22" s="1"/>
      <c r="I22" s="1">
        <f t="shared" si="0"/>
        <v>22</v>
      </c>
      <c r="J22" s="1"/>
      <c r="K22" s="1"/>
      <c r="L22" s="1"/>
      <c r="M22" s="1"/>
      <c r="N22" s="1">
        <v>0</v>
      </c>
      <c r="O22" s="1"/>
      <c r="V22">
        <v>22</v>
      </c>
    </row>
    <row r="23" spans="1:22" x14ac:dyDescent="0.25">
      <c r="A23" s="8" t="s">
        <v>432</v>
      </c>
      <c r="B23" s="9" t="s">
        <v>320</v>
      </c>
      <c r="C23" s="8" t="s">
        <v>432</v>
      </c>
      <c r="D23" s="1"/>
      <c r="E23" s="1"/>
      <c r="F23" s="1"/>
      <c r="G23" s="1"/>
      <c r="H23" s="1"/>
      <c r="I23" s="1">
        <f t="shared" si="0"/>
        <v>30</v>
      </c>
      <c r="J23" s="1"/>
      <c r="K23" s="1"/>
      <c r="L23" s="1"/>
      <c r="M23" s="1"/>
      <c r="N23" s="1">
        <v>0</v>
      </c>
      <c r="O23" s="1"/>
      <c r="V23">
        <v>30</v>
      </c>
    </row>
    <row r="24" spans="1:22" x14ac:dyDescent="0.25">
      <c r="A24" s="8" t="s">
        <v>432</v>
      </c>
      <c r="B24" s="9" t="s">
        <v>321</v>
      </c>
      <c r="C24" s="8" t="s">
        <v>432</v>
      </c>
      <c r="D24" s="1"/>
      <c r="E24" s="1"/>
      <c r="F24" s="1"/>
      <c r="G24" s="1"/>
      <c r="H24" s="1"/>
      <c r="I24" s="1">
        <f t="shared" si="0"/>
        <v>38</v>
      </c>
      <c r="J24" s="1"/>
      <c r="K24" s="1"/>
      <c r="L24" s="1"/>
      <c r="M24" s="1"/>
      <c r="N24" s="1">
        <v>0</v>
      </c>
      <c r="O24" s="1"/>
      <c r="V24">
        <v>38</v>
      </c>
    </row>
    <row r="25" spans="1:22" x14ac:dyDescent="0.25">
      <c r="A25" s="8" t="s">
        <v>432</v>
      </c>
      <c r="B25" s="9" t="s">
        <v>322</v>
      </c>
      <c r="C25" s="8" t="s">
        <v>432</v>
      </c>
      <c r="D25" s="1"/>
      <c r="E25" s="1"/>
      <c r="F25" s="1"/>
      <c r="G25" s="1"/>
      <c r="H25" s="1"/>
      <c r="I25" s="1">
        <f t="shared" si="0"/>
        <v>56</v>
      </c>
      <c r="J25" s="1"/>
      <c r="K25" s="1"/>
      <c r="L25" s="1"/>
      <c r="M25" s="1"/>
      <c r="N25" s="1">
        <v>0</v>
      </c>
      <c r="O25" s="1"/>
      <c r="V25">
        <v>56</v>
      </c>
    </row>
    <row r="26" spans="1:22" x14ac:dyDescent="0.25">
      <c r="A26" s="8" t="s">
        <v>432</v>
      </c>
      <c r="B26" s="9" t="s">
        <v>323</v>
      </c>
      <c r="C26" s="8" t="s">
        <v>432</v>
      </c>
      <c r="D26" s="1"/>
      <c r="E26" s="1"/>
      <c r="F26" s="1"/>
      <c r="G26" s="1"/>
      <c r="H26" s="1"/>
      <c r="I26" s="1">
        <f t="shared" si="0"/>
        <v>25</v>
      </c>
      <c r="J26" s="1"/>
      <c r="K26" s="1"/>
      <c r="L26" s="1"/>
      <c r="M26" s="1"/>
      <c r="N26" s="1">
        <v>0</v>
      </c>
      <c r="O26" s="1"/>
      <c r="V26">
        <v>25</v>
      </c>
    </row>
    <row r="27" spans="1:22" x14ac:dyDescent="0.25">
      <c r="A27" s="8" t="s">
        <v>432</v>
      </c>
      <c r="B27" s="9" t="s">
        <v>324</v>
      </c>
      <c r="C27" s="8" t="s">
        <v>432</v>
      </c>
      <c r="D27" s="1"/>
      <c r="E27" s="1"/>
      <c r="F27" s="1"/>
      <c r="G27" s="1"/>
      <c r="H27" s="1"/>
      <c r="I27" s="1">
        <f t="shared" si="0"/>
        <v>32</v>
      </c>
      <c r="J27" s="1"/>
      <c r="K27" s="1"/>
      <c r="L27" s="1"/>
      <c r="M27" s="1"/>
      <c r="N27" s="1">
        <v>0</v>
      </c>
      <c r="O27" s="1"/>
      <c r="V27">
        <v>32</v>
      </c>
    </row>
    <row r="28" spans="1:22" x14ac:dyDescent="0.25">
      <c r="A28" s="8" t="s">
        <v>432</v>
      </c>
      <c r="B28" s="9" t="s">
        <v>325</v>
      </c>
      <c r="C28" s="8" t="s">
        <v>432</v>
      </c>
      <c r="D28" s="1"/>
      <c r="E28" s="1"/>
      <c r="F28" s="1"/>
      <c r="G28" s="1"/>
      <c r="H28" s="1"/>
      <c r="I28" s="1">
        <f t="shared" si="0"/>
        <v>35</v>
      </c>
      <c r="J28" s="1"/>
      <c r="K28" s="1"/>
      <c r="L28" s="1"/>
      <c r="M28" s="1"/>
      <c r="N28" s="1">
        <v>0</v>
      </c>
      <c r="O28" s="1"/>
      <c r="V28">
        <v>35</v>
      </c>
    </row>
    <row r="29" spans="1:22" x14ac:dyDescent="0.25">
      <c r="A29" s="8" t="s">
        <v>432</v>
      </c>
      <c r="B29" s="9" t="s">
        <v>326</v>
      </c>
      <c r="C29" s="8" t="s">
        <v>432</v>
      </c>
      <c r="D29" s="1"/>
      <c r="E29" s="1"/>
      <c r="F29" s="1"/>
      <c r="G29" s="1"/>
      <c r="H29" s="1"/>
      <c r="I29" s="1">
        <f t="shared" si="0"/>
        <v>35</v>
      </c>
      <c r="J29" s="1"/>
      <c r="K29" s="1"/>
      <c r="L29" s="1"/>
      <c r="M29" s="1"/>
      <c r="N29" s="1">
        <v>0</v>
      </c>
      <c r="O29" s="1"/>
      <c r="V29">
        <v>35</v>
      </c>
    </row>
    <row r="30" spans="1:22" x14ac:dyDescent="0.25">
      <c r="A30" s="8" t="s">
        <v>432</v>
      </c>
      <c r="B30" s="9" t="s">
        <v>327</v>
      </c>
      <c r="C30" s="8" t="s">
        <v>432</v>
      </c>
      <c r="D30" s="1"/>
      <c r="E30" s="1"/>
      <c r="F30" s="1"/>
      <c r="G30" s="1"/>
      <c r="H30" s="1"/>
      <c r="I30" s="1">
        <f t="shared" si="0"/>
        <v>48</v>
      </c>
      <c r="J30" s="1"/>
      <c r="K30" s="1"/>
      <c r="L30" s="1"/>
      <c r="M30" s="1"/>
      <c r="N30" s="1">
        <v>0</v>
      </c>
      <c r="O30" s="1"/>
      <c r="V30">
        <v>48</v>
      </c>
    </row>
    <row r="31" spans="1:22" x14ac:dyDescent="0.25">
      <c r="A31" s="8" t="s">
        <v>432</v>
      </c>
      <c r="B31" s="9" t="s">
        <v>328</v>
      </c>
      <c r="C31" s="8" t="s">
        <v>432</v>
      </c>
      <c r="D31" s="1"/>
      <c r="E31" s="1"/>
      <c r="F31" s="1"/>
      <c r="G31" s="1"/>
      <c r="H31" s="1"/>
      <c r="I31" s="1">
        <f t="shared" si="0"/>
        <v>29</v>
      </c>
      <c r="J31" s="1"/>
      <c r="K31" s="1"/>
      <c r="L31" s="1"/>
      <c r="M31" s="1"/>
      <c r="N31" s="1">
        <v>0</v>
      </c>
      <c r="O31" s="1"/>
      <c r="V31">
        <v>29</v>
      </c>
    </row>
    <row r="32" spans="1:22" x14ac:dyDescent="0.25">
      <c r="A32" s="8" t="s">
        <v>432</v>
      </c>
      <c r="B32" s="9" t="s">
        <v>329</v>
      </c>
      <c r="C32" s="8" t="s">
        <v>432</v>
      </c>
      <c r="D32" s="1"/>
      <c r="E32" s="1"/>
      <c r="F32" s="1"/>
      <c r="G32" s="1"/>
      <c r="H32" s="1"/>
      <c r="I32" s="1">
        <f t="shared" si="0"/>
        <v>31</v>
      </c>
      <c r="J32" s="1"/>
      <c r="K32" s="1"/>
      <c r="L32" s="1"/>
      <c r="M32" s="1"/>
      <c r="N32" s="1">
        <v>0</v>
      </c>
      <c r="O32" s="1"/>
      <c r="V32">
        <v>31</v>
      </c>
    </row>
    <row r="33" spans="1:22" x14ac:dyDescent="0.25">
      <c r="A33" s="8" t="s">
        <v>432</v>
      </c>
      <c r="B33" s="9" t="s">
        <v>330</v>
      </c>
      <c r="C33" s="8" t="s">
        <v>432</v>
      </c>
      <c r="D33" s="1"/>
      <c r="E33" s="1"/>
      <c r="F33" s="1"/>
      <c r="G33" s="1"/>
      <c r="H33" s="1"/>
      <c r="I33" s="1">
        <f t="shared" si="0"/>
        <v>30</v>
      </c>
      <c r="J33" s="1"/>
      <c r="K33" s="1"/>
      <c r="L33" s="1"/>
      <c r="M33" s="1"/>
      <c r="N33" s="1">
        <v>0</v>
      </c>
      <c r="O33" s="1"/>
      <c r="V33">
        <v>30</v>
      </c>
    </row>
    <row r="34" spans="1:22" x14ac:dyDescent="0.25">
      <c r="A34" s="8" t="s">
        <v>432</v>
      </c>
      <c r="B34" s="9" t="s">
        <v>331</v>
      </c>
      <c r="C34" s="8" t="s">
        <v>432</v>
      </c>
      <c r="D34" s="1"/>
      <c r="E34" s="1"/>
      <c r="F34" s="1"/>
      <c r="G34" s="1"/>
      <c r="H34" s="1"/>
      <c r="I34" s="1">
        <f t="shared" si="0"/>
        <v>27</v>
      </c>
      <c r="J34" s="1"/>
      <c r="K34" s="1"/>
      <c r="L34" s="1"/>
      <c r="M34" s="1"/>
      <c r="N34" s="1">
        <v>0</v>
      </c>
      <c r="O34" s="1"/>
      <c r="V34">
        <v>27</v>
      </c>
    </row>
    <row r="35" spans="1:22" x14ac:dyDescent="0.25">
      <c r="A35" s="8" t="s">
        <v>432</v>
      </c>
      <c r="B35" s="9" t="s">
        <v>963</v>
      </c>
      <c r="C35" s="8" t="s">
        <v>432</v>
      </c>
      <c r="D35" s="1"/>
      <c r="E35" s="1"/>
      <c r="F35" s="1"/>
      <c r="G35" s="1"/>
      <c r="H35" s="1"/>
      <c r="I35" s="1">
        <f t="shared" si="0"/>
        <v>50</v>
      </c>
      <c r="J35" s="1"/>
      <c r="K35" s="1"/>
      <c r="L35" s="1"/>
      <c r="M35" s="1"/>
      <c r="N35" s="1">
        <v>0</v>
      </c>
      <c r="O35" s="1"/>
      <c r="V35">
        <v>50</v>
      </c>
    </row>
    <row r="36" spans="1:22" x14ac:dyDescent="0.25">
      <c r="A36" s="8" t="s">
        <v>432</v>
      </c>
      <c r="B36" s="9" t="s">
        <v>332</v>
      </c>
      <c r="C36" s="8" t="s">
        <v>432</v>
      </c>
      <c r="D36" s="1"/>
      <c r="E36" s="1"/>
      <c r="F36" s="1"/>
      <c r="G36" s="1"/>
      <c r="H36" s="1"/>
      <c r="I36" s="1">
        <f t="shared" si="0"/>
        <v>30</v>
      </c>
      <c r="J36" s="1"/>
      <c r="K36" s="1"/>
      <c r="L36" s="1"/>
      <c r="M36" s="1"/>
      <c r="N36" s="1">
        <v>0</v>
      </c>
      <c r="O36" s="1"/>
      <c r="V36">
        <v>30</v>
      </c>
    </row>
    <row r="37" spans="1:22" x14ac:dyDescent="0.25">
      <c r="A37" s="8" t="s">
        <v>432</v>
      </c>
      <c r="B37" s="9" t="s">
        <v>333</v>
      </c>
      <c r="C37" s="8" t="s">
        <v>432</v>
      </c>
      <c r="D37" s="1"/>
      <c r="E37" s="1"/>
      <c r="F37" s="1"/>
      <c r="G37" s="1"/>
      <c r="H37" s="1"/>
      <c r="I37" s="1">
        <f t="shared" si="0"/>
        <v>30</v>
      </c>
      <c r="J37" s="1"/>
      <c r="K37" s="1"/>
      <c r="L37" s="1"/>
      <c r="M37" s="1"/>
      <c r="N37" s="1">
        <v>0</v>
      </c>
      <c r="O37" s="1"/>
      <c r="V37">
        <v>30</v>
      </c>
    </row>
    <row r="38" spans="1:22" x14ac:dyDescent="0.25">
      <c r="A38" s="8" t="s">
        <v>432</v>
      </c>
      <c r="B38" s="9" t="s">
        <v>334</v>
      </c>
      <c r="C38" s="8" t="s">
        <v>432</v>
      </c>
      <c r="D38" s="1"/>
      <c r="E38" s="1"/>
      <c r="F38" s="1"/>
      <c r="G38" s="1"/>
      <c r="H38" s="1"/>
      <c r="I38" s="1">
        <f t="shared" si="0"/>
        <v>34</v>
      </c>
      <c r="J38" s="1"/>
      <c r="K38" s="1"/>
      <c r="L38" s="1"/>
      <c r="M38" s="1"/>
      <c r="N38" s="1">
        <v>0</v>
      </c>
      <c r="O38" s="1"/>
      <c r="V38">
        <v>34</v>
      </c>
    </row>
    <row r="39" spans="1:22" x14ac:dyDescent="0.25">
      <c r="A39" s="8" t="s">
        <v>432</v>
      </c>
      <c r="B39" s="9" t="s">
        <v>335</v>
      </c>
      <c r="C39" s="8" t="s">
        <v>432</v>
      </c>
      <c r="D39" s="1"/>
      <c r="E39" s="1"/>
      <c r="F39" s="1"/>
      <c r="G39" s="1"/>
      <c r="H39" s="1"/>
      <c r="I39" s="1">
        <f t="shared" si="0"/>
        <v>30</v>
      </c>
      <c r="J39" s="1"/>
      <c r="K39" s="1"/>
      <c r="L39" s="1"/>
      <c r="M39" s="1"/>
      <c r="N39" s="1">
        <v>0</v>
      </c>
      <c r="O39" s="1"/>
      <c r="V39">
        <v>30</v>
      </c>
    </row>
    <row r="40" spans="1:22" x14ac:dyDescent="0.25">
      <c r="A40" s="8" t="s">
        <v>432</v>
      </c>
      <c r="B40" s="9" t="s">
        <v>336</v>
      </c>
      <c r="C40" s="8" t="s">
        <v>432</v>
      </c>
      <c r="D40" s="1"/>
      <c r="E40" s="1"/>
      <c r="F40" s="1"/>
      <c r="G40" s="1"/>
      <c r="H40" s="1"/>
      <c r="I40" s="1">
        <f t="shared" si="0"/>
        <v>32</v>
      </c>
      <c r="J40" s="1"/>
      <c r="K40" s="1"/>
      <c r="L40" s="1"/>
      <c r="M40" s="1"/>
      <c r="N40" s="1">
        <v>0</v>
      </c>
      <c r="O40" s="1"/>
      <c r="V40">
        <v>32</v>
      </c>
    </row>
    <row r="41" spans="1:22" x14ac:dyDescent="0.25">
      <c r="A41" s="8" t="s">
        <v>432</v>
      </c>
      <c r="B41" s="9" t="s">
        <v>337</v>
      </c>
      <c r="C41" s="8" t="s">
        <v>432</v>
      </c>
      <c r="D41" s="1"/>
      <c r="E41" s="1"/>
      <c r="F41" s="1"/>
      <c r="G41" s="1"/>
      <c r="H41" s="1"/>
      <c r="I41" s="1">
        <f t="shared" si="0"/>
        <v>27</v>
      </c>
      <c r="J41" s="1"/>
      <c r="K41" s="1"/>
      <c r="L41" s="1"/>
      <c r="M41" s="1"/>
      <c r="N41" s="1">
        <v>0</v>
      </c>
      <c r="O41" s="1"/>
      <c r="V41">
        <v>27</v>
      </c>
    </row>
    <row r="42" spans="1:22" x14ac:dyDescent="0.25">
      <c r="A42" s="8" t="s">
        <v>432</v>
      </c>
      <c r="B42" s="9" t="s">
        <v>338</v>
      </c>
      <c r="C42" s="8" t="s">
        <v>432</v>
      </c>
      <c r="D42" s="1"/>
      <c r="E42" s="1"/>
      <c r="F42" s="1"/>
      <c r="G42" s="1"/>
      <c r="H42" s="1"/>
      <c r="I42" s="1">
        <f t="shared" si="0"/>
        <v>27</v>
      </c>
      <c r="J42" s="1"/>
      <c r="K42" s="1"/>
      <c r="L42" s="1"/>
      <c r="M42" s="1"/>
      <c r="N42" s="1">
        <v>0</v>
      </c>
      <c r="O42" s="1"/>
      <c r="V42">
        <v>27</v>
      </c>
    </row>
    <row r="43" spans="1:22" x14ac:dyDescent="0.25">
      <c r="A43" s="8" t="s">
        <v>432</v>
      </c>
      <c r="B43" s="9" t="s">
        <v>339</v>
      </c>
      <c r="C43" s="8" t="s">
        <v>432</v>
      </c>
      <c r="D43" s="1"/>
      <c r="E43" s="1"/>
      <c r="F43" s="1"/>
      <c r="G43" s="1"/>
      <c r="H43" s="1"/>
      <c r="I43" s="1">
        <f t="shared" si="0"/>
        <v>37</v>
      </c>
      <c r="J43" s="1"/>
      <c r="K43" s="1"/>
      <c r="L43" s="1"/>
      <c r="M43" s="1"/>
      <c r="N43" s="1">
        <v>0</v>
      </c>
      <c r="O43" s="1"/>
      <c r="V43">
        <v>37</v>
      </c>
    </row>
    <row r="44" spans="1:22" x14ac:dyDescent="0.25">
      <c r="A44" s="8" t="s">
        <v>432</v>
      </c>
      <c r="B44" s="9" t="s">
        <v>340</v>
      </c>
      <c r="C44" s="8" t="s">
        <v>432</v>
      </c>
      <c r="D44" s="1"/>
      <c r="E44" s="1"/>
      <c r="F44" s="1"/>
      <c r="G44" s="1"/>
      <c r="H44" s="1"/>
      <c r="I44" s="1">
        <f t="shared" si="0"/>
        <v>39</v>
      </c>
      <c r="J44" s="1"/>
      <c r="K44" s="1"/>
      <c r="L44" s="1"/>
      <c r="M44" s="1"/>
      <c r="N44" s="1">
        <v>0</v>
      </c>
      <c r="O44" s="1"/>
      <c r="V44">
        <v>39</v>
      </c>
    </row>
    <row r="45" spans="1:22" x14ac:dyDescent="0.25">
      <c r="A45" s="8" t="s">
        <v>432</v>
      </c>
      <c r="B45" s="9" t="s">
        <v>341</v>
      </c>
      <c r="C45" s="8" t="s">
        <v>432</v>
      </c>
      <c r="D45" s="1"/>
      <c r="E45" s="1"/>
      <c r="F45" s="1"/>
      <c r="G45" s="1"/>
      <c r="H45" s="1"/>
      <c r="I45" s="1">
        <f>V45</f>
        <v>30</v>
      </c>
      <c r="J45" s="1"/>
      <c r="K45" s="1"/>
      <c r="L45" s="1"/>
      <c r="M45" s="1"/>
      <c r="N45" s="1">
        <v>0</v>
      </c>
      <c r="O45" s="1"/>
      <c r="V45">
        <v>30</v>
      </c>
    </row>
    <row r="46" spans="1:22" x14ac:dyDescent="0.25">
      <c r="A46" s="8" t="s">
        <v>432</v>
      </c>
      <c r="B46" s="9" t="s">
        <v>342</v>
      </c>
      <c r="C46" s="8" t="s">
        <v>432</v>
      </c>
      <c r="D46" s="1"/>
      <c r="E46" s="1"/>
      <c r="F46" s="1"/>
      <c r="G46" s="1"/>
      <c r="H46" s="1"/>
      <c r="I46" s="1">
        <f t="shared" ref="I46:I117" si="1">V46</f>
        <v>30</v>
      </c>
      <c r="J46" s="1"/>
      <c r="K46" s="1"/>
      <c r="L46" s="1"/>
      <c r="M46" s="1"/>
      <c r="N46" s="1">
        <v>0</v>
      </c>
      <c r="O46" s="1"/>
      <c r="V46">
        <v>30</v>
      </c>
    </row>
    <row r="47" spans="1:22" x14ac:dyDescent="0.25">
      <c r="A47" s="8" t="s">
        <v>432</v>
      </c>
      <c r="B47" s="9" t="s">
        <v>343</v>
      </c>
      <c r="C47" s="8" t="s">
        <v>432</v>
      </c>
      <c r="D47" s="1"/>
      <c r="E47" s="1"/>
      <c r="F47" s="1"/>
      <c r="G47" s="1"/>
      <c r="H47" s="1"/>
      <c r="I47" s="1">
        <f t="shared" si="1"/>
        <v>25</v>
      </c>
      <c r="J47" s="1"/>
      <c r="K47" s="1"/>
      <c r="L47" s="1"/>
      <c r="M47" s="1"/>
      <c r="N47" s="1">
        <v>0</v>
      </c>
      <c r="O47" s="1"/>
      <c r="V47">
        <v>25</v>
      </c>
    </row>
    <row r="48" spans="1:22" x14ac:dyDescent="0.25">
      <c r="A48" s="8" t="s">
        <v>432</v>
      </c>
      <c r="B48" s="9" t="s">
        <v>344</v>
      </c>
      <c r="C48" s="8" t="s">
        <v>432</v>
      </c>
      <c r="D48" s="1"/>
      <c r="E48" s="1"/>
      <c r="F48" s="1"/>
      <c r="G48" s="1"/>
      <c r="H48" s="1"/>
      <c r="I48" s="1">
        <f t="shared" si="1"/>
        <v>30</v>
      </c>
      <c r="J48" s="1"/>
      <c r="K48" s="1"/>
      <c r="L48" s="1"/>
      <c r="M48" s="1"/>
      <c r="N48" s="1">
        <v>0</v>
      </c>
      <c r="O48" s="1"/>
      <c r="V48">
        <v>30</v>
      </c>
    </row>
    <row r="49" spans="1:22" x14ac:dyDescent="0.25">
      <c r="A49" s="8" t="s">
        <v>432</v>
      </c>
      <c r="B49" s="3" t="s">
        <v>592</v>
      </c>
      <c r="C49" s="8" t="s">
        <v>432</v>
      </c>
      <c r="D49" s="1"/>
      <c r="E49" s="1"/>
      <c r="F49" s="1"/>
      <c r="G49" s="1"/>
      <c r="H49" s="1"/>
      <c r="I49" s="1">
        <f t="shared" si="1"/>
        <v>30</v>
      </c>
      <c r="J49" s="1"/>
      <c r="K49" s="1"/>
      <c r="L49" s="1"/>
      <c r="M49" s="1"/>
      <c r="N49" s="1">
        <v>0</v>
      </c>
      <c r="O49" s="1"/>
      <c r="V49">
        <v>30</v>
      </c>
    </row>
    <row r="50" spans="1:22" x14ac:dyDescent="0.25">
      <c r="A50" s="8" t="s">
        <v>432</v>
      </c>
      <c r="B50" s="9" t="s">
        <v>345</v>
      </c>
      <c r="C50" s="8" t="s">
        <v>432</v>
      </c>
      <c r="D50" s="1"/>
      <c r="E50" s="1"/>
      <c r="F50" s="1"/>
      <c r="G50" s="1"/>
      <c r="H50" s="1"/>
      <c r="I50" s="1">
        <f t="shared" si="1"/>
        <v>27</v>
      </c>
      <c r="J50" s="1"/>
      <c r="K50" s="1"/>
      <c r="L50" s="1"/>
      <c r="M50" s="1"/>
      <c r="N50" s="1">
        <v>0</v>
      </c>
      <c r="O50" s="1"/>
      <c r="V50">
        <v>27</v>
      </c>
    </row>
    <row r="51" spans="1:22" x14ac:dyDescent="0.25">
      <c r="A51" s="8" t="s">
        <v>432</v>
      </c>
      <c r="B51" s="9" t="s">
        <v>346</v>
      </c>
      <c r="C51" s="8" t="s">
        <v>432</v>
      </c>
      <c r="D51" s="1"/>
      <c r="E51" s="1"/>
      <c r="F51" s="1"/>
      <c r="G51" s="1"/>
      <c r="H51" s="1"/>
      <c r="I51" s="1">
        <f t="shared" si="1"/>
        <v>30</v>
      </c>
      <c r="J51" s="1"/>
      <c r="K51" s="1"/>
      <c r="L51" s="1"/>
      <c r="M51" s="1"/>
      <c r="N51" s="1">
        <v>0</v>
      </c>
      <c r="O51" s="1"/>
      <c r="V51">
        <v>30</v>
      </c>
    </row>
    <row r="52" spans="1:22" x14ac:dyDescent="0.25">
      <c r="A52" s="8" t="s">
        <v>432</v>
      </c>
      <c r="B52" s="9" t="s">
        <v>347</v>
      </c>
      <c r="C52" s="8" t="s">
        <v>432</v>
      </c>
      <c r="D52" s="1"/>
      <c r="E52" s="1"/>
      <c r="F52" s="1"/>
      <c r="G52" s="1"/>
      <c r="H52" s="1"/>
      <c r="I52" s="1">
        <f t="shared" si="1"/>
        <v>38</v>
      </c>
      <c r="J52" s="1"/>
      <c r="K52" s="1"/>
      <c r="L52" s="1"/>
      <c r="M52" s="1"/>
      <c r="N52" s="1">
        <v>0</v>
      </c>
      <c r="O52" s="1"/>
      <c r="V52">
        <v>38</v>
      </c>
    </row>
    <row r="53" spans="1:22" x14ac:dyDescent="0.25">
      <c r="A53" s="8" t="s">
        <v>432</v>
      </c>
      <c r="B53" s="9" t="s">
        <v>348</v>
      </c>
      <c r="C53" s="8" t="s">
        <v>432</v>
      </c>
      <c r="D53" s="1"/>
      <c r="E53" s="1"/>
      <c r="F53" s="1"/>
      <c r="G53" s="1"/>
      <c r="H53" s="1"/>
      <c r="I53" s="1">
        <f t="shared" si="1"/>
        <v>30</v>
      </c>
      <c r="J53" s="1"/>
      <c r="K53" s="1"/>
      <c r="L53" s="1"/>
      <c r="M53" s="1"/>
      <c r="N53" s="1">
        <v>0</v>
      </c>
      <c r="O53" s="1"/>
      <c r="V53">
        <v>30</v>
      </c>
    </row>
    <row r="54" spans="1:22" x14ac:dyDescent="0.25">
      <c r="A54" s="8" t="s">
        <v>432</v>
      </c>
      <c r="B54" s="9" t="s">
        <v>349</v>
      </c>
      <c r="C54" s="8" t="s">
        <v>432</v>
      </c>
      <c r="D54" s="1"/>
      <c r="E54" s="1"/>
      <c r="F54" s="1"/>
      <c r="G54" s="1"/>
      <c r="H54" s="1"/>
      <c r="I54" s="1">
        <f t="shared" si="1"/>
        <v>36</v>
      </c>
      <c r="J54" s="1"/>
      <c r="K54" s="1"/>
      <c r="L54" s="1"/>
      <c r="M54" s="1"/>
      <c r="N54" s="1">
        <v>0</v>
      </c>
      <c r="O54" s="1"/>
      <c r="V54">
        <v>36</v>
      </c>
    </row>
    <row r="55" spans="1:22" x14ac:dyDescent="0.25">
      <c r="A55" s="8" t="s">
        <v>432</v>
      </c>
      <c r="B55" s="9" t="s">
        <v>350</v>
      </c>
      <c r="C55" s="8" t="s">
        <v>432</v>
      </c>
      <c r="D55" s="1"/>
      <c r="E55" s="1"/>
      <c r="F55" s="1"/>
      <c r="G55" s="1"/>
      <c r="H55" s="1"/>
      <c r="I55" s="1">
        <f t="shared" si="1"/>
        <v>39</v>
      </c>
      <c r="J55" s="1"/>
      <c r="K55" s="1"/>
      <c r="L55" s="1"/>
      <c r="M55" s="1"/>
      <c r="N55" s="1">
        <v>0</v>
      </c>
      <c r="O55" s="1"/>
      <c r="V55">
        <v>39</v>
      </c>
    </row>
    <row r="56" spans="1:22" x14ac:dyDescent="0.25">
      <c r="A56" s="8" t="s">
        <v>432</v>
      </c>
      <c r="B56" s="9" t="s">
        <v>351</v>
      </c>
      <c r="C56" s="8" t="s">
        <v>432</v>
      </c>
      <c r="D56" s="1"/>
      <c r="E56" s="1"/>
      <c r="F56" s="1"/>
      <c r="G56" s="1"/>
      <c r="H56" s="1"/>
      <c r="I56" s="1">
        <f t="shared" si="1"/>
        <v>35</v>
      </c>
      <c r="J56" s="1"/>
      <c r="K56" s="1"/>
      <c r="L56" s="1"/>
      <c r="M56" s="1"/>
      <c r="N56" s="1">
        <v>0</v>
      </c>
      <c r="O56" s="1"/>
      <c r="V56">
        <v>35</v>
      </c>
    </row>
    <row r="57" spans="1:22" x14ac:dyDescent="0.25">
      <c r="A57" s="8" t="s">
        <v>432</v>
      </c>
      <c r="B57" s="9" t="s">
        <v>352</v>
      </c>
      <c r="C57" s="8" t="s">
        <v>432</v>
      </c>
      <c r="D57" s="1"/>
      <c r="E57" s="1"/>
      <c r="F57" s="1"/>
      <c r="G57" s="1"/>
      <c r="H57" s="1"/>
      <c r="I57" s="1">
        <f t="shared" si="1"/>
        <v>34</v>
      </c>
      <c r="J57" s="1"/>
      <c r="K57" s="1"/>
      <c r="L57" s="1"/>
      <c r="M57" s="1"/>
      <c r="N57" s="1">
        <v>0</v>
      </c>
      <c r="O57" s="1"/>
      <c r="V57">
        <v>34</v>
      </c>
    </row>
    <row r="58" spans="1:22" x14ac:dyDescent="0.25">
      <c r="A58" s="8" t="s">
        <v>432</v>
      </c>
      <c r="B58" s="9" t="s">
        <v>353</v>
      </c>
      <c r="C58" s="8" t="s">
        <v>432</v>
      </c>
      <c r="D58" s="1"/>
      <c r="E58" s="1"/>
      <c r="F58" s="1"/>
      <c r="G58" s="1"/>
      <c r="H58" s="1"/>
      <c r="I58" s="1">
        <f t="shared" si="1"/>
        <v>32</v>
      </c>
      <c r="J58" s="1"/>
      <c r="K58" s="1"/>
      <c r="L58" s="1"/>
      <c r="M58" s="1"/>
      <c r="N58" s="1">
        <v>0</v>
      </c>
      <c r="O58" s="1"/>
      <c r="V58">
        <v>32</v>
      </c>
    </row>
    <row r="59" spans="1:22" x14ac:dyDescent="0.25">
      <c r="A59" s="8" t="s">
        <v>432</v>
      </c>
      <c r="B59" s="9" t="s">
        <v>354</v>
      </c>
      <c r="C59" s="8" t="s">
        <v>432</v>
      </c>
      <c r="D59" s="1"/>
      <c r="E59" s="1"/>
      <c r="F59" s="1"/>
      <c r="G59" s="1"/>
      <c r="H59" s="1"/>
      <c r="I59" s="1">
        <f t="shared" si="1"/>
        <v>30</v>
      </c>
      <c r="J59" s="1"/>
      <c r="K59" s="1"/>
      <c r="L59" s="1"/>
      <c r="M59" s="1"/>
      <c r="N59" s="1">
        <v>0</v>
      </c>
      <c r="O59" s="1"/>
      <c r="V59">
        <v>30</v>
      </c>
    </row>
    <row r="60" spans="1:22" x14ac:dyDescent="0.25">
      <c r="A60" s="8" t="s">
        <v>432</v>
      </c>
      <c r="B60" s="9" t="s">
        <v>355</v>
      </c>
      <c r="C60" s="8" t="s">
        <v>432</v>
      </c>
      <c r="D60" s="1"/>
      <c r="E60" s="1"/>
      <c r="F60" s="1"/>
      <c r="G60" s="1"/>
      <c r="H60" s="1"/>
      <c r="I60" s="1">
        <f t="shared" si="1"/>
        <v>33</v>
      </c>
      <c r="J60" s="1"/>
      <c r="K60" s="1"/>
      <c r="L60" s="1"/>
      <c r="M60" s="1"/>
      <c r="N60" s="1">
        <v>0</v>
      </c>
      <c r="O60" s="1"/>
      <c r="V60">
        <v>33</v>
      </c>
    </row>
    <row r="61" spans="1:22" x14ac:dyDescent="0.25">
      <c r="A61" s="8" t="s">
        <v>432</v>
      </c>
      <c r="B61" s="9" t="s">
        <v>356</v>
      </c>
      <c r="C61" s="8" t="s">
        <v>432</v>
      </c>
      <c r="D61" s="1"/>
      <c r="E61" s="1"/>
      <c r="F61" s="1"/>
      <c r="G61" s="1"/>
      <c r="H61" s="1"/>
      <c r="I61" s="1">
        <f t="shared" si="1"/>
        <v>30</v>
      </c>
      <c r="J61" s="1"/>
      <c r="K61" s="1"/>
      <c r="L61" s="1"/>
      <c r="M61" s="1"/>
      <c r="N61" s="1">
        <v>0</v>
      </c>
      <c r="O61" s="1"/>
      <c r="V61">
        <v>30</v>
      </c>
    </row>
    <row r="62" spans="1:22" x14ac:dyDescent="0.25">
      <c r="A62" s="8" t="s">
        <v>432</v>
      </c>
      <c r="B62" s="9" t="s">
        <v>1248</v>
      </c>
      <c r="C62" s="8" t="s">
        <v>432</v>
      </c>
      <c r="D62" s="1"/>
      <c r="E62" s="1"/>
      <c r="F62" s="1"/>
      <c r="G62" s="1"/>
      <c r="H62" s="1"/>
      <c r="I62" s="1">
        <v>39</v>
      </c>
      <c r="J62" s="1"/>
      <c r="K62" s="1"/>
      <c r="L62" s="1"/>
      <c r="M62" s="1"/>
      <c r="N62" s="1"/>
      <c r="O62" s="1"/>
    </row>
    <row r="63" spans="1:22" x14ac:dyDescent="0.25">
      <c r="A63" s="8" t="s">
        <v>432</v>
      </c>
      <c r="B63" s="9" t="s">
        <v>357</v>
      </c>
      <c r="C63" s="8" t="s">
        <v>432</v>
      </c>
      <c r="D63" s="1"/>
      <c r="E63" s="1"/>
      <c r="F63" s="1"/>
      <c r="G63" s="1"/>
      <c r="H63" s="1"/>
      <c r="I63" s="1">
        <f t="shared" si="1"/>
        <v>40</v>
      </c>
      <c r="J63" s="1"/>
      <c r="K63" s="1"/>
      <c r="L63" s="1"/>
      <c r="M63" s="1"/>
      <c r="N63" s="1">
        <v>0</v>
      </c>
      <c r="O63" s="1"/>
      <c r="V63">
        <v>40</v>
      </c>
    </row>
    <row r="64" spans="1:22" x14ac:dyDescent="0.25">
      <c r="A64" s="8" t="s">
        <v>432</v>
      </c>
      <c r="B64" s="9" t="s">
        <v>358</v>
      </c>
      <c r="C64" s="8" t="s">
        <v>432</v>
      </c>
      <c r="D64" s="1"/>
      <c r="E64" s="1"/>
      <c r="F64" s="1"/>
      <c r="G64" s="1"/>
      <c r="H64" s="1"/>
      <c r="I64" s="1">
        <f t="shared" si="1"/>
        <v>30</v>
      </c>
      <c r="J64" s="1"/>
      <c r="K64" s="1"/>
      <c r="L64" s="1"/>
      <c r="M64" s="1"/>
      <c r="N64" s="1">
        <v>0</v>
      </c>
      <c r="O64" s="1"/>
      <c r="V64">
        <v>30</v>
      </c>
    </row>
    <row r="65" spans="1:22" x14ac:dyDescent="0.25">
      <c r="A65" s="8" t="s">
        <v>432</v>
      </c>
      <c r="B65" s="9" t="s">
        <v>359</v>
      </c>
      <c r="C65" s="8" t="s">
        <v>432</v>
      </c>
      <c r="D65" s="1"/>
      <c r="E65" s="1"/>
      <c r="F65" s="1"/>
      <c r="G65" s="1"/>
      <c r="H65" s="1"/>
      <c r="I65" s="1">
        <f t="shared" si="1"/>
        <v>42</v>
      </c>
      <c r="J65" s="1"/>
      <c r="K65" s="1"/>
      <c r="L65" s="1"/>
      <c r="M65" s="1"/>
      <c r="N65" s="1">
        <v>0</v>
      </c>
      <c r="O65" s="1"/>
      <c r="V65">
        <v>42</v>
      </c>
    </row>
    <row r="66" spans="1:22" x14ac:dyDescent="0.25">
      <c r="A66" s="8" t="s">
        <v>432</v>
      </c>
      <c r="B66" s="9" t="s">
        <v>360</v>
      </c>
      <c r="C66" s="8" t="s">
        <v>432</v>
      </c>
      <c r="D66" s="1"/>
      <c r="E66" s="1"/>
      <c r="F66" s="1"/>
      <c r="G66" s="1"/>
      <c r="H66" s="1"/>
      <c r="I66" s="1">
        <f t="shared" si="1"/>
        <v>30</v>
      </c>
      <c r="J66" s="1"/>
      <c r="K66" s="1"/>
      <c r="L66" s="1"/>
      <c r="M66" s="1"/>
      <c r="N66" s="1">
        <v>0</v>
      </c>
      <c r="O66" s="1"/>
      <c r="V66">
        <v>30</v>
      </c>
    </row>
    <row r="67" spans="1:22" x14ac:dyDescent="0.25">
      <c r="A67" s="8" t="s">
        <v>432</v>
      </c>
      <c r="B67" s="9" t="s">
        <v>361</v>
      </c>
      <c r="C67" s="8" t="s">
        <v>432</v>
      </c>
      <c r="D67" s="1"/>
      <c r="E67" s="1"/>
      <c r="F67" s="1"/>
      <c r="G67" s="1"/>
      <c r="H67" s="1"/>
      <c r="I67" s="1">
        <f t="shared" si="1"/>
        <v>32</v>
      </c>
      <c r="J67" s="1"/>
      <c r="K67" s="1"/>
      <c r="L67" s="1"/>
      <c r="M67" s="1"/>
      <c r="N67" s="1">
        <v>0</v>
      </c>
      <c r="O67" s="1"/>
      <c r="V67">
        <v>32</v>
      </c>
    </row>
    <row r="68" spans="1:22" x14ac:dyDescent="0.25">
      <c r="A68" s="8" t="s">
        <v>432</v>
      </c>
      <c r="B68" s="9" t="s">
        <v>362</v>
      </c>
      <c r="C68" s="8" t="s">
        <v>432</v>
      </c>
      <c r="D68" s="1"/>
      <c r="E68" s="1"/>
      <c r="F68" s="1"/>
      <c r="G68" s="1"/>
      <c r="H68" s="1"/>
      <c r="I68" s="1">
        <f t="shared" si="1"/>
        <v>32</v>
      </c>
      <c r="J68" s="1"/>
      <c r="K68" s="1"/>
      <c r="L68" s="1"/>
      <c r="M68" s="1"/>
      <c r="N68" s="1">
        <v>0</v>
      </c>
      <c r="O68" s="1"/>
      <c r="V68">
        <v>32</v>
      </c>
    </row>
    <row r="69" spans="1:22" x14ac:dyDescent="0.25">
      <c r="A69" s="8" t="s">
        <v>432</v>
      </c>
      <c r="B69" s="9" t="s">
        <v>363</v>
      </c>
      <c r="C69" s="8" t="s">
        <v>432</v>
      </c>
      <c r="D69" s="1"/>
      <c r="E69" s="1"/>
      <c r="F69" s="1"/>
      <c r="G69" s="1"/>
      <c r="H69" s="1"/>
      <c r="I69" s="1">
        <f t="shared" si="1"/>
        <v>36</v>
      </c>
      <c r="J69" s="1"/>
      <c r="K69" s="1"/>
      <c r="L69" s="1"/>
      <c r="M69" s="1"/>
      <c r="N69" s="1">
        <v>0</v>
      </c>
      <c r="O69" s="1"/>
      <c r="V69">
        <v>36</v>
      </c>
    </row>
    <row r="70" spans="1:22" x14ac:dyDescent="0.25">
      <c r="A70" s="8" t="s">
        <v>432</v>
      </c>
      <c r="B70" s="3" t="s">
        <v>593</v>
      </c>
      <c r="C70" s="8" t="s">
        <v>432</v>
      </c>
      <c r="D70" s="1"/>
      <c r="E70" s="1"/>
      <c r="F70" s="1"/>
      <c r="G70" s="1"/>
      <c r="H70" s="1"/>
      <c r="I70" s="1">
        <f t="shared" si="1"/>
        <v>35</v>
      </c>
      <c r="J70" s="1"/>
      <c r="K70" s="1"/>
      <c r="L70" s="1"/>
      <c r="M70" s="1"/>
      <c r="N70" s="1">
        <v>0</v>
      </c>
      <c r="O70" s="1"/>
      <c r="V70">
        <v>35</v>
      </c>
    </row>
    <row r="71" spans="1:22" x14ac:dyDescent="0.25">
      <c r="A71" s="8" t="s">
        <v>432</v>
      </c>
      <c r="B71" s="9" t="s">
        <v>364</v>
      </c>
      <c r="C71" s="8" t="s">
        <v>432</v>
      </c>
      <c r="D71" s="1"/>
      <c r="E71" s="1"/>
      <c r="F71" s="1"/>
      <c r="G71" s="1"/>
      <c r="H71" s="1"/>
      <c r="I71" s="1">
        <f t="shared" si="1"/>
        <v>35</v>
      </c>
      <c r="J71" s="1"/>
      <c r="K71" s="1"/>
      <c r="L71" s="1"/>
      <c r="M71" s="1"/>
      <c r="N71" s="1">
        <v>0</v>
      </c>
      <c r="O71" s="1"/>
      <c r="V71">
        <v>35</v>
      </c>
    </row>
    <row r="72" spans="1:22" x14ac:dyDescent="0.25">
      <c r="A72" s="8" t="s">
        <v>432</v>
      </c>
      <c r="B72" s="9" t="s">
        <v>365</v>
      </c>
      <c r="C72" s="8" t="s">
        <v>432</v>
      </c>
      <c r="D72" s="1"/>
      <c r="E72" s="1"/>
      <c r="F72" s="1"/>
      <c r="G72" s="1"/>
      <c r="H72" s="1"/>
      <c r="I72" s="1">
        <f t="shared" si="1"/>
        <v>65</v>
      </c>
      <c r="J72" s="1"/>
      <c r="K72" s="1"/>
      <c r="L72" s="1"/>
      <c r="M72" s="1"/>
      <c r="N72" s="1">
        <v>0</v>
      </c>
      <c r="O72" s="1"/>
      <c r="V72">
        <v>65</v>
      </c>
    </row>
    <row r="73" spans="1:22" x14ac:dyDescent="0.25">
      <c r="A73" s="8" t="s">
        <v>432</v>
      </c>
      <c r="B73" s="9" t="s">
        <v>366</v>
      </c>
      <c r="C73" s="8" t="s">
        <v>432</v>
      </c>
      <c r="D73" s="1"/>
      <c r="E73" s="1"/>
      <c r="F73" s="1"/>
      <c r="G73" s="1"/>
      <c r="H73" s="1"/>
      <c r="I73" s="1">
        <f t="shared" si="1"/>
        <v>45</v>
      </c>
      <c r="J73" s="1"/>
      <c r="K73" s="1"/>
      <c r="L73" s="1"/>
      <c r="M73" s="1"/>
      <c r="N73" s="1">
        <v>0</v>
      </c>
      <c r="O73" s="1"/>
      <c r="V73">
        <v>45</v>
      </c>
    </row>
    <row r="74" spans="1:22" x14ac:dyDescent="0.25">
      <c r="A74" s="8" t="s">
        <v>432</v>
      </c>
      <c r="B74" s="9" t="s">
        <v>367</v>
      </c>
      <c r="C74" s="8" t="s">
        <v>432</v>
      </c>
      <c r="D74" s="1"/>
      <c r="E74" s="1"/>
      <c r="F74" s="1"/>
      <c r="G74" s="1"/>
      <c r="H74" s="1"/>
      <c r="I74" s="1">
        <f t="shared" si="1"/>
        <v>35</v>
      </c>
      <c r="J74" s="1"/>
      <c r="K74" s="1"/>
      <c r="L74" s="1"/>
      <c r="M74" s="1"/>
      <c r="N74" s="1">
        <v>0</v>
      </c>
      <c r="O74" s="1"/>
      <c r="V74">
        <v>35</v>
      </c>
    </row>
    <row r="75" spans="1:22" x14ac:dyDescent="0.25">
      <c r="A75" s="8" t="s">
        <v>432</v>
      </c>
      <c r="B75" s="9" t="s">
        <v>368</v>
      </c>
      <c r="C75" s="8" t="s">
        <v>432</v>
      </c>
      <c r="D75" s="1"/>
      <c r="E75" s="1"/>
      <c r="F75" s="1"/>
      <c r="G75" s="1"/>
      <c r="H75" s="1"/>
      <c r="I75" s="1">
        <f t="shared" si="1"/>
        <v>40</v>
      </c>
      <c r="J75" s="1"/>
      <c r="K75" s="1"/>
      <c r="L75" s="1"/>
      <c r="M75" s="1"/>
      <c r="N75" s="1">
        <v>0</v>
      </c>
      <c r="O75" s="1"/>
      <c r="V75">
        <v>40</v>
      </c>
    </row>
    <row r="76" spans="1:22" x14ac:dyDescent="0.25">
      <c r="A76" s="8" t="s">
        <v>432</v>
      </c>
      <c r="B76" s="9" t="s">
        <v>369</v>
      </c>
      <c r="C76" s="8" t="s">
        <v>432</v>
      </c>
      <c r="D76" s="1"/>
      <c r="E76" s="1"/>
      <c r="F76" s="1"/>
      <c r="G76" s="1"/>
      <c r="H76" s="1"/>
      <c r="I76" s="1">
        <f t="shared" si="1"/>
        <v>35</v>
      </c>
      <c r="J76" s="1"/>
      <c r="K76" s="1"/>
      <c r="L76" s="1"/>
      <c r="M76" s="1"/>
      <c r="N76" s="1">
        <v>0</v>
      </c>
      <c r="O76" s="1"/>
      <c r="V76">
        <v>35</v>
      </c>
    </row>
    <row r="77" spans="1:22" x14ac:dyDescent="0.25">
      <c r="A77" s="8" t="s">
        <v>432</v>
      </c>
      <c r="B77" s="9" t="s">
        <v>370</v>
      </c>
      <c r="C77" s="8" t="s">
        <v>432</v>
      </c>
      <c r="D77" s="1"/>
      <c r="E77" s="1"/>
      <c r="F77" s="1"/>
      <c r="G77" s="1"/>
      <c r="H77" s="1"/>
      <c r="I77" s="1">
        <f>V77</f>
        <v>35</v>
      </c>
      <c r="J77" s="1"/>
      <c r="K77" s="1"/>
      <c r="L77" s="1"/>
      <c r="M77" s="1"/>
      <c r="N77" s="1">
        <v>0</v>
      </c>
      <c r="O77" s="1"/>
      <c r="V77">
        <v>35</v>
      </c>
    </row>
    <row r="78" spans="1:22" x14ac:dyDescent="0.25">
      <c r="A78" s="8" t="s">
        <v>432</v>
      </c>
      <c r="B78" s="9" t="s">
        <v>371</v>
      </c>
      <c r="C78" s="8" t="s">
        <v>432</v>
      </c>
      <c r="D78" s="1"/>
      <c r="E78" s="1"/>
      <c r="F78" s="1"/>
      <c r="G78" s="1"/>
      <c r="H78" s="1"/>
      <c r="I78" s="1">
        <f t="shared" si="1"/>
        <v>75</v>
      </c>
      <c r="J78" s="1"/>
      <c r="K78" s="1"/>
      <c r="L78" s="1"/>
      <c r="M78" s="1"/>
      <c r="N78" s="1">
        <v>0</v>
      </c>
      <c r="O78" s="1"/>
      <c r="V78">
        <v>75</v>
      </c>
    </row>
    <row r="79" spans="1:22" x14ac:dyDescent="0.25">
      <c r="A79" s="8" t="s">
        <v>432</v>
      </c>
      <c r="B79" s="9" t="s">
        <v>372</v>
      </c>
      <c r="C79" s="8" t="s">
        <v>432</v>
      </c>
      <c r="D79" s="1"/>
      <c r="E79" s="1"/>
      <c r="F79" s="1"/>
      <c r="G79" s="1"/>
      <c r="H79" s="1"/>
      <c r="I79" s="1">
        <f t="shared" si="1"/>
        <v>50</v>
      </c>
      <c r="J79" s="1"/>
      <c r="K79" s="1"/>
      <c r="L79" s="1"/>
      <c r="M79" s="1"/>
      <c r="N79" s="1">
        <v>0</v>
      </c>
      <c r="O79" s="1"/>
      <c r="V79">
        <v>50</v>
      </c>
    </row>
    <row r="80" spans="1:22" x14ac:dyDescent="0.25">
      <c r="A80" s="8" t="s">
        <v>432</v>
      </c>
      <c r="B80" s="9" t="s">
        <v>373</v>
      </c>
      <c r="C80" s="8" t="s">
        <v>432</v>
      </c>
      <c r="D80" s="1"/>
      <c r="E80" s="1"/>
      <c r="F80" s="1"/>
      <c r="G80" s="1"/>
      <c r="H80" s="1"/>
      <c r="I80" s="1">
        <f t="shared" si="1"/>
        <v>55</v>
      </c>
      <c r="J80" s="1"/>
      <c r="K80" s="1"/>
      <c r="L80" s="1"/>
      <c r="M80" s="1"/>
      <c r="N80" s="1">
        <v>0</v>
      </c>
      <c r="O80" s="1"/>
      <c r="V80">
        <v>55</v>
      </c>
    </row>
    <row r="81" spans="1:22" x14ac:dyDescent="0.25">
      <c r="A81" s="8" t="s">
        <v>432</v>
      </c>
      <c r="B81" s="9" t="s">
        <v>374</v>
      </c>
      <c r="C81" s="8" t="s">
        <v>432</v>
      </c>
      <c r="D81" s="1"/>
      <c r="E81" s="1"/>
      <c r="F81" s="1"/>
      <c r="G81" s="1"/>
      <c r="H81" s="1"/>
      <c r="I81" s="1">
        <f t="shared" si="1"/>
        <v>40</v>
      </c>
      <c r="J81" s="1"/>
      <c r="K81" s="1"/>
      <c r="L81" s="1"/>
      <c r="M81" s="1"/>
      <c r="N81" s="1">
        <v>0</v>
      </c>
      <c r="O81" s="1"/>
      <c r="V81">
        <v>40</v>
      </c>
    </row>
    <row r="82" spans="1:22" x14ac:dyDescent="0.25">
      <c r="A82" s="8" t="s">
        <v>432</v>
      </c>
      <c r="B82" s="9" t="s">
        <v>375</v>
      </c>
      <c r="C82" s="8" t="s">
        <v>432</v>
      </c>
      <c r="D82" s="1"/>
      <c r="E82" s="1"/>
      <c r="F82" s="1"/>
      <c r="G82" s="1"/>
      <c r="H82" s="1"/>
      <c r="I82" s="1">
        <f t="shared" si="1"/>
        <v>50</v>
      </c>
      <c r="J82" s="1"/>
      <c r="K82" s="1"/>
      <c r="L82" s="1"/>
      <c r="M82" s="1"/>
      <c r="N82" s="1">
        <v>0</v>
      </c>
      <c r="O82" s="1"/>
      <c r="V82">
        <v>50</v>
      </c>
    </row>
    <row r="83" spans="1:22" x14ac:dyDescent="0.25">
      <c r="A83" s="8" t="s">
        <v>432</v>
      </c>
      <c r="B83" s="9" t="s">
        <v>732</v>
      </c>
      <c r="C83" s="8" t="s">
        <v>432</v>
      </c>
      <c r="D83" s="1"/>
      <c r="E83" s="1"/>
      <c r="F83" s="1"/>
      <c r="G83" s="1"/>
      <c r="H83" s="1"/>
      <c r="I83" s="1">
        <f t="shared" si="1"/>
        <v>70</v>
      </c>
      <c r="J83" s="1"/>
      <c r="K83" s="1"/>
      <c r="L83" s="1"/>
      <c r="M83" s="1"/>
      <c r="N83" s="1">
        <v>0</v>
      </c>
      <c r="O83" s="1"/>
      <c r="V83">
        <v>70</v>
      </c>
    </row>
    <row r="84" spans="1:22" x14ac:dyDescent="0.25">
      <c r="A84" s="8" t="s">
        <v>432</v>
      </c>
      <c r="B84" s="9" t="s">
        <v>1232</v>
      </c>
      <c r="C84" s="8" t="s">
        <v>432</v>
      </c>
      <c r="D84" s="1"/>
      <c r="E84" s="1"/>
      <c r="F84" s="1"/>
      <c r="G84" s="1"/>
      <c r="H84" s="1"/>
      <c r="I84" s="1">
        <v>50</v>
      </c>
      <c r="J84" s="1"/>
      <c r="K84" s="1"/>
      <c r="L84" s="1"/>
      <c r="M84" s="1"/>
      <c r="N84" s="1"/>
      <c r="O84" s="1"/>
    </row>
    <row r="85" spans="1:22" x14ac:dyDescent="0.25">
      <c r="A85" s="8" t="s">
        <v>432</v>
      </c>
      <c r="B85" s="3" t="s">
        <v>594</v>
      </c>
      <c r="C85" s="8" t="s">
        <v>432</v>
      </c>
      <c r="D85" s="1"/>
      <c r="E85" s="1"/>
      <c r="F85" s="1"/>
      <c r="G85" s="1"/>
      <c r="H85" s="1"/>
      <c r="I85" s="1">
        <f t="shared" si="1"/>
        <v>35</v>
      </c>
      <c r="J85" s="1"/>
      <c r="K85" s="1"/>
      <c r="L85" s="1"/>
      <c r="M85" s="1"/>
      <c r="N85" s="1">
        <v>0</v>
      </c>
      <c r="O85" s="1"/>
      <c r="V85">
        <v>35</v>
      </c>
    </row>
    <row r="86" spans="1:22" x14ac:dyDescent="0.25">
      <c r="A86" s="8" t="s">
        <v>432</v>
      </c>
      <c r="B86" s="3" t="s">
        <v>1110</v>
      </c>
      <c r="C86" s="8" t="s">
        <v>432</v>
      </c>
      <c r="D86" s="1"/>
      <c r="E86" s="1"/>
      <c r="F86" s="1"/>
      <c r="G86" s="1"/>
      <c r="H86" s="1"/>
      <c r="I86" s="1">
        <f t="shared" si="1"/>
        <v>70</v>
      </c>
      <c r="J86" s="1"/>
      <c r="K86" s="1"/>
      <c r="L86" s="1"/>
      <c r="M86" s="1"/>
      <c r="N86" s="1"/>
      <c r="O86" s="1"/>
      <c r="V86">
        <v>70</v>
      </c>
    </row>
    <row r="87" spans="1:22" x14ac:dyDescent="0.25">
      <c r="A87" s="8" t="s">
        <v>432</v>
      </c>
      <c r="B87" s="9" t="s">
        <v>376</v>
      </c>
      <c r="C87" s="8" t="s">
        <v>432</v>
      </c>
      <c r="D87" s="1"/>
      <c r="E87" s="1"/>
      <c r="F87" s="1"/>
      <c r="G87" s="1"/>
      <c r="H87" s="1"/>
      <c r="I87" s="1">
        <f t="shared" si="1"/>
        <v>30</v>
      </c>
      <c r="J87" s="1"/>
      <c r="K87" s="1"/>
      <c r="L87" s="1"/>
      <c r="M87" s="1"/>
      <c r="N87" s="1">
        <v>0</v>
      </c>
      <c r="O87" s="1"/>
      <c r="V87">
        <v>30</v>
      </c>
    </row>
    <row r="88" spans="1:22" x14ac:dyDescent="0.25">
      <c r="A88" s="8" t="s">
        <v>432</v>
      </c>
      <c r="B88" s="9" t="s">
        <v>377</v>
      </c>
      <c r="C88" s="8" t="s">
        <v>432</v>
      </c>
      <c r="D88" s="1"/>
      <c r="E88" s="1"/>
      <c r="F88" s="1"/>
      <c r="G88" s="1"/>
      <c r="H88" s="1"/>
      <c r="I88" s="1">
        <f t="shared" si="1"/>
        <v>36</v>
      </c>
      <c r="J88" s="1"/>
      <c r="K88" s="1"/>
      <c r="L88" s="1"/>
      <c r="M88" s="1"/>
      <c r="N88" s="1">
        <v>0</v>
      </c>
      <c r="O88" s="1"/>
      <c r="V88">
        <v>36</v>
      </c>
    </row>
    <row r="89" spans="1:22" x14ac:dyDescent="0.25">
      <c r="A89" s="8" t="s">
        <v>432</v>
      </c>
      <c r="B89" s="9" t="s">
        <v>378</v>
      </c>
      <c r="C89" s="8" t="s">
        <v>432</v>
      </c>
      <c r="D89" s="1"/>
      <c r="E89" s="1"/>
      <c r="F89" s="1"/>
      <c r="G89" s="1"/>
      <c r="H89" s="1"/>
      <c r="I89" s="1">
        <f t="shared" si="1"/>
        <v>37</v>
      </c>
      <c r="J89" s="1"/>
      <c r="K89" s="1"/>
      <c r="L89" s="1"/>
      <c r="M89" s="1"/>
      <c r="N89" s="1">
        <v>0</v>
      </c>
      <c r="O89" s="1"/>
      <c r="V89">
        <v>37</v>
      </c>
    </row>
    <row r="90" spans="1:22" x14ac:dyDescent="0.25">
      <c r="A90" s="8" t="s">
        <v>432</v>
      </c>
      <c r="B90" s="9" t="s">
        <v>379</v>
      </c>
      <c r="C90" s="8" t="s">
        <v>432</v>
      </c>
      <c r="D90" s="1"/>
      <c r="E90" s="1"/>
      <c r="F90" s="1"/>
      <c r="G90" s="1"/>
      <c r="H90" s="1"/>
      <c r="I90" s="1">
        <f t="shared" si="1"/>
        <v>39</v>
      </c>
      <c r="J90" s="1"/>
      <c r="K90" s="1"/>
      <c r="L90" s="1"/>
      <c r="M90" s="1"/>
      <c r="N90" s="1">
        <v>0</v>
      </c>
      <c r="O90" s="1"/>
      <c r="V90">
        <v>39</v>
      </c>
    </row>
    <row r="91" spans="1:22" x14ac:dyDescent="0.25">
      <c r="A91" s="8" t="s">
        <v>432</v>
      </c>
      <c r="B91" s="9" t="s">
        <v>380</v>
      </c>
      <c r="C91" s="8" t="s">
        <v>432</v>
      </c>
      <c r="D91" s="1"/>
      <c r="E91" s="1"/>
      <c r="F91" s="1"/>
      <c r="G91" s="1"/>
      <c r="H91" s="1"/>
      <c r="I91" s="1">
        <f t="shared" si="1"/>
        <v>30</v>
      </c>
      <c r="J91" s="1"/>
      <c r="K91" s="1"/>
      <c r="L91" s="1"/>
      <c r="M91" s="1"/>
      <c r="N91" s="1">
        <v>0</v>
      </c>
      <c r="O91" s="1"/>
      <c r="V91">
        <v>30</v>
      </c>
    </row>
    <row r="92" spans="1:22" x14ac:dyDescent="0.25">
      <c r="A92" s="8" t="s">
        <v>432</v>
      </c>
      <c r="B92" s="9" t="s">
        <v>381</v>
      </c>
      <c r="C92" s="8" t="s">
        <v>432</v>
      </c>
      <c r="D92" s="1"/>
      <c r="E92" s="1"/>
      <c r="F92" s="1"/>
      <c r="G92" s="1"/>
      <c r="H92" s="1"/>
      <c r="I92" s="1">
        <f t="shared" si="1"/>
        <v>37</v>
      </c>
      <c r="J92" s="1"/>
      <c r="K92" s="1"/>
      <c r="L92" s="1"/>
      <c r="M92" s="1"/>
      <c r="N92" s="1">
        <v>0</v>
      </c>
      <c r="O92" s="1"/>
      <c r="V92">
        <v>37</v>
      </c>
    </row>
    <row r="93" spans="1:22" x14ac:dyDescent="0.25">
      <c r="A93" s="8" t="s">
        <v>432</v>
      </c>
      <c r="B93" s="9" t="s">
        <v>382</v>
      </c>
      <c r="C93" s="8" t="s">
        <v>432</v>
      </c>
      <c r="D93" s="1"/>
      <c r="E93" s="1"/>
      <c r="F93" s="1"/>
      <c r="G93" s="1"/>
      <c r="H93" s="1"/>
      <c r="I93" s="1">
        <f t="shared" si="1"/>
        <v>25</v>
      </c>
      <c r="J93" s="1"/>
      <c r="K93" s="1"/>
      <c r="L93" s="1"/>
      <c r="M93" s="1"/>
      <c r="N93" s="1">
        <v>0</v>
      </c>
      <c r="O93" s="1"/>
      <c r="V93">
        <v>25</v>
      </c>
    </row>
    <row r="94" spans="1:22" x14ac:dyDescent="0.25">
      <c r="A94" s="8" t="s">
        <v>432</v>
      </c>
      <c r="B94" s="9" t="s">
        <v>383</v>
      </c>
      <c r="C94" s="8" t="s">
        <v>432</v>
      </c>
      <c r="D94" s="1"/>
      <c r="E94" s="1"/>
      <c r="F94" s="1"/>
      <c r="G94" s="1"/>
      <c r="H94" s="1"/>
      <c r="I94" s="1">
        <f t="shared" si="1"/>
        <v>30</v>
      </c>
      <c r="J94" s="1"/>
      <c r="K94" s="1"/>
      <c r="L94" s="1"/>
      <c r="M94" s="1"/>
      <c r="N94" s="1">
        <v>0</v>
      </c>
      <c r="O94" s="1"/>
      <c r="V94">
        <v>30</v>
      </c>
    </row>
    <row r="95" spans="1:22" x14ac:dyDescent="0.25">
      <c r="A95" s="8" t="s">
        <v>432</v>
      </c>
      <c r="B95" s="9" t="s">
        <v>384</v>
      </c>
      <c r="C95" s="8" t="s">
        <v>432</v>
      </c>
      <c r="D95" s="1"/>
      <c r="E95" s="1"/>
      <c r="F95" s="1"/>
      <c r="G95" s="1"/>
      <c r="H95" s="1"/>
      <c r="I95" s="1">
        <f t="shared" si="1"/>
        <v>30</v>
      </c>
      <c r="J95" s="1"/>
      <c r="K95" s="1"/>
      <c r="L95" s="1"/>
      <c r="M95" s="1"/>
      <c r="N95" s="1">
        <v>0</v>
      </c>
      <c r="O95" s="1"/>
      <c r="V95">
        <v>30</v>
      </c>
    </row>
    <row r="96" spans="1:22" x14ac:dyDescent="0.25">
      <c r="A96" s="8" t="s">
        <v>432</v>
      </c>
      <c r="B96" s="9" t="s">
        <v>385</v>
      </c>
      <c r="C96" s="8" t="s">
        <v>432</v>
      </c>
      <c r="D96" s="1"/>
      <c r="E96" s="1"/>
      <c r="F96" s="1"/>
      <c r="G96" s="1"/>
      <c r="H96" s="1"/>
      <c r="I96" s="1">
        <f t="shared" si="1"/>
        <v>34</v>
      </c>
      <c r="J96" s="1"/>
      <c r="K96" s="1"/>
      <c r="L96" s="1"/>
      <c r="M96" s="1"/>
      <c r="N96" s="1">
        <v>0</v>
      </c>
      <c r="O96" s="1"/>
      <c r="V96">
        <v>34</v>
      </c>
    </row>
    <row r="97" spans="1:22" x14ac:dyDescent="0.25">
      <c r="A97" s="8" t="s">
        <v>432</v>
      </c>
      <c r="B97" s="9" t="s">
        <v>386</v>
      </c>
      <c r="C97" s="8" t="s">
        <v>432</v>
      </c>
      <c r="D97" s="1"/>
      <c r="E97" s="1"/>
      <c r="F97" s="1"/>
      <c r="G97" s="1"/>
      <c r="H97" s="1"/>
      <c r="I97" s="1">
        <f t="shared" si="1"/>
        <v>27</v>
      </c>
      <c r="J97" s="1"/>
      <c r="K97" s="1"/>
      <c r="L97" s="1"/>
      <c r="M97" s="1"/>
      <c r="N97" s="1">
        <v>0</v>
      </c>
      <c r="O97" s="1"/>
      <c r="V97">
        <v>27</v>
      </c>
    </row>
    <row r="98" spans="1:22" x14ac:dyDescent="0.25">
      <c r="A98" s="8" t="s">
        <v>432</v>
      </c>
      <c r="B98" s="9" t="s">
        <v>387</v>
      </c>
      <c r="C98" s="8" t="s">
        <v>432</v>
      </c>
      <c r="D98" s="1"/>
      <c r="E98" s="1"/>
      <c r="F98" s="1"/>
      <c r="G98" s="1"/>
      <c r="H98" s="1"/>
      <c r="I98" s="1">
        <f t="shared" si="1"/>
        <v>27</v>
      </c>
      <c r="J98" s="1"/>
      <c r="K98" s="1"/>
      <c r="L98" s="1"/>
      <c r="M98" s="1"/>
      <c r="N98" s="1">
        <v>0</v>
      </c>
      <c r="O98" s="1"/>
      <c r="V98">
        <v>27</v>
      </c>
    </row>
    <row r="99" spans="1:22" x14ac:dyDescent="0.25">
      <c r="A99" s="8" t="s">
        <v>432</v>
      </c>
      <c r="B99" s="9" t="s">
        <v>388</v>
      </c>
      <c r="C99" s="8" t="s">
        <v>432</v>
      </c>
      <c r="D99" s="1"/>
      <c r="E99" s="1"/>
      <c r="F99" s="1"/>
      <c r="G99" s="1"/>
      <c r="H99" s="1"/>
      <c r="I99" s="1">
        <f t="shared" si="1"/>
        <v>31</v>
      </c>
      <c r="J99" s="1"/>
      <c r="K99" s="1"/>
      <c r="L99" s="1"/>
      <c r="M99" s="1"/>
      <c r="N99" s="1">
        <v>0</v>
      </c>
      <c r="O99" s="1"/>
      <c r="V99">
        <v>31</v>
      </c>
    </row>
    <row r="100" spans="1:22" x14ac:dyDescent="0.25">
      <c r="A100" s="8" t="s">
        <v>432</v>
      </c>
      <c r="B100" s="9" t="s">
        <v>389</v>
      </c>
      <c r="C100" s="8" t="s">
        <v>432</v>
      </c>
      <c r="D100" s="1"/>
      <c r="E100" s="1"/>
      <c r="F100" s="1"/>
      <c r="G100" s="1"/>
      <c r="H100" s="1"/>
      <c r="I100" s="1">
        <f t="shared" si="1"/>
        <v>32</v>
      </c>
      <c r="J100" s="1"/>
      <c r="K100" s="1"/>
      <c r="L100" s="1"/>
      <c r="M100" s="1"/>
      <c r="N100" s="1">
        <v>0</v>
      </c>
      <c r="O100" s="1"/>
      <c r="V100">
        <v>32</v>
      </c>
    </row>
    <row r="101" spans="1:22" x14ac:dyDescent="0.25">
      <c r="A101" s="8" t="s">
        <v>432</v>
      </c>
      <c r="B101" s="9" t="s">
        <v>390</v>
      </c>
      <c r="C101" s="8" t="s">
        <v>432</v>
      </c>
      <c r="D101" s="1"/>
      <c r="E101" s="1"/>
      <c r="F101" s="1"/>
      <c r="G101" s="1"/>
      <c r="H101" s="1"/>
      <c r="I101" s="1">
        <f t="shared" si="1"/>
        <v>28</v>
      </c>
      <c r="J101" s="1"/>
      <c r="K101" s="1"/>
      <c r="L101" s="1"/>
      <c r="M101" s="1"/>
      <c r="N101" s="1">
        <v>0</v>
      </c>
      <c r="O101" s="1"/>
      <c r="V101">
        <v>28</v>
      </c>
    </row>
    <row r="102" spans="1:22" x14ac:dyDescent="0.25">
      <c r="A102" s="8" t="s">
        <v>432</v>
      </c>
      <c r="B102" s="9" t="s">
        <v>391</v>
      </c>
      <c r="C102" s="8" t="s">
        <v>432</v>
      </c>
      <c r="D102" s="1"/>
      <c r="E102" s="1"/>
      <c r="F102" s="1"/>
      <c r="G102" s="1"/>
      <c r="H102" s="1"/>
      <c r="I102" s="1">
        <f t="shared" si="1"/>
        <v>34</v>
      </c>
      <c r="J102" s="1"/>
      <c r="K102" s="1"/>
      <c r="L102" s="1"/>
      <c r="M102" s="1"/>
      <c r="N102" s="1">
        <v>0</v>
      </c>
      <c r="O102" s="1"/>
      <c r="V102">
        <v>34</v>
      </c>
    </row>
    <row r="103" spans="1:22" x14ac:dyDescent="0.25">
      <c r="A103" s="8" t="s">
        <v>432</v>
      </c>
      <c r="B103" s="9" t="s">
        <v>392</v>
      </c>
      <c r="C103" s="8" t="s">
        <v>432</v>
      </c>
      <c r="D103" s="1"/>
      <c r="E103" s="1"/>
      <c r="F103" s="1"/>
      <c r="G103" s="1"/>
      <c r="H103" s="1"/>
      <c r="I103" s="1">
        <f t="shared" si="1"/>
        <v>38</v>
      </c>
      <c r="J103" s="1"/>
      <c r="K103" s="1"/>
      <c r="L103" s="1"/>
      <c r="M103" s="1"/>
      <c r="N103" s="1">
        <v>0</v>
      </c>
      <c r="O103" s="1"/>
      <c r="V103">
        <v>38</v>
      </c>
    </row>
    <row r="104" spans="1:22" x14ac:dyDescent="0.25">
      <c r="A104" s="8" t="s">
        <v>432</v>
      </c>
      <c r="B104" s="9" t="s">
        <v>393</v>
      </c>
      <c r="C104" s="8" t="s">
        <v>432</v>
      </c>
      <c r="D104" s="1"/>
      <c r="E104" s="1"/>
      <c r="F104" s="1"/>
      <c r="G104" s="1"/>
      <c r="H104" s="1"/>
      <c r="I104" s="1">
        <f t="shared" si="1"/>
        <v>30</v>
      </c>
      <c r="J104" s="1"/>
      <c r="K104" s="1"/>
      <c r="L104" s="1"/>
      <c r="M104" s="1"/>
      <c r="N104" s="1">
        <v>0</v>
      </c>
      <c r="O104" s="1"/>
      <c r="V104">
        <v>30</v>
      </c>
    </row>
    <row r="105" spans="1:22" x14ac:dyDescent="0.25">
      <c r="A105" s="8" t="s">
        <v>432</v>
      </c>
      <c r="B105" s="9" t="s">
        <v>394</v>
      </c>
      <c r="C105" s="8" t="s">
        <v>432</v>
      </c>
      <c r="D105" s="1"/>
      <c r="E105" s="1"/>
      <c r="F105" s="1"/>
      <c r="G105" s="1"/>
      <c r="H105" s="1"/>
      <c r="I105" s="1">
        <f t="shared" si="1"/>
        <v>30</v>
      </c>
      <c r="J105" s="1"/>
      <c r="K105" s="1"/>
      <c r="L105" s="1"/>
      <c r="M105" s="1"/>
      <c r="N105" s="1">
        <v>0</v>
      </c>
      <c r="O105" s="1"/>
      <c r="V105">
        <v>30</v>
      </c>
    </row>
    <row r="106" spans="1:22" x14ac:dyDescent="0.25">
      <c r="A106" s="8" t="s">
        <v>432</v>
      </c>
      <c r="B106" s="9" t="s">
        <v>395</v>
      </c>
      <c r="C106" s="8" t="s">
        <v>432</v>
      </c>
      <c r="D106" s="1"/>
      <c r="E106" s="1"/>
      <c r="F106" s="1"/>
      <c r="G106" s="1"/>
      <c r="H106" s="1"/>
      <c r="I106" s="1">
        <f t="shared" si="1"/>
        <v>30</v>
      </c>
      <c r="J106" s="1"/>
      <c r="K106" s="1"/>
      <c r="L106" s="1"/>
      <c r="M106" s="1"/>
      <c r="N106" s="1">
        <v>0</v>
      </c>
      <c r="O106" s="1"/>
      <c r="V106">
        <v>30</v>
      </c>
    </row>
    <row r="107" spans="1:22" x14ac:dyDescent="0.25">
      <c r="A107" s="8" t="s">
        <v>432</v>
      </c>
      <c r="B107" s="9" t="s">
        <v>396</v>
      </c>
      <c r="C107" s="8" t="s">
        <v>432</v>
      </c>
      <c r="D107" s="1"/>
      <c r="E107" s="1"/>
      <c r="F107" s="1"/>
      <c r="G107" s="1"/>
      <c r="H107" s="1"/>
      <c r="I107" s="1">
        <f t="shared" si="1"/>
        <v>32</v>
      </c>
      <c r="J107" s="1"/>
      <c r="K107" s="1"/>
      <c r="L107" s="1"/>
      <c r="M107" s="1"/>
      <c r="N107" s="1">
        <v>0</v>
      </c>
      <c r="O107" s="1"/>
      <c r="V107">
        <v>32</v>
      </c>
    </row>
    <row r="108" spans="1:22" x14ac:dyDescent="0.25">
      <c r="A108" s="8" t="s">
        <v>432</v>
      </c>
      <c r="B108" s="9" t="s">
        <v>397</v>
      </c>
      <c r="C108" s="8" t="s">
        <v>432</v>
      </c>
      <c r="D108" s="1"/>
      <c r="E108" s="1"/>
      <c r="F108" s="1"/>
      <c r="G108" s="1"/>
      <c r="H108" s="1"/>
      <c r="I108" s="1">
        <f t="shared" si="1"/>
        <v>34</v>
      </c>
      <c r="J108" s="1"/>
      <c r="K108" s="1"/>
      <c r="L108" s="1"/>
      <c r="M108" s="1"/>
      <c r="N108" s="1">
        <v>0</v>
      </c>
      <c r="O108" s="1"/>
      <c r="V108">
        <v>34</v>
      </c>
    </row>
    <row r="109" spans="1:22" x14ac:dyDescent="0.25">
      <c r="A109" s="8" t="s">
        <v>432</v>
      </c>
      <c r="B109" s="9" t="s">
        <v>398</v>
      </c>
      <c r="C109" s="8" t="s">
        <v>432</v>
      </c>
      <c r="D109" s="1"/>
      <c r="E109" s="1"/>
      <c r="F109" s="1"/>
      <c r="G109" s="1"/>
      <c r="H109" s="1"/>
      <c r="I109" s="1">
        <f t="shared" si="1"/>
        <v>39</v>
      </c>
      <c r="J109" s="1"/>
      <c r="K109" s="1"/>
      <c r="L109" s="1"/>
      <c r="M109" s="1"/>
      <c r="N109" s="1">
        <v>0</v>
      </c>
      <c r="O109" s="1"/>
      <c r="V109">
        <v>39</v>
      </c>
    </row>
    <row r="110" spans="1:22" x14ac:dyDescent="0.25">
      <c r="A110" s="8" t="s">
        <v>432</v>
      </c>
      <c r="B110" s="9" t="s">
        <v>399</v>
      </c>
      <c r="C110" s="8" t="s">
        <v>432</v>
      </c>
      <c r="D110" s="1"/>
      <c r="E110" s="1"/>
      <c r="F110" s="1"/>
      <c r="G110" s="1"/>
      <c r="H110" s="1"/>
      <c r="I110" s="1">
        <f t="shared" si="1"/>
        <v>35</v>
      </c>
      <c r="J110" s="1"/>
      <c r="K110" s="1"/>
      <c r="L110" s="1"/>
      <c r="M110" s="1"/>
      <c r="N110" s="1">
        <v>0</v>
      </c>
      <c r="O110" s="1"/>
      <c r="V110">
        <v>35</v>
      </c>
    </row>
    <row r="111" spans="1:22" x14ac:dyDescent="0.25">
      <c r="A111" s="8" t="s">
        <v>432</v>
      </c>
      <c r="B111" s="9" t="s">
        <v>400</v>
      </c>
      <c r="C111" s="8" t="s">
        <v>432</v>
      </c>
      <c r="D111" s="1"/>
      <c r="E111" s="1"/>
      <c r="F111" s="1"/>
      <c r="G111" s="1"/>
      <c r="H111" s="1"/>
      <c r="I111" s="1">
        <f t="shared" si="1"/>
        <v>30</v>
      </c>
      <c r="J111" s="1"/>
      <c r="K111" s="1"/>
      <c r="L111" s="1"/>
      <c r="M111" s="1"/>
      <c r="N111" s="1">
        <v>0</v>
      </c>
      <c r="O111" s="1"/>
      <c r="V111">
        <v>30</v>
      </c>
    </row>
    <row r="112" spans="1:22" x14ac:dyDescent="0.25">
      <c r="A112" s="8" t="s">
        <v>432</v>
      </c>
      <c r="B112" s="9" t="s">
        <v>401</v>
      </c>
      <c r="C112" s="8" t="s">
        <v>432</v>
      </c>
      <c r="D112" s="1"/>
      <c r="E112" s="1"/>
      <c r="F112" s="1"/>
      <c r="G112" s="1"/>
      <c r="H112" s="1"/>
      <c r="I112" s="1">
        <f t="shared" si="1"/>
        <v>33</v>
      </c>
      <c r="J112" s="1"/>
      <c r="K112" s="1"/>
      <c r="L112" s="1"/>
      <c r="M112" s="1"/>
      <c r="N112" s="1">
        <v>0</v>
      </c>
      <c r="O112" s="1"/>
      <c r="V112">
        <v>33</v>
      </c>
    </row>
    <row r="113" spans="1:22" x14ac:dyDescent="0.25">
      <c r="A113" s="8" t="s">
        <v>432</v>
      </c>
      <c r="B113" s="9" t="s">
        <v>402</v>
      </c>
      <c r="C113" s="8" t="s">
        <v>432</v>
      </c>
      <c r="D113" s="1"/>
      <c r="E113" s="1"/>
      <c r="F113" s="1"/>
      <c r="G113" s="1"/>
      <c r="H113" s="1"/>
      <c r="I113" s="1">
        <f t="shared" si="1"/>
        <v>40</v>
      </c>
      <c r="J113" s="1"/>
      <c r="K113" s="1"/>
      <c r="L113" s="1"/>
      <c r="M113" s="1"/>
      <c r="N113" s="1">
        <v>0</v>
      </c>
      <c r="O113" s="1"/>
      <c r="V113">
        <v>40</v>
      </c>
    </row>
    <row r="114" spans="1:22" x14ac:dyDescent="0.25">
      <c r="A114" s="8" t="s">
        <v>432</v>
      </c>
      <c r="B114" s="3" t="s">
        <v>595</v>
      </c>
      <c r="C114" s="8" t="s">
        <v>432</v>
      </c>
      <c r="D114" s="1"/>
      <c r="E114" s="1"/>
      <c r="F114" s="1"/>
      <c r="G114" s="1"/>
      <c r="H114" s="1"/>
      <c r="I114" s="1">
        <f t="shared" si="1"/>
        <v>30</v>
      </c>
      <c r="J114" s="1"/>
      <c r="K114" s="1"/>
      <c r="L114" s="1"/>
      <c r="M114" s="1"/>
      <c r="N114" s="1">
        <v>0</v>
      </c>
      <c r="O114" s="1"/>
      <c r="V114">
        <v>30</v>
      </c>
    </row>
    <row r="115" spans="1:22" x14ac:dyDescent="0.25">
      <c r="A115" s="8" t="s">
        <v>432</v>
      </c>
      <c r="B115" s="9" t="s">
        <v>403</v>
      </c>
      <c r="C115" s="8" t="s">
        <v>432</v>
      </c>
      <c r="D115" s="1"/>
      <c r="E115" s="1"/>
      <c r="F115" s="1"/>
      <c r="G115" s="1"/>
      <c r="H115" s="1"/>
      <c r="I115" s="1">
        <f t="shared" si="1"/>
        <v>35</v>
      </c>
      <c r="J115" s="1"/>
      <c r="K115" s="1"/>
      <c r="L115" s="1"/>
      <c r="M115" s="1"/>
      <c r="N115" s="1">
        <v>0</v>
      </c>
      <c r="O115" s="1"/>
      <c r="V115">
        <v>35</v>
      </c>
    </row>
    <row r="116" spans="1:22" x14ac:dyDescent="0.25">
      <c r="A116" s="8" t="s">
        <v>432</v>
      </c>
      <c r="B116" s="9" t="s">
        <v>404</v>
      </c>
      <c r="C116" s="8" t="s">
        <v>432</v>
      </c>
      <c r="D116" s="1"/>
      <c r="E116" s="1"/>
      <c r="F116" s="1"/>
      <c r="G116" s="1"/>
      <c r="H116" s="1"/>
      <c r="I116" s="1">
        <f t="shared" si="1"/>
        <v>42</v>
      </c>
      <c r="J116" s="1"/>
      <c r="K116" s="1"/>
      <c r="L116" s="1"/>
      <c r="M116" s="1"/>
      <c r="N116" s="1">
        <v>0</v>
      </c>
      <c r="O116" s="1"/>
      <c r="V116">
        <v>42</v>
      </c>
    </row>
    <row r="117" spans="1:22" x14ac:dyDescent="0.25">
      <c r="A117" s="8" t="s">
        <v>432</v>
      </c>
      <c r="B117" s="9" t="s">
        <v>405</v>
      </c>
      <c r="C117" s="8" t="s">
        <v>432</v>
      </c>
      <c r="D117" s="1"/>
      <c r="E117" s="1"/>
      <c r="F117" s="1"/>
      <c r="G117" s="1"/>
      <c r="H117" s="1"/>
      <c r="I117" s="1">
        <f t="shared" si="1"/>
        <v>30</v>
      </c>
      <c r="J117" s="1"/>
      <c r="K117" s="1"/>
      <c r="L117" s="1"/>
      <c r="M117" s="1"/>
      <c r="N117" s="1">
        <v>0</v>
      </c>
      <c r="O117" s="1"/>
      <c r="V117">
        <v>30</v>
      </c>
    </row>
    <row r="118" spans="1:22" x14ac:dyDescent="0.25">
      <c r="A118" s="8" t="s">
        <v>432</v>
      </c>
      <c r="B118" s="9" t="s">
        <v>406</v>
      </c>
      <c r="C118" s="8" t="s">
        <v>432</v>
      </c>
      <c r="D118" s="1"/>
      <c r="E118" s="1"/>
      <c r="F118" s="1"/>
      <c r="G118" s="1"/>
      <c r="H118" s="1"/>
      <c r="I118" s="1">
        <f t="shared" ref="I118:I122" si="2">V118</f>
        <v>35</v>
      </c>
      <c r="J118" s="1"/>
      <c r="K118" s="1"/>
      <c r="L118" s="1"/>
      <c r="M118" s="1"/>
      <c r="N118" s="1">
        <v>0</v>
      </c>
      <c r="O118" s="1"/>
      <c r="V118">
        <v>35</v>
      </c>
    </row>
    <row r="119" spans="1:22" x14ac:dyDescent="0.25">
      <c r="A119" s="8" t="s">
        <v>432</v>
      </c>
      <c r="B119" s="9" t="s">
        <v>407</v>
      </c>
      <c r="C119" s="8" t="s">
        <v>432</v>
      </c>
      <c r="D119" s="1"/>
      <c r="E119" s="1"/>
      <c r="F119" s="1"/>
      <c r="G119" s="1"/>
      <c r="H119" s="1"/>
      <c r="I119" s="1">
        <f t="shared" si="2"/>
        <v>35</v>
      </c>
      <c r="J119" s="1"/>
      <c r="K119" s="1"/>
      <c r="L119" s="1"/>
      <c r="M119" s="1"/>
      <c r="N119" s="1">
        <v>0</v>
      </c>
      <c r="O119" s="1"/>
      <c r="V119">
        <v>35</v>
      </c>
    </row>
    <row r="120" spans="1:22" x14ac:dyDescent="0.25">
      <c r="A120" s="8" t="s">
        <v>432</v>
      </c>
      <c r="B120" s="9" t="s">
        <v>408</v>
      </c>
      <c r="C120" s="8" t="s">
        <v>432</v>
      </c>
      <c r="D120" s="1"/>
      <c r="E120" s="1"/>
      <c r="F120" s="1"/>
      <c r="G120" s="1"/>
      <c r="H120" s="1"/>
      <c r="I120" s="1">
        <f t="shared" si="2"/>
        <v>75</v>
      </c>
      <c r="J120" s="1"/>
      <c r="K120" s="1"/>
      <c r="L120" s="1"/>
      <c r="M120" s="1"/>
      <c r="N120" s="1">
        <v>0</v>
      </c>
      <c r="O120" s="1"/>
      <c r="V120">
        <v>75</v>
      </c>
    </row>
    <row r="121" spans="1:22" x14ac:dyDescent="0.25">
      <c r="A121" s="8" t="s">
        <v>432</v>
      </c>
      <c r="B121" s="9" t="s">
        <v>409</v>
      </c>
      <c r="C121" s="8" t="s">
        <v>432</v>
      </c>
      <c r="D121" s="1"/>
      <c r="E121" s="1"/>
      <c r="F121" s="1"/>
      <c r="G121" s="1"/>
      <c r="H121" s="1"/>
      <c r="I121" s="1">
        <f t="shared" si="2"/>
        <v>50</v>
      </c>
      <c r="J121" s="1"/>
      <c r="K121" s="1"/>
      <c r="L121" s="1"/>
      <c r="M121" s="1"/>
      <c r="N121" s="1">
        <v>0</v>
      </c>
      <c r="O121" s="1"/>
      <c r="V121">
        <v>50</v>
      </c>
    </row>
    <row r="122" spans="1:22" x14ac:dyDescent="0.25">
      <c r="A122" s="8" t="s">
        <v>432</v>
      </c>
      <c r="B122" s="3" t="s">
        <v>596</v>
      </c>
      <c r="C122" s="8" t="s">
        <v>432</v>
      </c>
      <c r="D122" s="1"/>
      <c r="E122" s="1"/>
      <c r="F122" s="1"/>
      <c r="G122" s="1"/>
      <c r="H122" s="1"/>
      <c r="I122" s="1">
        <f t="shared" si="2"/>
        <v>75</v>
      </c>
      <c r="J122" s="1"/>
      <c r="K122" s="1"/>
      <c r="L122" s="1"/>
      <c r="M122" s="1"/>
      <c r="N122" s="1">
        <v>0</v>
      </c>
      <c r="O122" s="1"/>
      <c r="V122">
        <v>75</v>
      </c>
    </row>
    <row r="123" spans="1:22" x14ac:dyDescent="0.25">
      <c r="A123" s="8" t="s">
        <v>433</v>
      </c>
      <c r="B123" s="9" t="s">
        <v>410</v>
      </c>
      <c r="C123" s="8" t="s">
        <v>512</v>
      </c>
      <c r="D123" s="1"/>
      <c r="E123" s="1"/>
      <c r="F123" s="1">
        <f>S123</f>
        <v>15</v>
      </c>
      <c r="G123" s="1"/>
      <c r="H123" s="1"/>
      <c r="I123" s="1"/>
      <c r="J123" s="1"/>
      <c r="K123" s="1"/>
      <c r="L123" s="1"/>
      <c r="M123" s="1"/>
      <c r="N123" s="1">
        <v>15</v>
      </c>
      <c r="O123" s="1">
        <v>8</v>
      </c>
      <c r="S123" s="1">
        <v>15</v>
      </c>
    </row>
    <row r="124" spans="1:22" x14ac:dyDescent="0.25">
      <c r="A124" s="8" t="s">
        <v>433</v>
      </c>
      <c r="B124" s="9" t="s">
        <v>411</v>
      </c>
      <c r="C124" s="8" t="s">
        <v>179</v>
      </c>
      <c r="D124" s="1"/>
      <c r="E124" s="1"/>
      <c r="F124" s="1">
        <f t="shared" ref="F124:F136" si="3">S124</f>
        <v>15</v>
      </c>
      <c r="G124" s="1"/>
      <c r="H124" s="1"/>
      <c r="I124" s="1"/>
      <c r="J124" s="1"/>
      <c r="K124" s="1"/>
      <c r="L124" s="1"/>
      <c r="M124" s="1"/>
      <c r="N124" s="1">
        <v>11</v>
      </c>
      <c r="O124" s="1">
        <v>10</v>
      </c>
      <c r="S124" s="1">
        <v>15</v>
      </c>
    </row>
    <row r="125" spans="1:22" x14ac:dyDescent="0.25">
      <c r="A125" s="8" t="s">
        <v>433</v>
      </c>
      <c r="B125" s="9" t="s">
        <v>412</v>
      </c>
      <c r="C125" s="8" t="s">
        <v>179</v>
      </c>
      <c r="D125" s="1"/>
      <c r="E125" s="1"/>
      <c r="F125" s="1">
        <f t="shared" si="3"/>
        <v>15</v>
      </c>
      <c r="G125" s="1"/>
      <c r="H125" s="1"/>
      <c r="I125" s="1"/>
      <c r="J125" s="1"/>
      <c r="K125" s="1"/>
      <c r="L125" s="1"/>
      <c r="M125" s="1"/>
      <c r="N125" s="1">
        <v>12</v>
      </c>
      <c r="O125" s="1">
        <v>10</v>
      </c>
      <c r="S125" s="1">
        <v>15</v>
      </c>
    </row>
    <row r="126" spans="1:22" x14ac:dyDescent="0.25">
      <c r="A126" s="8" t="s">
        <v>433</v>
      </c>
      <c r="B126" s="9" t="s">
        <v>413</v>
      </c>
      <c r="C126" s="8" t="s">
        <v>179</v>
      </c>
      <c r="D126" s="1"/>
      <c r="E126" s="1"/>
      <c r="F126" s="1">
        <f t="shared" si="3"/>
        <v>15</v>
      </c>
      <c r="G126" s="1"/>
      <c r="H126" s="1"/>
      <c r="I126" s="1"/>
      <c r="J126" s="1"/>
      <c r="K126" s="1"/>
      <c r="L126" s="1"/>
      <c r="M126" s="1"/>
      <c r="N126" s="1">
        <v>11</v>
      </c>
      <c r="O126" s="1">
        <v>10</v>
      </c>
      <c r="S126" s="1">
        <v>15</v>
      </c>
    </row>
    <row r="127" spans="1:22" x14ac:dyDescent="0.25">
      <c r="A127" s="8" t="s">
        <v>433</v>
      </c>
      <c r="B127" s="9" t="s">
        <v>414</v>
      </c>
      <c r="C127" s="8" t="s">
        <v>179</v>
      </c>
      <c r="D127" s="1"/>
      <c r="E127" s="1"/>
      <c r="F127" s="1">
        <f t="shared" si="3"/>
        <v>15</v>
      </c>
      <c r="G127" s="1"/>
      <c r="H127" s="1"/>
      <c r="I127" s="1"/>
      <c r="J127" s="1"/>
      <c r="K127" s="1"/>
      <c r="L127" s="1"/>
      <c r="M127" s="1"/>
      <c r="N127" s="1">
        <v>11</v>
      </c>
      <c r="O127" s="1">
        <v>10</v>
      </c>
      <c r="S127" s="1">
        <v>15</v>
      </c>
    </row>
    <row r="128" spans="1:22" x14ac:dyDescent="0.25">
      <c r="A128" s="8" t="s">
        <v>433</v>
      </c>
      <c r="B128" s="9" t="s">
        <v>415</v>
      </c>
      <c r="C128" s="8" t="s">
        <v>179</v>
      </c>
      <c r="D128" s="1"/>
      <c r="E128" s="1"/>
      <c r="F128" s="1">
        <f t="shared" si="3"/>
        <v>15</v>
      </c>
      <c r="G128" s="1"/>
      <c r="H128" s="1"/>
      <c r="I128" s="1"/>
      <c r="J128" s="1"/>
      <c r="K128" s="1"/>
      <c r="L128" s="1"/>
      <c r="M128" s="1"/>
      <c r="N128" s="1">
        <v>11</v>
      </c>
      <c r="O128" s="1">
        <v>10</v>
      </c>
      <c r="S128" s="1">
        <v>15</v>
      </c>
    </row>
    <row r="129" spans="1:23" x14ac:dyDescent="0.25">
      <c r="A129" s="8" t="s">
        <v>433</v>
      </c>
      <c r="B129" s="9" t="s">
        <v>416</v>
      </c>
      <c r="C129" s="8" t="s">
        <v>512</v>
      </c>
      <c r="D129" s="1"/>
      <c r="E129" s="1"/>
      <c r="F129" s="1">
        <f t="shared" si="3"/>
        <v>10</v>
      </c>
      <c r="G129" s="1"/>
      <c r="H129" s="1"/>
      <c r="I129" s="1"/>
      <c r="J129" s="1"/>
      <c r="K129" s="1"/>
      <c r="L129" s="1"/>
      <c r="M129" s="1"/>
      <c r="N129" s="1">
        <v>14</v>
      </c>
      <c r="O129" s="1">
        <v>8</v>
      </c>
      <c r="S129" s="1">
        <v>10</v>
      </c>
    </row>
    <row r="130" spans="1:23" x14ac:dyDescent="0.25">
      <c r="A130" s="8"/>
      <c r="B130" s="5">
        <v>84311</v>
      </c>
      <c r="C130" s="8" t="s">
        <v>180</v>
      </c>
      <c r="D130" s="1"/>
      <c r="E130" s="1"/>
      <c r="F130" s="1"/>
      <c r="G130" s="1">
        <v>20</v>
      </c>
      <c r="H130" s="1"/>
      <c r="I130" s="1"/>
      <c r="J130" s="1"/>
      <c r="K130" s="1"/>
      <c r="L130" s="1"/>
      <c r="M130" s="1"/>
      <c r="N130" s="1"/>
      <c r="O130" s="1"/>
      <c r="S130" s="1"/>
    </row>
    <row r="131" spans="1:23" x14ac:dyDescent="0.25">
      <c r="A131" s="8"/>
      <c r="B131" s="5">
        <v>84312</v>
      </c>
      <c r="C131" s="8" t="s">
        <v>180</v>
      </c>
      <c r="D131" s="1"/>
      <c r="E131" s="1"/>
      <c r="F131" s="1"/>
      <c r="G131" s="1">
        <v>20</v>
      </c>
      <c r="H131" s="1"/>
      <c r="I131" s="1"/>
      <c r="J131" s="1"/>
      <c r="K131" s="1"/>
      <c r="L131" s="1"/>
      <c r="M131" s="1"/>
      <c r="N131" s="1"/>
      <c r="O131" s="1"/>
      <c r="S131" s="1"/>
    </row>
    <row r="132" spans="1:23" x14ac:dyDescent="0.25">
      <c r="A132" s="8" t="s">
        <v>434</v>
      </c>
      <c r="B132" s="3" t="s">
        <v>597</v>
      </c>
      <c r="C132" s="8" t="s">
        <v>180</v>
      </c>
      <c r="D132" s="1"/>
      <c r="E132" s="1"/>
      <c r="F132" s="1"/>
      <c r="G132" s="1">
        <v>20</v>
      </c>
      <c r="H132" s="1"/>
      <c r="I132" s="1"/>
      <c r="J132" s="1"/>
      <c r="K132" s="1"/>
      <c r="L132" s="1"/>
      <c r="M132" s="1"/>
      <c r="N132" s="1">
        <v>8</v>
      </c>
      <c r="O132" s="1">
        <v>10</v>
      </c>
      <c r="P132">
        <v>-5</v>
      </c>
      <c r="S132" s="1"/>
    </row>
    <row r="133" spans="1:23" x14ac:dyDescent="0.25">
      <c r="A133" s="8" t="s">
        <v>434</v>
      </c>
      <c r="B133" s="9" t="s">
        <v>417</v>
      </c>
      <c r="C133" s="8" t="s">
        <v>178</v>
      </c>
      <c r="D133" s="1"/>
      <c r="E133" s="1"/>
      <c r="F133" s="1">
        <f t="shared" si="3"/>
        <v>15</v>
      </c>
      <c r="G133" s="1"/>
      <c r="H133" s="1"/>
      <c r="I133" s="1"/>
      <c r="J133" s="1"/>
      <c r="K133" s="1"/>
      <c r="L133" s="1"/>
      <c r="M133" s="1"/>
      <c r="N133" s="1">
        <v>9</v>
      </c>
      <c r="O133" s="1">
        <v>10</v>
      </c>
      <c r="S133" s="1">
        <v>15</v>
      </c>
    </row>
    <row r="134" spans="1:23" x14ac:dyDescent="0.25">
      <c r="A134" s="8"/>
      <c r="B134" s="3" t="s">
        <v>599</v>
      </c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</row>
    <row r="135" spans="1:23" x14ac:dyDescent="0.25">
      <c r="A135" s="8" t="s">
        <v>434</v>
      </c>
      <c r="B135" s="9" t="s">
        <v>418</v>
      </c>
      <c r="C135" s="8" t="s">
        <v>179</v>
      </c>
      <c r="D135" s="1"/>
      <c r="E135" s="1"/>
      <c r="F135" s="1">
        <f t="shared" si="3"/>
        <v>15</v>
      </c>
      <c r="G135" s="1"/>
      <c r="H135" s="1"/>
      <c r="I135" s="1"/>
      <c r="J135" s="1"/>
      <c r="K135" s="1"/>
      <c r="L135" s="1"/>
      <c r="M135" s="1"/>
      <c r="N135" s="1">
        <v>9</v>
      </c>
      <c r="O135" s="1">
        <v>10</v>
      </c>
      <c r="S135" s="1">
        <v>15</v>
      </c>
    </row>
    <row r="136" spans="1:23" x14ac:dyDescent="0.25">
      <c r="A136" s="8" t="s">
        <v>434</v>
      </c>
      <c r="B136" s="9" t="s">
        <v>419</v>
      </c>
      <c r="C136" s="8" t="s">
        <v>179</v>
      </c>
      <c r="D136" s="1"/>
      <c r="E136" s="1"/>
      <c r="F136" s="1">
        <f t="shared" si="3"/>
        <v>15</v>
      </c>
      <c r="G136" s="1"/>
      <c r="H136" s="1"/>
      <c r="I136" s="1"/>
      <c r="J136" s="1"/>
      <c r="K136" s="1"/>
      <c r="L136" s="1"/>
      <c r="M136" s="1"/>
      <c r="N136" s="1">
        <v>9</v>
      </c>
      <c r="O136" s="1">
        <v>10</v>
      </c>
      <c r="S136" s="1">
        <v>15</v>
      </c>
    </row>
    <row r="137" spans="1:23" x14ac:dyDescent="0.25">
      <c r="A137" s="8"/>
      <c r="B137" s="3" t="s">
        <v>600</v>
      </c>
      <c r="C137" s="8"/>
      <c r="D137" s="1"/>
      <c r="E137" s="1"/>
      <c r="F137" s="1">
        <f>S137</f>
        <v>15</v>
      </c>
      <c r="G137" s="1"/>
      <c r="H137" s="1"/>
      <c r="I137" s="1"/>
      <c r="J137" s="1"/>
      <c r="K137" s="1"/>
      <c r="L137" s="1"/>
      <c r="M137" s="1"/>
      <c r="N137" s="1">
        <v>14</v>
      </c>
      <c r="O137" s="1">
        <v>15</v>
      </c>
      <c r="S137" s="1">
        <v>15</v>
      </c>
    </row>
    <row r="138" spans="1:23" x14ac:dyDescent="0.25">
      <c r="A138" s="8" t="s">
        <v>434</v>
      </c>
      <c r="B138" s="3" t="s">
        <v>1285</v>
      </c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</row>
    <row r="139" spans="1:23" x14ac:dyDescent="0.25">
      <c r="A139" s="8"/>
      <c r="B139" s="3" t="s">
        <v>601</v>
      </c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</row>
    <row r="140" spans="1:23" x14ac:dyDescent="0.25">
      <c r="A140" s="8"/>
      <c r="B140" s="3" t="s">
        <v>602</v>
      </c>
      <c r="C140" s="8" t="s">
        <v>450</v>
      </c>
      <c r="D140" s="1"/>
      <c r="E140" s="1"/>
      <c r="F140" s="1"/>
      <c r="G140" s="1"/>
      <c r="H140" s="1"/>
      <c r="I140" s="1"/>
      <c r="J140" s="1">
        <f>W140</f>
        <v>20</v>
      </c>
      <c r="K140" s="1"/>
      <c r="L140" s="1"/>
      <c r="M140" s="1"/>
      <c r="N140" s="1">
        <v>20</v>
      </c>
      <c r="O140" s="1"/>
      <c r="S140" s="1"/>
      <c r="W140" s="1">
        <v>20</v>
      </c>
    </row>
    <row r="141" spans="1:23" x14ac:dyDescent="0.25">
      <c r="A141" s="8"/>
      <c r="B141" s="3" t="s">
        <v>603</v>
      </c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</row>
    <row r="142" spans="1:23" x14ac:dyDescent="0.25">
      <c r="A142" s="8" t="s">
        <v>430</v>
      </c>
      <c r="B142" s="5">
        <v>23567793</v>
      </c>
      <c r="C142" s="8" t="s">
        <v>450</v>
      </c>
      <c r="D142" s="1"/>
      <c r="E142" s="1"/>
      <c r="F142" s="1"/>
      <c r="G142" s="1"/>
      <c r="H142" s="1"/>
      <c r="I142" s="1"/>
      <c r="J142" s="1">
        <f>W142</f>
        <v>30</v>
      </c>
      <c r="K142" s="1"/>
      <c r="L142" s="1"/>
      <c r="M142" s="1"/>
      <c r="N142" s="1">
        <f>W142</f>
        <v>30</v>
      </c>
      <c r="O142" s="1"/>
      <c r="S142" s="1"/>
      <c r="W142" s="1">
        <v>30</v>
      </c>
    </row>
    <row r="143" spans="1:23" x14ac:dyDescent="0.25">
      <c r="A143" s="8" t="s">
        <v>430</v>
      </c>
      <c r="B143" s="5">
        <v>23582260</v>
      </c>
      <c r="C143" s="8" t="s">
        <v>450</v>
      </c>
      <c r="D143" s="1"/>
      <c r="E143" s="1"/>
      <c r="F143" s="1"/>
      <c r="G143" s="1"/>
      <c r="H143" s="1"/>
      <c r="I143" s="1"/>
      <c r="J143" s="1">
        <f>W143</f>
        <v>10</v>
      </c>
      <c r="K143" s="1"/>
      <c r="L143" s="1"/>
      <c r="M143" s="1"/>
      <c r="N143" s="1">
        <f>W143</f>
        <v>10</v>
      </c>
      <c r="O143" s="1"/>
      <c r="S143" s="1"/>
      <c r="W143" s="1">
        <v>10</v>
      </c>
    </row>
    <row r="144" spans="1:23" x14ac:dyDescent="0.25">
      <c r="A144" s="8" t="s">
        <v>430</v>
      </c>
      <c r="B144" s="9" t="s">
        <v>185</v>
      </c>
      <c r="C144" s="8" t="s">
        <v>450</v>
      </c>
      <c r="D144" s="1"/>
      <c r="E144" s="1"/>
      <c r="G144" s="1"/>
      <c r="H144" s="1"/>
      <c r="I144" s="1"/>
      <c r="J144" s="1">
        <f>W144</f>
        <v>10</v>
      </c>
      <c r="K144" s="1"/>
      <c r="L144" s="1"/>
      <c r="M144" s="1"/>
      <c r="N144" s="1">
        <f>W144</f>
        <v>10</v>
      </c>
      <c r="O144" s="1"/>
      <c r="W144" s="1">
        <v>10</v>
      </c>
    </row>
    <row r="145" spans="1:23" x14ac:dyDescent="0.25">
      <c r="A145" s="8" t="s">
        <v>430</v>
      </c>
      <c r="B145" s="9" t="s">
        <v>186</v>
      </c>
      <c r="C145" s="8" t="s">
        <v>450</v>
      </c>
      <c r="D145" s="1"/>
      <c r="E145" s="1"/>
      <c r="G145" s="1"/>
      <c r="H145" s="1"/>
      <c r="I145" s="1"/>
      <c r="J145" s="1">
        <f t="shared" ref="J145:J168" si="4">W145</f>
        <v>12</v>
      </c>
      <c r="K145" s="1"/>
      <c r="L145" s="1"/>
      <c r="M145" s="1"/>
      <c r="N145" s="1">
        <f t="shared" ref="N145:N168" si="5">W145</f>
        <v>12</v>
      </c>
      <c r="O145" s="1"/>
      <c r="W145" s="1">
        <v>12</v>
      </c>
    </row>
    <row r="146" spans="1:23" x14ac:dyDescent="0.25">
      <c r="A146" s="8" t="s">
        <v>430</v>
      </c>
      <c r="B146" s="9" t="s">
        <v>187</v>
      </c>
      <c r="C146" s="8" t="s">
        <v>450</v>
      </c>
      <c r="D146" s="1"/>
      <c r="E146" s="1"/>
      <c r="G146" s="1"/>
      <c r="H146" s="1"/>
      <c r="I146" s="1"/>
      <c r="J146" s="1">
        <f t="shared" si="4"/>
        <v>10</v>
      </c>
      <c r="K146" s="1"/>
      <c r="L146" s="1"/>
      <c r="M146" s="1"/>
      <c r="N146" s="1">
        <f t="shared" si="5"/>
        <v>10</v>
      </c>
      <c r="O146" s="1"/>
      <c r="W146" s="1">
        <v>10</v>
      </c>
    </row>
    <row r="147" spans="1:23" x14ac:dyDescent="0.25">
      <c r="A147" s="8" t="s">
        <v>430</v>
      </c>
      <c r="B147" s="342" t="s">
        <v>797</v>
      </c>
      <c r="C147" s="8" t="s">
        <v>450</v>
      </c>
      <c r="D147" s="1"/>
      <c r="E147" s="1"/>
      <c r="G147" s="1"/>
      <c r="H147" s="1"/>
      <c r="I147" s="1"/>
      <c r="J147" s="1">
        <f t="shared" si="4"/>
        <v>11</v>
      </c>
      <c r="K147" s="1"/>
      <c r="L147" s="1"/>
      <c r="M147" s="1"/>
      <c r="N147" s="1">
        <f t="shared" si="5"/>
        <v>11</v>
      </c>
      <c r="O147" s="1"/>
      <c r="W147" s="1">
        <v>11</v>
      </c>
    </row>
    <row r="148" spans="1:23" x14ac:dyDescent="0.25">
      <c r="A148" s="8" t="s">
        <v>430</v>
      </c>
      <c r="B148" s="9" t="s">
        <v>188</v>
      </c>
      <c r="C148" s="8" t="s">
        <v>450</v>
      </c>
      <c r="D148" s="1"/>
      <c r="E148" s="1"/>
      <c r="G148" s="1"/>
      <c r="H148" s="1"/>
      <c r="I148" s="1"/>
      <c r="J148" s="1">
        <f t="shared" si="4"/>
        <v>10</v>
      </c>
      <c r="K148" s="1"/>
      <c r="L148" s="1"/>
      <c r="M148" s="1"/>
      <c r="N148" s="1">
        <f t="shared" si="5"/>
        <v>10</v>
      </c>
      <c r="O148" s="1"/>
      <c r="W148" s="1">
        <v>10</v>
      </c>
    </row>
    <row r="149" spans="1:23" x14ac:dyDescent="0.25">
      <c r="A149" s="8" t="s">
        <v>430</v>
      </c>
      <c r="B149" s="9" t="s">
        <v>189</v>
      </c>
      <c r="C149" s="8" t="s">
        <v>450</v>
      </c>
      <c r="D149" s="1"/>
      <c r="E149" s="1"/>
      <c r="G149" s="1"/>
      <c r="H149" s="1"/>
      <c r="I149" s="1"/>
      <c r="J149" s="1">
        <f t="shared" si="4"/>
        <v>10</v>
      </c>
      <c r="K149" s="1"/>
      <c r="L149" s="1"/>
      <c r="M149" s="1"/>
      <c r="N149" s="1">
        <f t="shared" si="5"/>
        <v>10</v>
      </c>
      <c r="O149" s="1"/>
      <c r="W149" s="1">
        <v>10</v>
      </c>
    </row>
    <row r="150" spans="1:23" x14ac:dyDescent="0.25">
      <c r="A150" s="8" t="s">
        <v>430</v>
      </c>
      <c r="B150" s="3" t="s">
        <v>604</v>
      </c>
      <c r="C150" s="8" t="s">
        <v>450</v>
      </c>
      <c r="D150" s="1"/>
      <c r="E150" s="1"/>
      <c r="G150" s="1"/>
      <c r="H150" s="1"/>
      <c r="I150" s="1"/>
      <c r="J150" s="1">
        <f t="shared" si="4"/>
        <v>11</v>
      </c>
      <c r="K150" s="1"/>
      <c r="L150" s="1"/>
      <c r="M150" s="1"/>
      <c r="N150" s="1">
        <f t="shared" si="5"/>
        <v>11</v>
      </c>
      <c r="O150" s="1"/>
      <c r="W150" s="1">
        <v>11</v>
      </c>
    </row>
    <row r="151" spans="1:23" x14ac:dyDescent="0.25">
      <c r="A151" s="8" t="s">
        <v>430</v>
      </c>
      <c r="B151" s="9" t="s">
        <v>190</v>
      </c>
      <c r="C151" s="8" t="s">
        <v>450</v>
      </c>
      <c r="D151" s="1"/>
      <c r="E151" s="1"/>
      <c r="G151" s="1"/>
      <c r="H151" s="1"/>
      <c r="I151" s="1"/>
      <c r="J151" s="1">
        <f t="shared" si="4"/>
        <v>11</v>
      </c>
      <c r="K151" s="1"/>
      <c r="L151" s="1"/>
      <c r="M151" s="1"/>
      <c r="N151" s="1">
        <f t="shared" si="5"/>
        <v>11</v>
      </c>
      <c r="O151" s="1"/>
      <c r="W151" s="1">
        <v>11</v>
      </c>
    </row>
    <row r="152" spans="1:23" x14ac:dyDescent="0.25">
      <c r="A152" s="8" t="s">
        <v>430</v>
      </c>
      <c r="B152" s="9" t="s">
        <v>191</v>
      </c>
      <c r="C152" s="8" t="s">
        <v>450</v>
      </c>
      <c r="D152" s="1"/>
      <c r="E152" s="1"/>
      <c r="G152" s="1"/>
      <c r="H152" s="1"/>
      <c r="I152" s="1"/>
      <c r="J152" s="1">
        <f t="shared" si="4"/>
        <v>12</v>
      </c>
      <c r="K152" s="1"/>
      <c r="L152" s="1"/>
      <c r="M152" s="1"/>
      <c r="N152" s="1">
        <f t="shared" si="5"/>
        <v>12</v>
      </c>
      <c r="O152" s="1"/>
      <c r="W152" s="1">
        <v>12</v>
      </c>
    </row>
    <row r="153" spans="1:23" x14ac:dyDescent="0.25">
      <c r="A153" s="8" t="s">
        <v>430</v>
      </c>
      <c r="B153" s="3" t="s">
        <v>1071</v>
      </c>
      <c r="C153" s="8" t="s">
        <v>450</v>
      </c>
      <c r="D153" s="1"/>
      <c r="E153" s="1"/>
      <c r="G153" s="1"/>
      <c r="H153" s="1"/>
      <c r="I153" s="1"/>
      <c r="J153" s="1">
        <f t="shared" si="4"/>
        <v>13</v>
      </c>
      <c r="K153" s="1"/>
      <c r="L153" s="1"/>
      <c r="M153" s="1"/>
      <c r="N153" s="1">
        <f t="shared" si="5"/>
        <v>13</v>
      </c>
      <c r="O153" s="1"/>
      <c r="W153" s="1">
        <v>13</v>
      </c>
    </row>
    <row r="154" spans="1:23" x14ac:dyDescent="0.25">
      <c r="A154" s="8" t="s">
        <v>430</v>
      </c>
      <c r="B154" s="9" t="s">
        <v>192</v>
      </c>
      <c r="C154" s="8" t="s">
        <v>450</v>
      </c>
      <c r="D154" s="1"/>
      <c r="E154" s="1"/>
      <c r="G154" s="1"/>
      <c r="H154" s="1"/>
      <c r="I154" s="1"/>
      <c r="J154" s="1">
        <f t="shared" si="4"/>
        <v>13</v>
      </c>
      <c r="K154" s="1"/>
      <c r="L154" s="1"/>
      <c r="M154" s="1"/>
      <c r="N154" s="1">
        <f t="shared" si="5"/>
        <v>13</v>
      </c>
      <c r="O154" s="1"/>
      <c r="W154" s="1">
        <v>13</v>
      </c>
    </row>
    <row r="155" spans="1:23" x14ac:dyDescent="0.25">
      <c r="A155" s="8" t="s">
        <v>430</v>
      </c>
      <c r="B155" s="9" t="s">
        <v>193</v>
      </c>
      <c r="C155" s="8" t="s">
        <v>450</v>
      </c>
      <c r="D155" s="1"/>
      <c r="E155" s="1"/>
      <c r="G155" s="1"/>
      <c r="H155" s="1"/>
      <c r="I155" s="1"/>
      <c r="J155" s="1">
        <f t="shared" si="4"/>
        <v>15</v>
      </c>
      <c r="K155" s="1"/>
      <c r="L155" s="1"/>
      <c r="M155" s="1"/>
      <c r="N155" s="1">
        <f t="shared" si="5"/>
        <v>15</v>
      </c>
      <c r="O155" s="1"/>
      <c r="W155" s="1">
        <v>15</v>
      </c>
    </row>
    <row r="156" spans="1:23" x14ac:dyDescent="0.25">
      <c r="A156" s="8" t="s">
        <v>430</v>
      </c>
      <c r="B156" s="9" t="s">
        <v>194</v>
      </c>
      <c r="C156" s="8" t="s">
        <v>450</v>
      </c>
      <c r="D156" s="1"/>
      <c r="E156" s="1"/>
      <c r="G156" s="1"/>
      <c r="H156" s="1"/>
      <c r="I156" s="1"/>
      <c r="J156" s="1">
        <f t="shared" si="4"/>
        <v>14</v>
      </c>
      <c r="K156" s="1"/>
      <c r="L156" s="1"/>
      <c r="M156" s="1"/>
      <c r="N156" s="1">
        <f t="shared" si="5"/>
        <v>14</v>
      </c>
      <c r="O156" s="1"/>
      <c r="W156" s="1">
        <v>14</v>
      </c>
    </row>
    <row r="157" spans="1:23" x14ac:dyDescent="0.25">
      <c r="A157" s="8" t="s">
        <v>430</v>
      </c>
      <c r="B157" s="9" t="s">
        <v>918</v>
      </c>
      <c r="C157" s="8" t="s">
        <v>450</v>
      </c>
      <c r="D157" s="1"/>
      <c r="E157" s="1"/>
      <c r="G157" s="1"/>
      <c r="H157" s="1"/>
      <c r="I157" s="1"/>
      <c r="J157" s="1">
        <f t="shared" si="4"/>
        <v>14</v>
      </c>
      <c r="K157" s="1"/>
      <c r="L157" s="1"/>
      <c r="M157" s="1"/>
      <c r="N157" s="1">
        <f t="shared" si="5"/>
        <v>14</v>
      </c>
      <c r="O157" s="1"/>
      <c r="W157" s="1">
        <v>14</v>
      </c>
    </row>
    <row r="158" spans="1:23" x14ac:dyDescent="0.25">
      <c r="A158" s="8" t="s">
        <v>430</v>
      </c>
      <c r="B158" s="3" t="s">
        <v>605</v>
      </c>
      <c r="C158" s="8" t="s">
        <v>450</v>
      </c>
      <c r="D158" s="1"/>
      <c r="E158" s="1"/>
      <c r="G158" s="1"/>
      <c r="H158" s="1"/>
      <c r="I158" s="1"/>
      <c r="J158" s="1">
        <f t="shared" si="4"/>
        <v>15</v>
      </c>
      <c r="K158" s="1"/>
      <c r="L158" s="1"/>
      <c r="M158" s="1"/>
      <c r="N158" s="1">
        <f t="shared" si="5"/>
        <v>15</v>
      </c>
      <c r="O158" s="1"/>
      <c r="W158" s="1">
        <v>15</v>
      </c>
    </row>
    <row r="159" spans="1:23" x14ac:dyDescent="0.25">
      <c r="A159" s="8" t="s">
        <v>430</v>
      </c>
      <c r="B159" s="3" t="s">
        <v>1079</v>
      </c>
      <c r="C159" s="8" t="s">
        <v>450</v>
      </c>
      <c r="D159" s="1"/>
      <c r="E159" s="1"/>
      <c r="G159" s="1"/>
      <c r="H159" s="1"/>
      <c r="I159" s="1"/>
      <c r="J159" s="1">
        <f t="shared" si="4"/>
        <v>10</v>
      </c>
      <c r="K159" s="1"/>
      <c r="L159" s="1"/>
      <c r="M159" s="1"/>
      <c r="N159" s="1">
        <f t="shared" si="5"/>
        <v>10</v>
      </c>
      <c r="O159" s="1"/>
      <c r="W159" s="1">
        <v>10</v>
      </c>
    </row>
    <row r="160" spans="1:23" x14ac:dyDescent="0.25">
      <c r="A160" s="8" t="s">
        <v>430</v>
      </c>
      <c r="B160" s="9" t="s">
        <v>195</v>
      </c>
      <c r="C160" s="8" t="s">
        <v>450</v>
      </c>
      <c r="D160" s="1"/>
      <c r="E160" s="1"/>
      <c r="G160" s="1"/>
      <c r="H160" s="1"/>
      <c r="I160" s="1"/>
      <c r="J160" s="1">
        <f t="shared" si="4"/>
        <v>16</v>
      </c>
      <c r="K160" s="1"/>
      <c r="L160" s="1"/>
      <c r="M160" s="1"/>
      <c r="N160" s="1">
        <f t="shared" si="5"/>
        <v>16</v>
      </c>
      <c r="O160" s="1"/>
      <c r="W160" s="1">
        <v>16</v>
      </c>
    </row>
    <row r="161" spans="1:23" x14ac:dyDescent="0.25">
      <c r="A161" s="8" t="s">
        <v>430</v>
      </c>
      <c r="B161" s="3" t="s">
        <v>606</v>
      </c>
      <c r="C161" s="8" t="s">
        <v>450</v>
      </c>
      <c r="D161" s="1"/>
      <c r="E161" s="1"/>
      <c r="G161" s="1"/>
      <c r="H161" s="1"/>
      <c r="I161" s="1"/>
      <c r="J161" s="1">
        <f t="shared" si="4"/>
        <v>15</v>
      </c>
      <c r="K161" s="1"/>
      <c r="L161" s="1"/>
      <c r="M161" s="1"/>
      <c r="N161" s="1">
        <f t="shared" si="5"/>
        <v>15</v>
      </c>
      <c r="O161" s="1"/>
      <c r="W161" s="1">
        <v>15</v>
      </c>
    </row>
    <row r="162" spans="1:23" x14ac:dyDescent="0.25">
      <c r="A162" s="8" t="s">
        <v>430</v>
      </c>
      <c r="B162" s="9" t="s">
        <v>196</v>
      </c>
      <c r="C162" s="8" t="s">
        <v>450</v>
      </c>
      <c r="D162" s="1"/>
      <c r="E162" s="1"/>
      <c r="G162" s="1"/>
      <c r="H162" s="1"/>
      <c r="I162" s="1"/>
      <c r="J162" s="1">
        <f t="shared" si="4"/>
        <v>19</v>
      </c>
      <c r="K162" s="1"/>
      <c r="L162" s="1"/>
      <c r="M162" s="1"/>
      <c r="N162" s="1">
        <f t="shared" si="5"/>
        <v>19</v>
      </c>
      <c r="O162" s="1"/>
      <c r="W162" s="1">
        <v>19</v>
      </c>
    </row>
    <row r="163" spans="1:23" x14ac:dyDescent="0.25">
      <c r="A163" s="8" t="s">
        <v>430</v>
      </c>
      <c r="B163" s="9" t="s">
        <v>197</v>
      </c>
      <c r="C163" s="8" t="s">
        <v>450</v>
      </c>
      <c r="D163" s="1"/>
      <c r="E163" s="1"/>
      <c r="G163" s="1"/>
      <c r="H163" s="1"/>
      <c r="I163" s="1"/>
      <c r="J163" s="1">
        <f t="shared" si="4"/>
        <v>19</v>
      </c>
      <c r="K163" s="1"/>
      <c r="L163" s="1"/>
      <c r="M163" s="1"/>
      <c r="N163" s="1">
        <f t="shared" si="5"/>
        <v>19</v>
      </c>
      <c r="O163" s="1"/>
      <c r="W163" s="1">
        <v>19</v>
      </c>
    </row>
    <row r="164" spans="1:23" x14ac:dyDescent="0.25">
      <c r="A164" s="8" t="s">
        <v>430</v>
      </c>
      <c r="B164" s="9" t="s">
        <v>201</v>
      </c>
      <c r="C164" s="8" t="s">
        <v>450</v>
      </c>
      <c r="D164" s="1"/>
      <c r="E164" s="1"/>
      <c r="G164" s="1"/>
      <c r="H164" s="1"/>
      <c r="I164" s="1"/>
      <c r="J164" s="1">
        <f t="shared" si="4"/>
        <v>11</v>
      </c>
      <c r="K164" s="1"/>
      <c r="L164" s="1"/>
      <c r="M164" s="1"/>
      <c r="N164" s="1">
        <f t="shared" si="5"/>
        <v>11</v>
      </c>
      <c r="O164" s="1"/>
      <c r="W164" s="1">
        <v>11</v>
      </c>
    </row>
    <row r="165" spans="1:23" x14ac:dyDescent="0.25">
      <c r="A165" s="8" t="s">
        <v>430</v>
      </c>
      <c r="B165" s="9" t="s">
        <v>200</v>
      </c>
      <c r="C165" s="8" t="s">
        <v>450</v>
      </c>
      <c r="D165" s="1"/>
      <c r="E165" s="1"/>
      <c r="G165" s="1"/>
      <c r="H165" s="1"/>
      <c r="I165" s="1"/>
      <c r="J165" s="1">
        <f t="shared" si="4"/>
        <v>11</v>
      </c>
      <c r="K165" s="1"/>
      <c r="L165" s="1"/>
      <c r="M165" s="1"/>
      <c r="N165" s="1">
        <f t="shared" si="5"/>
        <v>11</v>
      </c>
      <c r="O165" s="1"/>
      <c r="W165" s="1">
        <v>11</v>
      </c>
    </row>
    <row r="166" spans="1:23" x14ac:dyDescent="0.25">
      <c r="A166" s="8" t="s">
        <v>430</v>
      </c>
      <c r="B166" s="9" t="s">
        <v>199</v>
      </c>
      <c r="C166" s="8" t="s">
        <v>450</v>
      </c>
      <c r="D166" s="1"/>
      <c r="E166" s="1"/>
      <c r="G166" s="1"/>
      <c r="H166" s="1"/>
      <c r="I166" s="1"/>
      <c r="J166" s="1">
        <f t="shared" si="4"/>
        <v>15</v>
      </c>
      <c r="K166" s="1"/>
      <c r="L166" s="1"/>
      <c r="M166" s="1"/>
      <c r="N166" s="1">
        <f t="shared" si="5"/>
        <v>15</v>
      </c>
      <c r="O166" s="1"/>
      <c r="W166" s="1">
        <v>15</v>
      </c>
    </row>
    <row r="167" spans="1:23" x14ac:dyDescent="0.25">
      <c r="A167" s="8" t="s">
        <v>430</v>
      </c>
      <c r="B167" s="9" t="s">
        <v>1019</v>
      </c>
      <c r="C167" s="8" t="s">
        <v>450</v>
      </c>
      <c r="D167" s="1"/>
      <c r="E167" s="1"/>
      <c r="G167" s="1"/>
      <c r="H167" s="1"/>
      <c r="I167" s="1"/>
      <c r="J167" s="1">
        <f t="shared" si="4"/>
        <v>15</v>
      </c>
      <c r="K167" s="1"/>
      <c r="L167" s="1"/>
      <c r="M167" s="1"/>
      <c r="N167" s="1">
        <f t="shared" si="5"/>
        <v>15</v>
      </c>
      <c r="O167" s="1"/>
      <c r="W167" s="1">
        <v>15</v>
      </c>
    </row>
    <row r="168" spans="1:23" x14ac:dyDescent="0.25">
      <c r="A168" s="8" t="s">
        <v>430</v>
      </c>
      <c r="B168" s="3" t="s">
        <v>964</v>
      </c>
      <c r="C168" s="8" t="s">
        <v>450</v>
      </c>
      <c r="D168" s="1"/>
      <c r="E168" s="1"/>
      <c r="G168" s="1"/>
      <c r="H168" s="1"/>
      <c r="I168" s="1"/>
      <c r="J168" s="1">
        <f t="shared" si="4"/>
        <v>20</v>
      </c>
      <c r="K168" s="1"/>
      <c r="L168" s="1"/>
      <c r="M168" s="1"/>
      <c r="N168" s="1">
        <f t="shared" si="5"/>
        <v>20</v>
      </c>
      <c r="O168" s="1"/>
      <c r="W168" s="1">
        <v>20</v>
      </c>
    </row>
    <row r="169" spans="1:23" x14ac:dyDescent="0.25">
      <c r="A169" s="8" t="s">
        <v>421</v>
      </c>
      <c r="B169" s="10">
        <v>1183619</v>
      </c>
      <c r="C169" s="8" t="s">
        <v>451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>
        <v>11</v>
      </c>
      <c r="O169" s="1">
        <v>10</v>
      </c>
    </row>
    <row r="170" spans="1:23" x14ac:dyDescent="0.25">
      <c r="A170" s="8" t="s">
        <v>421</v>
      </c>
      <c r="B170" s="10">
        <v>1210145</v>
      </c>
      <c r="C170" s="8" t="s">
        <v>452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>
        <v>5</v>
      </c>
      <c r="O170" s="1"/>
    </row>
    <row r="171" spans="1:23" x14ac:dyDescent="0.25">
      <c r="A171" s="8" t="s">
        <v>421</v>
      </c>
      <c r="B171" s="10">
        <v>1752949</v>
      </c>
      <c r="C171" s="8" t="s">
        <v>179</v>
      </c>
      <c r="D171" s="1"/>
      <c r="E171" s="1"/>
      <c r="F171" s="1">
        <f>S171</f>
        <v>6</v>
      </c>
      <c r="G171" s="1"/>
      <c r="H171" s="1"/>
      <c r="I171" s="1"/>
      <c r="J171" s="1"/>
      <c r="K171" s="1"/>
      <c r="L171" s="1"/>
      <c r="M171" s="1"/>
      <c r="N171" s="1">
        <v>13</v>
      </c>
      <c r="O171" s="1">
        <v>20</v>
      </c>
      <c r="S171" s="1">
        <v>6</v>
      </c>
    </row>
    <row r="172" spans="1:23" x14ac:dyDescent="0.25">
      <c r="A172" s="8" t="s">
        <v>421</v>
      </c>
      <c r="B172" s="11" t="s">
        <v>202</v>
      </c>
      <c r="C172" s="8" t="s">
        <v>180</v>
      </c>
      <c r="D172" s="1"/>
      <c r="E172" s="1"/>
      <c r="F172" s="1"/>
      <c r="G172" s="1">
        <v>20</v>
      </c>
      <c r="H172" s="1"/>
      <c r="I172" s="1"/>
      <c r="J172" s="1"/>
      <c r="K172" s="1"/>
      <c r="L172" s="1"/>
      <c r="M172" s="1"/>
      <c r="N172" s="1">
        <v>13</v>
      </c>
      <c r="O172" s="1">
        <v>10</v>
      </c>
      <c r="P172">
        <v>-10</v>
      </c>
    </row>
    <row r="173" spans="1:23" x14ac:dyDescent="0.25">
      <c r="A173" s="8" t="s">
        <v>421</v>
      </c>
      <c r="B173" s="11" t="s">
        <v>203</v>
      </c>
      <c r="C173" s="8" t="s">
        <v>178</v>
      </c>
      <c r="D173" s="1"/>
      <c r="E173" s="1">
        <v>15</v>
      </c>
      <c r="F173" s="1"/>
      <c r="G173" s="1"/>
      <c r="H173" s="1"/>
      <c r="I173" s="1"/>
      <c r="J173" s="1"/>
      <c r="K173" s="1"/>
      <c r="L173" s="1"/>
      <c r="M173" s="1"/>
      <c r="N173" s="1">
        <v>12</v>
      </c>
      <c r="O173" s="1">
        <v>10</v>
      </c>
      <c r="P173">
        <v>-10</v>
      </c>
    </row>
    <row r="174" spans="1:23" x14ac:dyDescent="0.25">
      <c r="A174" s="8" t="s">
        <v>421</v>
      </c>
      <c r="B174" s="11" t="s">
        <v>204</v>
      </c>
      <c r="C174" s="8" t="s">
        <v>178</v>
      </c>
      <c r="D174" s="1"/>
      <c r="E174" s="1">
        <v>15</v>
      </c>
      <c r="F174" s="1"/>
      <c r="G174" s="1"/>
      <c r="H174" s="1"/>
      <c r="I174" s="1"/>
      <c r="J174" s="1"/>
      <c r="K174" s="1"/>
      <c r="L174" s="1"/>
      <c r="M174" s="1"/>
      <c r="N174" s="1">
        <v>11</v>
      </c>
      <c r="O174" s="1">
        <v>10</v>
      </c>
      <c r="P174">
        <v>-10</v>
      </c>
    </row>
    <row r="175" spans="1:23" x14ac:dyDescent="0.25">
      <c r="A175" s="8" t="s">
        <v>421</v>
      </c>
      <c r="B175" s="11" t="s">
        <v>205</v>
      </c>
      <c r="C175" s="8" t="s">
        <v>180</v>
      </c>
      <c r="D175" s="1"/>
      <c r="E175" s="1"/>
      <c r="F175" s="1"/>
      <c r="G175" s="1">
        <v>20</v>
      </c>
      <c r="H175" s="1"/>
      <c r="I175" s="1"/>
      <c r="J175" s="1"/>
      <c r="K175" s="1"/>
      <c r="L175" s="1"/>
      <c r="M175" s="1"/>
      <c r="N175" s="1">
        <v>11</v>
      </c>
      <c r="O175" s="1">
        <v>10</v>
      </c>
      <c r="P175">
        <v>-10</v>
      </c>
    </row>
    <row r="176" spans="1:23" x14ac:dyDescent="0.25">
      <c r="A176" s="8" t="s">
        <v>421</v>
      </c>
      <c r="B176" s="11" t="s">
        <v>206</v>
      </c>
      <c r="C176" s="8" t="s">
        <v>180</v>
      </c>
      <c r="D176" s="1"/>
      <c r="E176" s="1"/>
      <c r="F176" s="1"/>
      <c r="G176" s="1">
        <f>T176</f>
        <v>-29</v>
      </c>
      <c r="H176" s="1"/>
      <c r="I176" s="1"/>
      <c r="J176" s="1"/>
      <c r="K176" s="1"/>
      <c r="L176" s="1"/>
      <c r="M176" s="1"/>
      <c r="N176" s="1">
        <v>15</v>
      </c>
      <c r="O176" s="1">
        <v>55</v>
      </c>
      <c r="P176">
        <v>-15</v>
      </c>
      <c r="T176">
        <v>-29</v>
      </c>
    </row>
    <row r="177" spans="1:25" x14ac:dyDescent="0.25">
      <c r="A177" s="8" t="s">
        <v>421</v>
      </c>
      <c r="B177" s="10">
        <v>2492347</v>
      </c>
      <c r="C177" s="8" t="s">
        <v>180</v>
      </c>
      <c r="D177" s="1"/>
      <c r="E177" s="1"/>
      <c r="F177" s="1"/>
      <c r="G177" s="1">
        <f>T177</f>
        <v>-13</v>
      </c>
      <c r="H177" s="1"/>
      <c r="I177" s="1"/>
      <c r="J177" s="1"/>
      <c r="K177" s="1"/>
      <c r="L177" s="1"/>
      <c r="M177" s="1"/>
      <c r="N177" s="1">
        <v>13</v>
      </c>
      <c r="O177" s="1">
        <v>40</v>
      </c>
      <c r="P177">
        <v>-10</v>
      </c>
      <c r="T177">
        <v>-13</v>
      </c>
    </row>
    <row r="178" spans="1:25" x14ac:dyDescent="0.25">
      <c r="A178" s="8" t="s">
        <v>421</v>
      </c>
      <c r="B178" s="10">
        <v>2568753</v>
      </c>
      <c r="C178" s="8" t="s">
        <v>179</v>
      </c>
      <c r="D178" s="1"/>
      <c r="E178" s="1"/>
      <c r="F178" s="1">
        <f>S178</f>
        <v>6</v>
      </c>
      <c r="G178" s="1"/>
      <c r="H178" s="1"/>
      <c r="I178" s="1"/>
      <c r="J178" s="1"/>
      <c r="K178" s="1"/>
      <c r="L178" s="1"/>
      <c r="M178" s="1"/>
      <c r="N178" s="1">
        <v>13</v>
      </c>
      <c r="O178" s="1">
        <v>20</v>
      </c>
      <c r="S178" s="1">
        <v>6</v>
      </c>
    </row>
    <row r="179" spans="1:25" x14ac:dyDescent="0.25">
      <c r="A179" s="8" t="s">
        <v>421</v>
      </c>
      <c r="B179" s="10" t="s">
        <v>582</v>
      </c>
      <c r="C179" s="8" t="s">
        <v>583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>
        <v>20</v>
      </c>
      <c r="O179" s="1">
        <v>20</v>
      </c>
      <c r="S179" s="1"/>
    </row>
    <row r="180" spans="1:25" x14ac:dyDescent="0.25">
      <c r="A180" s="8" t="s">
        <v>421</v>
      </c>
      <c r="B180" s="10">
        <v>3805839</v>
      </c>
      <c r="C180" s="8" t="s">
        <v>177</v>
      </c>
      <c r="D180" s="1"/>
      <c r="E180" s="1"/>
      <c r="F180" s="1"/>
      <c r="G180" s="1"/>
      <c r="H180" s="1"/>
      <c r="I180" s="1"/>
      <c r="J180" s="1"/>
      <c r="K180" s="1">
        <f>X180</f>
        <v>25</v>
      </c>
      <c r="L180" s="1"/>
      <c r="M180" s="1"/>
      <c r="N180" s="1">
        <v>20</v>
      </c>
      <c r="O180" s="1">
        <v>20</v>
      </c>
      <c r="X180">
        <v>25</v>
      </c>
    </row>
    <row r="181" spans="1:25" x14ac:dyDescent="0.25">
      <c r="A181" s="8" t="s">
        <v>421</v>
      </c>
      <c r="B181" s="10">
        <v>3805840</v>
      </c>
      <c r="C181" s="8" t="s">
        <v>177</v>
      </c>
      <c r="D181" s="1"/>
      <c r="E181" s="1"/>
      <c r="F181" s="1"/>
      <c r="G181" s="1"/>
      <c r="H181" s="1"/>
      <c r="I181" s="1"/>
      <c r="J181" s="1"/>
      <c r="K181" s="1">
        <f>X181</f>
        <v>25</v>
      </c>
      <c r="L181" s="1"/>
      <c r="M181" s="1"/>
      <c r="N181" s="1">
        <v>23</v>
      </c>
      <c r="O181" s="1">
        <v>20</v>
      </c>
      <c r="X181">
        <v>25</v>
      </c>
    </row>
    <row r="182" spans="1:25" x14ac:dyDescent="0.25">
      <c r="A182" s="8" t="s">
        <v>421</v>
      </c>
      <c r="B182" s="11" t="s">
        <v>436</v>
      </c>
      <c r="C182" s="8" t="s">
        <v>453</v>
      </c>
      <c r="D182" s="1"/>
      <c r="E182" s="1">
        <v>15</v>
      </c>
      <c r="F182" s="1">
        <v>15</v>
      </c>
      <c r="G182" s="1"/>
      <c r="H182" s="1"/>
      <c r="I182" s="1"/>
      <c r="J182" s="1"/>
      <c r="K182" s="1"/>
      <c r="L182" s="1"/>
      <c r="M182" s="1"/>
      <c r="N182" s="1">
        <v>16</v>
      </c>
      <c r="O182" s="1">
        <v>15</v>
      </c>
    </row>
    <row r="183" spans="1:25" x14ac:dyDescent="0.25">
      <c r="A183" s="8" t="s">
        <v>421</v>
      </c>
      <c r="B183" s="10">
        <v>4355142</v>
      </c>
      <c r="C183" s="8" t="s">
        <v>181</v>
      </c>
      <c r="D183" s="1"/>
      <c r="E183" s="1"/>
      <c r="F183" s="1"/>
      <c r="G183" s="1"/>
      <c r="H183" s="1">
        <f>U183</f>
        <v>20</v>
      </c>
      <c r="I183" s="1"/>
      <c r="J183" s="1"/>
      <c r="K183" s="1"/>
      <c r="L183" s="1"/>
      <c r="M183" s="1"/>
      <c r="N183" s="1">
        <v>10</v>
      </c>
      <c r="O183" s="1">
        <v>10</v>
      </c>
      <c r="U183">
        <v>20</v>
      </c>
    </row>
    <row r="184" spans="1:25" x14ac:dyDescent="0.25">
      <c r="A184" s="8" t="s">
        <v>421</v>
      </c>
      <c r="B184" s="10" t="s">
        <v>1199</v>
      </c>
      <c r="C184" s="8" t="s">
        <v>1200</v>
      </c>
      <c r="D184" s="1"/>
      <c r="E184" s="1">
        <f>R184</f>
        <v>20</v>
      </c>
      <c r="F184" s="1"/>
      <c r="G184" s="1"/>
      <c r="H184" s="1"/>
      <c r="I184" s="1"/>
      <c r="J184" s="1"/>
      <c r="K184" s="1"/>
      <c r="L184" s="1"/>
      <c r="M184" s="1"/>
      <c r="N184" s="1">
        <v>14</v>
      </c>
      <c r="O184" s="1">
        <v>10</v>
      </c>
      <c r="R184">
        <v>20</v>
      </c>
    </row>
    <row r="185" spans="1:25" x14ac:dyDescent="0.25">
      <c r="A185" s="8" t="s">
        <v>421</v>
      </c>
      <c r="B185" s="11" t="s">
        <v>437</v>
      </c>
      <c r="C185" s="8" t="s">
        <v>451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>
        <v>19</v>
      </c>
      <c r="O185" s="1">
        <v>0</v>
      </c>
    </row>
    <row r="186" spans="1:25" x14ac:dyDescent="0.25">
      <c r="A186" s="8" t="s">
        <v>853</v>
      </c>
      <c r="B186" s="11" t="s">
        <v>1154</v>
      </c>
      <c r="C186" s="8" t="s">
        <v>1155</v>
      </c>
      <c r="D186" s="1"/>
      <c r="E186" s="1"/>
      <c r="F186" s="1"/>
      <c r="G186" s="1"/>
      <c r="H186" s="1"/>
      <c r="I186" s="1"/>
      <c r="J186" s="1"/>
      <c r="K186" s="1"/>
      <c r="L186" s="1">
        <f>Y186</f>
        <v>3</v>
      </c>
      <c r="M186" s="1"/>
      <c r="N186" s="1">
        <f>Y186</f>
        <v>3</v>
      </c>
      <c r="O186" s="1"/>
      <c r="Y186">
        <v>3</v>
      </c>
    </row>
    <row r="187" spans="1:25" x14ac:dyDescent="0.25">
      <c r="A187" s="8" t="s">
        <v>853</v>
      </c>
      <c r="B187" s="11"/>
      <c r="C187" s="8" t="s">
        <v>853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25" x14ac:dyDescent="0.25">
      <c r="A188" s="8" t="s">
        <v>421</v>
      </c>
      <c r="B188" s="5" t="s">
        <v>607</v>
      </c>
      <c r="C188" s="8" t="s">
        <v>905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25" x14ac:dyDescent="0.25">
      <c r="A189" s="8" t="s">
        <v>613</v>
      </c>
      <c r="B189" s="5" t="s">
        <v>609</v>
      </c>
      <c r="C189" s="8" t="s">
        <v>898</v>
      </c>
      <c r="D189" s="1"/>
      <c r="E189" s="1"/>
      <c r="F189" s="1"/>
      <c r="G189" s="1"/>
      <c r="H189" s="1"/>
      <c r="I189" s="1"/>
      <c r="J189" s="1"/>
      <c r="K189" s="1"/>
      <c r="L189" s="1">
        <f>Y189</f>
        <v>10</v>
      </c>
      <c r="M189" s="1"/>
      <c r="N189" s="1">
        <v>10</v>
      </c>
      <c r="O189" s="1"/>
      <c r="Y189">
        <v>10</v>
      </c>
    </row>
    <row r="190" spans="1:25" x14ac:dyDescent="0.25">
      <c r="A190" s="8" t="s">
        <v>613</v>
      </c>
      <c r="B190" s="5" t="s">
        <v>610</v>
      </c>
      <c r="C190" s="8" t="s">
        <v>899</v>
      </c>
      <c r="D190" s="1"/>
      <c r="E190" s="1"/>
      <c r="F190" s="1"/>
      <c r="G190" s="1"/>
      <c r="H190" s="1"/>
      <c r="I190" s="1"/>
      <c r="J190" s="1"/>
      <c r="K190" s="1"/>
      <c r="L190" s="1">
        <f t="shared" ref="L190:L196" si="6">Y190</f>
        <v>10</v>
      </c>
      <c r="M190" s="1"/>
      <c r="N190" s="1">
        <v>10</v>
      </c>
      <c r="O190" s="1"/>
      <c r="Y190">
        <v>10</v>
      </c>
    </row>
    <row r="191" spans="1:25" x14ac:dyDescent="0.25">
      <c r="A191" s="8" t="s">
        <v>613</v>
      </c>
      <c r="B191" s="5">
        <v>23539623</v>
      </c>
      <c r="C191" s="8" t="s">
        <v>900</v>
      </c>
      <c r="D191" s="1"/>
      <c r="E191" s="1"/>
      <c r="F191" s="1"/>
      <c r="G191" s="1"/>
      <c r="H191" s="1"/>
      <c r="I191" s="1"/>
      <c r="J191" s="1"/>
      <c r="K191" s="1"/>
      <c r="L191" s="1">
        <f t="shared" si="6"/>
        <v>10</v>
      </c>
      <c r="M191" s="1"/>
      <c r="N191" s="1">
        <v>10</v>
      </c>
      <c r="O191" s="1"/>
      <c r="Y191">
        <v>10</v>
      </c>
    </row>
    <row r="192" spans="1:25" x14ac:dyDescent="0.25">
      <c r="A192" s="8" t="s">
        <v>613</v>
      </c>
      <c r="B192" s="5" t="s">
        <v>611</v>
      </c>
      <c r="C192" s="8" t="s">
        <v>901</v>
      </c>
      <c r="D192" s="1"/>
      <c r="E192" s="1"/>
      <c r="F192" s="1"/>
      <c r="G192" s="1"/>
      <c r="H192" s="1"/>
      <c r="I192" s="1"/>
      <c r="J192" s="1"/>
      <c r="K192" s="1"/>
      <c r="L192" s="1">
        <f t="shared" si="6"/>
        <v>10</v>
      </c>
      <c r="M192" s="1"/>
      <c r="N192" s="1">
        <v>10</v>
      </c>
      <c r="O192" s="1"/>
      <c r="Y192">
        <v>10</v>
      </c>
    </row>
    <row r="193" spans="1:25" x14ac:dyDescent="0.25">
      <c r="A193" s="8" t="s">
        <v>613</v>
      </c>
      <c r="B193" s="5" t="s">
        <v>904</v>
      </c>
      <c r="C193" s="8" t="s">
        <v>902</v>
      </c>
      <c r="D193" s="1"/>
      <c r="E193" s="1"/>
      <c r="F193" s="1"/>
      <c r="G193" s="1"/>
      <c r="H193" s="1"/>
      <c r="I193" s="1"/>
      <c r="J193" s="1"/>
      <c r="K193" s="1"/>
      <c r="L193" s="1">
        <f t="shared" si="6"/>
        <v>10</v>
      </c>
      <c r="M193" s="1"/>
      <c r="N193" s="1">
        <v>10</v>
      </c>
      <c r="O193" s="1"/>
      <c r="Y193">
        <v>10</v>
      </c>
    </row>
    <row r="194" spans="1:25" x14ac:dyDescent="0.25">
      <c r="A194" s="8" t="s">
        <v>613</v>
      </c>
      <c r="B194" s="5" t="s">
        <v>612</v>
      </c>
      <c r="C194" s="8" t="s">
        <v>903</v>
      </c>
      <c r="D194" s="1"/>
      <c r="E194" s="1"/>
      <c r="F194" s="1"/>
      <c r="G194" s="1"/>
      <c r="H194" s="1"/>
      <c r="I194" s="1"/>
      <c r="J194" s="1"/>
      <c r="K194" s="1"/>
      <c r="L194" s="1">
        <f t="shared" si="6"/>
        <v>10</v>
      </c>
      <c r="M194" s="1"/>
      <c r="N194" s="1">
        <v>10</v>
      </c>
      <c r="O194" s="1"/>
      <c r="Y194">
        <v>10</v>
      </c>
    </row>
    <row r="195" spans="1:25" x14ac:dyDescent="0.25">
      <c r="A195" s="8" t="s">
        <v>614</v>
      </c>
      <c r="B195" s="5">
        <v>80301</v>
      </c>
      <c r="C195" s="8" t="s">
        <v>614</v>
      </c>
      <c r="D195" s="1"/>
      <c r="E195" s="1"/>
      <c r="F195" s="1"/>
      <c r="G195" s="1"/>
      <c r="H195" s="1"/>
      <c r="I195" s="1"/>
      <c r="J195" s="1"/>
      <c r="K195" s="1"/>
      <c r="L195" s="1">
        <f t="shared" si="6"/>
        <v>6</v>
      </c>
      <c r="M195" s="1"/>
      <c r="N195" s="1">
        <v>6</v>
      </c>
      <c r="O195" s="1"/>
      <c r="Y195">
        <v>6</v>
      </c>
    </row>
    <row r="196" spans="1:25" x14ac:dyDescent="0.25">
      <c r="A196" s="8" t="s">
        <v>614</v>
      </c>
      <c r="B196" s="5">
        <v>7002525</v>
      </c>
      <c r="C196" s="8" t="s">
        <v>614</v>
      </c>
      <c r="D196" s="1"/>
      <c r="E196" s="1"/>
      <c r="F196" s="1"/>
      <c r="G196" s="1"/>
      <c r="H196" s="1"/>
      <c r="I196" s="1"/>
      <c r="J196" s="1"/>
      <c r="K196" s="1"/>
      <c r="L196" s="1">
        <f t="shared" si="6"/>
        <v>6</v>
      </c>
      <c r="M196" s="1"/>
      <c r="N196" s="1">
        <v>6</v>
      </c>
      <c r="O196" s="1"/>
      <c r="Y196">
        <v>6</v>
      </c>
    </row>
    <row r="197" spans="1:25" x14ac:dyDescent="0.25">
      <c r="A197" s="8" t="s">
        <v>422</v>
      </c>
      <c r="B197" s="11" t="s">
        <v>207</v>
      </c>
      <c r="C197" s="8" t="s">
        <v>454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>
        <v>8</v>
      </c>
      <c r="O197" s="1">
        <v>15</v>
      </c>
    </row>
    <row r="198" spans="1:25" x14ac:dyDescent="0.25">
      <c r="A198" s="8" t="s">
        <v>422</v>
      </c>
      <c r="B198" s="10">
        <v>23505720</v>
      </c>
      <c r="C198" s="8" t="s">
        <v>455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>
        <v>7</v>
      </c>
      <c r="O198" s="1">
        <v>0</v>
      </c>
    </row>
    <row r="199" spans="1:25" x14ac:dyDescent="0.25">
      <c r="A199" s="8" t="s">
        <v>422</v>
      </c>
      <c r="B199" s="10">
        <v>23506722</v>
      </c>
      <c r="C199" s="8" t="s">
        <v>456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>
        <v>8</v>
      </c>
      <c r="O199" s="1">
        <v>0</v>
      </c>
    </row>
    <row r="200" spans="1:25" x14ac:dyDescent="0.25">
      <c r="A200" s="8" t="s">
        <v>422</v>
      </c>
      <c r="B200" s="10">
        <v>23521528</v>
      </c>
      <c r="C200" s="8" t="s">
        <v>179</v>
      </c>
      <c r="D200" s="1"/>
      <c r="E200" s="1"/>
      <c r="F200" s="1">
        <v>15</v>
      </c>
      <c r="G200" s="1"/>
      <c r="H200" s="1"/>
      <c r="I200" s="1"/>
      <c r="J200" s="1"/>
      <c r="K200" s="1"/>
      <c r="L200" s="1"/>
      <c r="M200" s="1"/>
      <c r="N200" s="1">
        <v>9</v>
      </c>
      <c r="O200" s="1">
        <v>10</v>
      </c>
    </row>
    <row r="201" spans="1:25" x14ac:dyDescent="0.25">
      <c r="A201" s="8" t="s">
        <v>422</v>
      </c>
      <c r="B201" s="10">
        <v>23530573</v>
      </c>
      <c r="C201" s="8" t="s">
        <v>180</v>
      </c>
      <c r="D201" s="1"/>
      <c r="E201" s="1"/>
      <c r="F201" s="1"/>
      <c r="G201" s="1">
        <v>20</v>
      </c>
      <c r="H201" s="1"/>
      <c r="I201" s="1"/>
      <c r="J201" s="1"/>
      <c r="K201" s="1"/>
      <c r="L201" s="1"/>
      <c r="M201" s="1"/>
      <c r="N201" s="1">
        <v>11</v>
      </c>
      <c r="O201" s="1">
        <v>10</v>
      </c>
      <c r="P201">
        <v>-5</v>
      </c>
    </row>
    <row r="202" spans="1:25" x14ac:dyDescent="0.25">
      <c r="A202" s="8" t="s">
        <v>422</v>
      </c>
      <c r="B202" s="10">
        <v>23530706</v>
      </c>
      <c r="C202" s="8" t="s">
        <v>178</v>
      </c>
      <c r="D202" s="1"/>
      <c r="E202" s="1">
        <v>15</v>
      </c>
      <c r="F202" s="1"/>
      <c r="G202" s="1"/>
      <c r="H202" s="1"/>
      <c r="I202" s="1"/>
      <c r="J202" s="1"/>
      <c r="K202" s="1"/>
      <c r="L202" s="1"/>
      <c r="M202" s="1"/>
      <c r="N202" s="1">
        <v>8</v>
      </c>
      <c r="O202" s="1">
        <v>10</v>
      </c>
      <c r="P202">
        <v>-5</v>
      </c>
    </row>
    <row r="203" spans="1:25" x14ac:dyDescent="0.25">
      <c r="A203" s="8" t="s">
        <v>422</v>
      </c>
      <c r="B203" s="10">
        <v>23530707</v>
      </c>
      <c r="C203" s="8" t="s">
        <v>178</v>
      </c>
      <c r="D203" s="1"/>
      <c r="E203" s="1">
        <v>15</v>
      </c>
      <c r="F203" s="1"/>
      <c r="G203" s="1"/>
      <c r="H203" s="1"/>
      <c r="I203" s="1"/>
      <c r="J203" s="1"/>
      <c r="K203" s="1"/>
      <c r="L203" s="1"/>
      <c r="M203" s="1"/>
      <c r="N203" s="1">
        <v>8</v>
      </c>
      <c r="O203" s="1">
        <v>10</v>
      </c>
      <c r="P203">
        <v>-5</v>
      </c>
    </row>
    <row r="204" spans="1:25" x14ac:dyDescent="0.25">
      <c r="A204" s="8" t="s">
        <v>422</v>
      </c>
      <c r="B204" s="10">
        <v>23533816</v>
      </c>
      <c r="C204" s="8" t="s">
        <v>179</v>
      </c>
      <c r="D204" s="1"/>
      <c r="E204" s="1"/>
      <c r="F204" s="1">
        <v>15</v>
      </c>
      <c r="G204" s="1"/>
      <c r="H204" s="1"/>
      <c r="I204" s="1"/>
      <c r="J204" s="1"/>
      <c r="K204" s="1"/>
      <c r="L204" s="1"/>
      <c r="M204" s="1"/>
      <c r="N204" s="1">
        <v>10</v>
      </c>
      <c r="O204" s="1">
        <v>10</v>
      </c>
      <c r="P204">
        <v>-5</v>
      </c>
    </row>
    <row r="205" spans="1:25" x14ac:dyDescent="0.25">
      <c r="A205" s="8" t="s">
        <v>422</v>
      </c>
      <c r="B205" s="10">
        <v>29540479</v>
      </c>
      <c r="C205" s="8" t="s">
        <v>457</v>
      </c>
      <c r="D205" s="1"/>
      <c r="E205" s="1"/>
      <c r="F205" s="1"/>
      <c r="G205" s="1">
        <f>T205</f>
        <v>20</v>
      </c>
      <c r="H205" s="1"/>
      <c r="I205" s="1"/>
      <c r="J205" s="1"/>
      <c r="K205" s="1"/>
      <c r="L205" s="1"/>
      <c r="M205" s="1"/>
      <c r="N205" s="1">
        <v>16</v>
      </c>
      <c r="O205" s="1">
        <v>15</v>
      </c>
      <c r="T205">
        <v>20</v>
      </c>
    </row>
    <row r="206" spans="1:25" x14ac:dyDescent="0.25">
      <c r="A206" s="8" t="s">
        <v>422</v>
      </c>
      <c r="B206" s="10">
        <v>29545776</v>
      </c>
      <c r="C206" s="8" t="s">
        <v>458</v>
      </c>
      <c r="D206" s="1"/>
      <c r="E206" s="1"/>
      <c r="F206" s="1"/>
      <c r="G206" s="1">
        <f>T206</f>
        <v>20</v>
      </c>
      <c r="H206" s="1"/>
      <c r="I206" s="1"/>
      <c r="J206" s="1"/>
      <c r="K206" s="1"/>
      <c r="L206" s="1"/>
      <c r="M206" s="1"/>
      <c r="N206" s="1">
        <v>16</v>
      </c>
      <c r="O206" s="1">
        <v>15</v>
      </c>
      <c r="T206">
        <v>20</v>
      </c>
    </row>
    <row r="207" spans="1:25" x14ac:dyDescent="0.25">
      <c r="A207" s="8" t="s">
        <v>422</v>
      </c>
      <c r="B207" s="10">
        <v>320628</v>
      </c>
      <c r="C207" s="8" t="s">
        <v>459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>
        <v>7</v>
      </c>
      <c r="O207" s="1">
        <v>15</v>
      </c>
    </row>
    <row r="208" spans="1:25" x14ac:dyDescent="0.25">
      <c r="A208" s="8" t="s">
        <v>422</v>
      </c>
      <c r="B208" s="9" t="s">
        <v>208</v>
      </c>
      <c r="C208" s="8" t="s">
        <v>460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>
        <v>19</v>
      </c>
      <c r="O208" s="1">
        <v>20</v>
      </c>
    </row>
    <row r="209" spans="1:26" x14ac:dyDescent="0.25">
      <c r="A209" s="8" t="s">
        <v>422</v>
      </c>
      <c r="B209" s="9" t="s">
        <v>209</v>
      </c>
      <c r="C209" s="8" t="s">
        <v>461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>
        <v>8</v>
      </c>
      <c r="O209" s="1">
        <v>15</v>
      </c>
    </row>
    <row r="210" spans="1:26" x14ac:dyDescent="0.25">
      <c r="A210" s="8" t="s">
        <v>422</v>
      </c>
      <c r="B210" s="9" t="s">
        <v>210</v>
      </c>
      <c r="C210" s="8" t="s">
        <v>179</v>
      </c>
      <c r="D210" s="1"/>
      <c r="E210" s="1"/>
      <c r="F210" s="1">
        <f>S210</f>
        <v>35</v>
      </c>
      <c r="G210" s="1"/>
      <c r="H210" s="1"/>
      <c r="I210" s="1"/>
      <c r="J210" s="1"/>
      <c r="K210" s="1"/>
      <c r="L210" s="1"/>
      <c r="M210" s="1"/>
      <c r="N210" s="1">
        <v>20</v>
      </c>
      <c r="O210" s="1">
        <v>10</v>
      </c>
      <c r="S210">
        <v>35</v>
      </c>
    </row>
    <row r="211" spans="1:26" x14ac:dyDescent="0.25">
      <c r="A211" s="8" t="s">
        <v>422</v>
      </c>
      <c r="B211" s="9" t="s">
        <v>756</v>
      </c>
      <c r="C211" s="8" t="s">
        <v>179</v>
      </c>
      <c r="D211" s="1"/>
      <c r="E211" s="1"/>
      <c r="F211" s="1">
        <f>S211</f>
        <v>20</v>
      </c>
      <c r="G211" s="1"/>
      <c r="H211" s="1"/>
      <c r="I211" s="1"/>
      <c r="J211" s="1"/>
      <c r="K211" s="1"/>
      <c r="L211" s="1"/>
      <c r="M211" s="1"/>
      <c r="N211" s="1">
        <v>20</v>
      </c>
      <c r="O211" s="1">
        <v>10</v>
      </c>
      <c r="S211">
        <v>20</v>
      </c>
    </row>
    <row r="212" spans="1:26" x14ac:dyDescent="0.25">
      <c r="A212" s="8" t="s">
        <v>422</v>
      </c>
      <c r="B212" s="9" t="s">
        <v>211</v>
      </c>
      <c r="C212" s="8" t="s">
        <v>179</v>
      </c>
      <c r="D212" s="1"/>
      <c r="E212" s="1"/>
      <c r="F212" s="1">
        <f>S212</f>
        <v>35</v>
      </c>
      <c r="G212" s="1"/>
      <c r="H212" s="1"/>
      <c r="I212" s="1"/>
      <c r="J212" s="1"/>
      <c r="K212" s="1"/>
      <c r="L212" s="1"/>
      <c r="M212" s="1"/>
      <c r="N212" s="1">
        <v>23</v>
      </c>
      <c r="O212" s="1">
        <v>10</v>
      </c>
      <c r="S212">
        <v>35</v>
      </c>
    </row>
    <row r="213" spans="1:26" x14ac:dyDescent="0.25">
      <c r="A213" s="8" t="s">
        <v>422</v>
      </c>
      <c r="B213" s="9" t="s">
        <v>212</v>
      </c>
      <c r="C213" s="8" t="s">
        <v>178</v>
      </c>
      <c r="D213" s="1"/>
      <c r="E213" s="1">
        <f>R213</f>
        <v>-71</v>
      </c>
      <c r="F213" s="1"/>
      <c r="G213" s="1"/>
      <c r="H213" s="1"/>
      <c r="I213" s="1"/>
      <c r="J213" s="1"/>
      <c r="K213" s="1"/>
      <c r="L213" s="1"/>
      <c r="M213" s="1"/>
      <c r="N213" s="1">
        <v>21</v>
      </c>
      <c r="O213" s="1">
        <v>101</v>
      </c>
      <c r="P213">
        <v>-25</v>
      </c>
      <c r="R213">
        <v>-71</v>
      </c>
    </row>
    <row r="214" spans="1:26" x14ac:dyDescent="0.25">
      <c r="A214" s="8" t="s">
        <v>422</v>
      </c>
      <c r="B214" s="9" t="s">
        <v>1295</v>
      </c>
      <c r="C214" s="8" t="s">
        <v>179</v>
      </c>
      <c r="D214" s="1"/>
      <c r="E214" s="1"/>
      <c r="F214" s="1">
        <f>S214</f>
        <v>30</v>
      </c>
      <c r="G214" s="1"/>
      <c r="H214" s="1"/>
      <c r="I214" s="1"/>
      <c r="J214" s="1"/>
      <c r="K214" s="1"/>
      <c r="L214" s="1"/>
      <c r="M214" s="1"/>
      <c r="N214" s="1">
        <v>13</v>
      </c>
      <c r="O214" s="1">
        <v>10</v>
      </c>
      <c r="S214">
        <v>30</v>
      </c>
    </row>
    <row r="215" spans="1:26" x14ac:dyDescent="0.25">
      <c r="A215" s="8" t="s">
        <v>422</v>
      </c>
      <c r="B215" s="9" t="s">
        <v>213</v>
      </c>
      <c r="C215" s="8" t="s">
        <v>764</v>
      </c>
      <c r="D215" s="1"/>
      <c r="E215" s="1"/>
      <c r="F215" s="1"/>
      <c r="G215" s="1"/>
      <c r="H215" s="1"/>
      <c r="I215" s="1"/>
      <c r="J215" s="1"/>
      <c r="K215" s="1"/>
      <c r="L215" s="1"/>
      <c r="M215" s="1">
        <f>Z215</f>
        <v>50</v>
      </c>
      <c r="N215" s="1">
        <v>22</v>
      </c>
      <c r="O215" s="1">
        <v>15</v>
      </c>
      <c r="Z215">
        <v>50</v>
      </c>
    </row>
    <row r="216" spans="1:26" x14ac:dyDescent="0.25">
      <c r="A216" s="8" t="s">
        <v>422</v>
      </c>
      <c r="B216" s="9" t="s">
        <v>519</v>
      </c>
      <c r="C216" s="8" t="s">
        <v>764</v>
      </c>
      <c r="D216" s="1"/>
      <c r="E216" s="1"/>
      <c r="F216" s="1"/>
      <c r="G216" s="1"/>
      <c r="H216" s="1"/>
      <c r="I216" s="1"/>
      <c r="J216" s="1"/>
      <c r="K216" s="1"/>
      <c r="L216" s="1"/>
      <c r="M216" s="1">
        <f t="shared" ref="M216:M218" si="7">Z216</f>
        <v>50</v>
      </c>
      <c r="N216" s="1">
        <v>22</v>
      </c>
      <c r="O216" s="1">
        <v>15</v>
      </c>
      <c r="Z216">
        <v>50</v>
      </c>
    </row>
    <row r="217" spans="1:26" x14ac:dyDescent="0.25">
      <c r="A217" s="8" t="s">
        <v>422</v>
      </c>
      <c r="B217" s="9" t="s">
        <v>1193</v>
      </c>
      <c r="C217" s="8" t="s">
        <v>179</v>
      </c>
      <c r="D217" s="1"/>
      <c r="E217" s="1"/>
      <c r="F217" s="1">
        <f>S217</f>
        <v>35</v>
      </c>
      <c r="G217" s="1"/>
      <c r="H217" s="1"/>
      <c r="I217" s="1"/>
      <c r="J217" s="1"/>
      <c r="K217" s="1"/>
      <c r="L217" s="1"/>
      <c r="M217" s="1"/>
      <c r="N217" s="1">
        <v>23</v>
      </c>
      <c r="O217" s="1">
        <v>10</v>
      </c>
      <c r="S217">
        <v>35</v>
      </c>
    </row>
    <row r="218" spans="1:26" x14ac:dyDescent="0.25">
      <c r="A218" s="8" t="s">
        <v>422</v>
      </c>
      <c r="B218" s="9" t="s">
        <v>1211</v>
      </c>
      <c r="C218" s="8" t="s">
        <v>764</v>
      </c>
      <c r="D218" s="1"/>
      <c r="E218" s="1"/>
      <c r="F218" s="1"/>
      <c r="G218" s="1"/>
      <c r="H218" s="1"/>
      <c r="I218" s="1"/>
      <c r="J218" s="1"/>
      <c r="K218" s="1"/>
      <c r="L218" s="1"/>
      <c r="M218" s="1">
        <f t="shared" si="7"/>
        <v>50</v>
      </c>
      <c r="N218" s="1">
        <v>25</v>
      </c>
      <c r="O218" s="1">
        <v>15</v>
      </c>
      <c r="Z218">
        <v>50</v>
      </c>
    </row>
    <row r="219" spans="1:26" x14ac:dyDescent="0.25">
      <c r="A219" s="8" t="s">
        <v>422</v>
      </c>
      <c r="B219" s="9" t="s">
        <v>1212</v>
      </c>
      <c r="C219" s="8" t="s">
        <v>1213</v>
      </c>
      <c r="D219" s="1"/>
      <c r="E219" s="1"/>
      <c r="F219" s="1"/>
      <c r="G219" s="1"/>
      <c r="H219" s="1"/>
      <c r="I219" s="1"/>
      <c r="J219" s="1"/>
      <c r="K219" s="1"/>
      <c r="L219" s="1">
        <f>Y219</f>
        <v>15</v>
      </c>
      <c r="M219" s="1"/>
      <c r="N219" s="1">
        <v>11</v>
      </c>
      <c r="O219" s="1">
        <v>10</v>
      </c>
      <c r="Y219">
        <v>15</v>
      </c>
    </row>
    <row r="220" spans="1:26" x14ac:dyDescent="0.25">
      <c r="A220" s="8" t="s">
        <v>422</v>
      </c>
      <c r="B220" s="9" t="s">
        <v>214</v>
      </c>
      <c r="C220" s="8" t="s">
        <v>462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>
        <v>11</v>
      </c>
      <c r="O220" s="1"/>
    </row>
    <row r="221" spans="1:26" x14ac:dyDescent="0.25">
      <c r="A221" s="8" t="s">
        <v>422</v>
      </c>
      <c r="B221" s="9" t="s">
        <v>215</v>
      </c>
      <c r="C221" s="8" t="s">
        <v>463</v>
      </c>
      <c r="D221" s="1"/>
      <c r="E221" s="1"/>
      <c r="F221" s="1"/>
      <c r="G221" s="1"/>
      <c r="H221" s="1"/>
      <c r="I221" s="1"/>
      <c r="J221" s="1"/>
      <c r="K221" s="1"/>
      <c r="L221" s="1">
        <f>Y221</f>
        <v>15</v>
      </c>
      <c r="M221" s="1"/>
      <c r="N221" s="1">
        <v>15</v>
      </c>
      <c r="O221" s="1"/>
      <c r="Y221">
        <v>15</v>
      </c>
    </row>
    <row r="222" spans="1:26" x14ac:dyDescent="0.25">
      <c r="A222" s="8" t="s">
        <v>422</v>
      </c>
      <c r="B222" s="9" t="s">
        <v>216</v>
      </c>
      <c r="C222" s="8" t="s">
        <v>464</v>
      </c>
      <c r="D222" s="1"/>
      <c r="E222" s="1"/>
      <c r="F222" s="1"/>
      <c r="G222" s="1">
        <f>T222</f>
        <v>20</v>
      </c>
      <c r="H222" s="1"/>
      <c r="I222" s="1"/>
      <c r="J222" s="1"/>
      <c r="K222" s="1"/>
      <c r="L222" s="1"/>
      <c r="M222" s="1"/>
      <c r="N222" s="1">
        <v>11</v>
      </c>
      <c r="O222" s="1">
        <v>20</v>
      </c>
      <c r="T222">
        <v>20</v>
      </c>
    </row>
    <row r="223" spans="1:26" x14ac:dyDescent="0.25">
      <c r="A223" s="8" t="s">
        <v>422</v>
      </c>
      <c r="B223" s="9" t="s">
        <v>217</v>
      </c>
      <c r="C223" s="8" t="s">
        <v>465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>
        <v>7</v>
      </c>
      <c r="O223" s="1">
        <v>10</v>
      </c>
    </row>
    <row r="224" spans="1:26" x14ac:dyDescent="0.25">
      <c r="A224" s="8" t="s">
        <v>422</v>
      </c>
      <c r="B224" s="9" t="s">
        <v>218</v>
      </c>
      <c r="C224" s="8" t="s">
        <v>178</v>
      </c>
      <c r="D224" s="1"/>
      <c r="E224" s="1">
        <v>20</v>
      </c>
      <c r="F224" s="1"/>
      <c r="G224" s="1"/>
      <c r="H224" s="1"/>
      <c r="I224" s="1"/>
      <c r="J224" s="1"/>
      <c r="K224" s="1"/>
      <c r="L224" s="1"/>
      <c r="M224" s="1"/>
      <c r="N224" s="1">
        <v>20</v>
      </c>
      <c r="O224" s="1">
        <v>15</v>
      </c>
      <c r="P224">
        <v>-25</v>
      </c>
    </row>
    <row r="225" spans="1:25" x14ac:dyDescent="0.25">
      <c r="A225" s="8" t="s">
        <v>422</v>
      </c>
      <c r="B225" s="9" t="s">
        <v>219</v>
      </c>
      <c r="C225" s="8" t="s">
        <v>761</v>
      </c>
      <c r="D225" s="1"/>
      <c r="E225" s="1" t="s">
        <v>184</v>
      </c>
      <c r="F225" s="1"/>
      <c r="G225" s="1"/>
      <c r="H225" s="1"/>
      <c r="I225" s="1"/>
      <c r="J225" s="1"/>
      <c r="K225" s="1"/>
      <c r="L225" s="1">
        <f>N225</f>
        <v>40</v>
      </c>
      <c r="M225" s="1"/>
      <c r="N225" s="1">
        <v>40</v>
      </c>
      <c r="O225" s="1"/>
      <c r="Y225" s="1">
        <f>N225</f>
        <v>40</v>
      </c>
    </row>
    <row r="226" spans="1:25" x14ac:dyDescent="0.25">
      <c r="A226" s="8" t="s">
        <v>422</v>
      </c>
      <c r="B226" s="9" t="s">
        <v>220</v>
      </c>
      <c r="C226" s="8" t="s">
        <v>180</v>
      </c>
      <c r="D226" s="1"/>
      <c r="E226" s="1"/>
      <c r="F226" s="1"/>
      <c r="G226" s="1">
        <v>20</v>
      </c>
      <c r="H226" s="1"/>
      <c r="I226" s="1"/>
      <c r="J226" s="1"/>
      <c r="K226" s="1"/>
      <c r="L226" s="1"/>
      <c r="M226" s="1"/>
      <c r="N226" s="1">
        <v>14</v>
      </c>
      <c r="O226" s="1">
        <v>10</v>
      </c>
      <c r="P226">
        <v>-10</v>
      </c>
    </row>
    <row r="227" spans="1:25" x14ac:dyDescent="0.25">
      <c r="A227" s="8" t="s">
        <v>422</v>
      </c>
      <c r="B227" s="9" t="s">
        <v>221</v>
      </c>
      <c r="C227" s="8" t="s">
        <v>763</v>
      </c>
      <c r="D227" s="1"/>
      <c r="E227" s="1"/>
      <c r="F227" s="1"/>
      <c r="G227" s="1"/>
      <c r="H227" s="1"/>
      <c r="I227" s="1"/>
      <c r="J227" s="1"/>
      <c r="K227" s="1"/>
      <c r="L227" s="1">
        <f>N227</f>
        <v>50</v>
      </c>
      <c r="M227" s="1"/>
      <c r="N227" s="1">
        <v>50</v>
      </c>
      <c r="O227" s="1">
        <v>0</v>
      </c>
      <c r="Y227" s="1">
        <f>N227</f>
        <v>50</v>
      </c>
    </row>
    <row r="228" spans="1:25" x14ac:dyDescent="0.25">
      <c r="A228" s="8" t="s">
        <v>422</v>
      </c>
      <c r="B228" s="9" t="s">
        <v>222</v>
      </c>
      <c r="C228" s="8" t="s">
        <v>760</v>
      </c>
      <c r="D228" s="1"/>
      <c r="E228" s="1"/>
      <c r="F228" s="1"/>
      <c r="G228" s="1"/>
      <c r="H228" s="1"/>
      <c r="I228" s="1"/>
      <c r="J228" s="1"/>
      <c r="K228" s="1"/>
      <c r="L228" s="1">
        <f>N228</f>
        <v>50</v>
      </c>
      <c r="M228" s="1"/>
      <c r="N228" s="1">
        <v>50</v>
      </c>
      <c r="O228" s="1">
        <v>0</v>
      </c>
      <c r="Y228" s="1">
        <f>N228</f>
        <v>50</v>
      </c>
    </row>
    <row r="229" spans="1:25" x14ac:dyDescent="0.25">
      <c r="A229" s="8" t="s">
        <v>422</v>
      </c>
      <c r="B229" s="9" t="s">
        <v>223</v>
      </c>
      <c r="C229" s="8" t="s">
        <v>466</v>
      </c>
      <c r="D229" s="1"/>
      <c r="E229" s="1"/>
      <c r="F229" s="1"/>
      <c r="G229" s="1"/>
      <c r="H229" s="1"/>
      <c r="I229" s="1"/>
      <c r="J229" s="1"/>
      <c r="K229" s="1"/>
      <c r="L229" s="1">
        <f>N229</f>
        <v>50</v>
      </c>
      <c r="M229" s="1"/>
      <c r="N229" s="1">
        <v>50</v>
      </c>
      <c r="O229" s="1">
        <v>0</v>
      </c>
      <c r="Y229" s="1">
        <f>N229</f>
        <v>50</v>
      </c>
    </row>
    <row r="230" spans="1:25" x14ac:dyDescent="0.25">
      <c r="A230" s="8" t="s">
        <v>422</v>
      </c>
      <c r="B230" s="9" t="s">
        <v>520</v>
      </c>
      <c r="C230" s="8" t="s">
        <v>178</v>
      </c>
      <c r="D230" s="1"/>
      <c r="E230" s="1">
        <v>20</v>
      </c>
      <c r="F230" s="1"/>
      <c r="G230" s="1"/>
      <c r="H230" s="1"/>
      <c r="I230" s="1"/>
      <c r="J230" s="1"/>
      <c r="K230" s="1"/>
      <c r="L230" s="1"/>
      <c r="M230" s="1"/>
      <c r="N230" s="1">
        <v>20</v>
      </c>
      <c r="O230" s="1">
        <v>15</v>
      </c>
      <c r="P230">
        <v>-25</v>
      </c>
    </row>
    <row r="231" spans="1:25" x14ac:dyDescent="0.25">
      <c r="A231" s="8" t="s">
        <v>422</v>
      </c>
      <c r="B231" s="9" t="s">
        <v>1209</v>
      </c>
      <c r="C231" s="8" t="s">
        <v>1210</v>
      </c>
      <c r="D231" s="1"/>
      <c r="E231" s="1"/>
      <c r="F231" s="1"/>
      <c r="G231" s="1"/>
      <c r="H231" s="1"/>
      <c r="I231" s="1"/>
      <c r="J231" s="1"/>
      <c r="K231" s="1"/>
      <c r="L231" s="1">
        <f>N231</f>
        <v>50</v>
      </c>
      <c r="M231" s="1"/>
      <c r="N231" s="1">
        <v>50</v>
      </c>
      <c r="O231" s="1">
        <v>0</v>
      </c>
      <c r="Y231" s="1">
        <v>50</v>
      </c>
    </row>
    <row r="232" spans="1:25" x14ac:dyDescent="0.25">
      <c r="A232" s="8" t="s">
        <v>422</v>
      </c>
      <c r="B232" s="9" t="s">
        <v>224</v>
      </c>
      <c r="C232" s="8" t="s">
        <v>762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>
        <v>50</v>
      </c>
      <c r="O232" s="1">
        <v>0</v>
      </c>
    </row>
    <row r="233" spans="1:25" x14ac:dyDescent="0.25">
      <c r="A233" s="8" t="s">
        <v>422</v>
      </c>
      <c r="B233" s="9" t="s">
        <v>225</v>
      </c>
      <c r="C233" s="8" t="s">
        <v>468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>
        <v>50</v>
      </c>
      <c r="O233" s="1">
        <v>0</v>
      </c>
    </row>
    <row r="234" spans="1:25" x14ac:dyDescent="0.25">
      <c r="A234" s="8" t="s">
        <v>422</v>
      </c>
      <c r="B234" s="9" t="s">
        <v>226</v>
      </c>
      <c r="C234" s="8" t="s">
        <v>469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>
        <v>30</v>
      </c>
      <c r="O234" s="1">
        <v>0</v>
      </c>
    </row>
    <row r="235" spans="1:25" x14ac:dyDescent="0.25">
      <c r="A235" s="8" t="s">
        <v>422</v>
      </c>
      <c r="B235" s="9" t="s">
        <v>227</v>
      </c>
      <c r="C235" s="8" t="s">
        <v>470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>
        <v>40</v>
      </c>
      <c r="O235" s="1">
        <v>0</v>
      </c>
      <c r="Y235" s="1"/>
    </row>
    <row r="236" spans="1:25" x14ac:dyDescent="0.25">
      <c r="A236" s="8" t="s">
        <v>422</v>
      </c>
      <c r="B236" s="9" t="s">
        <v>228</v>
      </c>
      <c r="C236" s="8" t="s">
        <v>181</v>
      </c>
      <c r="D236" s="1"/>
      <c r="E236" s="1"/>
      <c r="F236" s="1"/>
      <c r="G236" s="1"/>
      <c r="H236" s="1">
        <f>U236</f>
        <v>20</v>
      </c>
      <c r="I236" s="1"/>
      <c r="J236" s="1"/>
      <c r="K236" s="1"/>
      <c r="L236" s="1"/>
      <c r="M236" s="1"/>
      <c r="N236" s="1">
        <v>17</v>
      </c>
      <c r="O236" s="1">
        <v>10</v>
      </c>
      <c r="U236">
        <v>20</v>
      </c>
    </row>
    <row r="237" spans="1:25" x14ac:dyDescent="0.25">
      <c r="A237" s="8" t="s">
        <v>422</v>
      </c>
      <c r="B237" s="9" t="s">
        <v>229</v>
      </c>
      <c r="C237" s="8" t="s">
        <v>451</v>
      </c>
      <c r="D237" s="1"/>
      <c r="E237" s="1"/>
      <c r="F237" s="1"/>
      <c r="G237" s="1"/>
      <c r="H237" s="1"/>
      <c r="I237" s="1"/>
      <c r="J237" s="1"/>
      <c r="K237" s="1"/>
      <c r="L237" s="1">
        <f>Y237</f>
        <v>10</v>
      </c>
      <c r="M237" s="1"/>
      <c r="N237" s="1">
        <v>10</v>
      </c>
      <c r="O237" s="1">
        <v>0</v>
      </c>
      <c r="Y237">
        <v>10</v>
      </c>
    </row>
    <row r="238" spans="1:25" x14ac:dyDescent="0.25">
      <c r="A238" s="8" t="s">
        <v>422</v>
      </c>
      <c r="B238" s="9" t="s">
        <v>230</v>
      </c>
      <c r="C238" s="8" t="s">
        <v>471</v>
      </c>
      <c r="D238" s="1"/>
      <c r="E238" s="1"/>
      <c r="F238" s="1"/>
      <c r="G238" s="1"/>
      <c r="H238" s="1"/>
      <c r="I238" s="1"/>
      <c r="J238" s="1"/>
      <c r="K238" s="1"/>
      <c r="L238" s="1">
        <f>N238</f>
        <v>50</v>
      </c>
      <c r="M238" s="1"/>
      <c r="N238" s="1">
        <v>50</v>
      </c>
      <c r="O238" s="1"/>
      <c r="Y238" s="1">
        <f>N238</f>
        <v>50</v>
      </c>
    </row>
    <row r="239" spans="1:25" x14ac:dyDescent="0.25">
      <c r="A239" s="8" t="s">
        <v>422</v>
      </c>
      <c r="B239" s="9" t="s">
        <v>231</v>
      </c>
      <c r="C239" s="8" t="s">
        <v>180</v>
      </c>
      <c r="D239" s="1"/>
      <c r="E239" s="1"/>
      <c r="F239" s="1"/>
      <c r="G239" s="1">
        <v>20</v>
      </c>
      <c r="H239" s="1"/>
      <c r="I239" s="1"/>
      <c r="J239" s="1"/>
      <c r="K239" s="1"/>
      <c r="L239" s="1"/>
      <c r="M239" s="1"/>
      <c r="N239" s="1">
        <v>14</v>
      </c>
      <c r="O239" s="1">
        <v>10</v>
      </c>
      <c r="P239">
        <v>-10</v>
      </c>
    </row>
    <row r="240" spans="1:25" x14ac:dyDescent="0.25">
      <c r="A240" s="8" t="s">
        <v>422</v>
      </c>
      <c r="B240" s="9" t="s">
        <v>521</v>
      </c>
      <c r="C240" s="8" t="s">
        <v>759</v>
      </c>
      <c r="D240" s="1"/>
      <c r="E240" s="1"/>
      <c r="F240" s="1"/>
      <c r="G240" s="1">
        <v>20</v>
      </c>
      <c r="H240" s="1"/>
      <c r="I240" s="1"/>
      <c r="J240" s="1"/>
      <c r="K240" s="1"/>
      <c r="L240" s="1"/>
      <c r="M240" s="1"/>
      <c r="N240" s="1">
        <v>10</v>
      </c>
      <c r="O240" s="1">
        <v>10</v>
      </c>
      <c r="P240">
        <v>-5</v>
      </c>
    </row>
    <row r="241" spans="1:25" x14ac:dyDescent="0.25">
      <c r="A241" s="8" t="s">
        <v>422</v>
      </c>
      <c r="B241" s="9" t="s">
        <v>522</v>
      </c>
      <c r="C241" s="8" t="s">
        <v>758</v>
      </c>
      <c r="D241" s="1"/>
      <c r="E241" s="1">
        <v>20</v>
      </c>
      <c r="F241" s="1"/>
      <c r="G241" s="1"/>
      <c r="H241" s="1"/>
      <c r="I241" s="1"/>
      <c r="J241" s="1"/>
      <c r="K241" s="1"/>
      <c r="L241" s="1"/>
      <c r="M241" s="1"/>
      <c r="N241" s="1">
        <v>23</v>
      </c>
      <c r="O241" s="1">
        <v>10</v>
      </c>
      <c r="P241">
        <v>-30</v>
      </c>
    </row>
    <row r="242" spans="1:25" x14ac:dyDescent="0.25">
      <c r="A242" s="8" t="s">
        <v>422</v>
      </c>
      <c r="B242" s="9" t="s">
        <v>523</v>
      </c>
      <c r="C242" s="8" t="s">
        <v>757</v>
      </c>
      <c r="D242" s="1"/>
      <c r="E242" s="1"/>
      <c r="F242" s="1"/>
      <c r="G242" s="1">
        <v>20</v>
      </c>
      <c r="H242" s="1"/>
      <c r="I242" s="1"/>
      <c r="J242" s="1"/>
      <c r="K242" s="1"/>
      <c r="L242" s="1"/>
      <c r="M242" s="1"/>
      <c r="N242" s="1">
        <v>11</v>
      </c>
      <c r="O242" s="1">
        <v>10</v>
      </c>
      <c r="P242">
        <v>-10</v>
      </c>
    </row>
    <row r="243" spans="1:25" x14ac:dyDescent="0.25">
      <c r="A243" s="8" t="s">
        <v>422</v>
      </c>
      <c r="B243" s="9" t="s">
        <v>232</v>
      </c>
      <c r="C243" s="8" t="s">
        <v>179</v>
      </c>
      <c r="D243" s="1"/>
      <c r="E243" s="1"/>
      <c r="F243" s="1">
        <f>S243</f>
        <v>25</v>
      </c>
      <c r="G243" s="1"/>
      <c r="H243" s="1"/>
      <c r="I243" s="1"/>
      <c r="J243" s="1"/>
      <c r="K243" s="1"/>
      <c r="L243" s="1"/>
      <c r="M243" s="1"/>
      <c r="N243" s="1">
        <v>15</v>
      </c>
      <c r="O243" s="1">
        <v>10</v>
      </c>
      <c r="S243" s="1">
        <v>25</v>
      </c>
    </row>
    <row r="244" spans="1:25" x14ac:dyDescent="0.25">
      <c r="A244" s="8" t="s">
        <v>422</v>
      </c>
      <c r="B244" s="9" t="s">
        <v>233</v>
      </c>
      <c r="C244" s="8" t="s">
        <v>472</v>
      </c>
      <c r="D244" s="1"/>
      <c r="E244" s="1"/>
      <c r="F244" s="1"/>
      <c r="G244" s="1"/>
      <c r="H244" s="1"/>
      <c r="I244" s="1"/>
      <c r="J244" s="1"/>
      <c r="K244" s="1"/>
      <c r="L244" s="1">
        <f>Y244</f>
        <v>20</v>
      </c>
      <c r="M244" s="1"/>
      <c r="N244" s="1">
        <v>12</v>
      </c>
      <c r="O244" s="1">
        <v>15</v>
      </c>
      <c r="Y244">
        <v>20</v>
      </c>
    </row>
    <row r="245" spans="1:25" x14ac:dyDescent="0.25">
      <c r="A245" s="8" t="s">
        <v>422</v>
      </c>
      <c r="B245" s="3" t="s">
        <v>524</v>
      </c>
      <c r="C245" s="8"/>
      <c r="D245" s="1"/>
      <c r="E245" s="1"/>
      <c r="F245" s="1"/>
      <c r="G245" s="1"/>
      <c r="H245" s="1"/>
      <c r="I245" s="1"/>
      <c r="J245" s="1"/>
      <c r="K245" s="1"/>
      <c r="L245" s="1">
        <f t="shared" ref="L245:L246" si="8">Y245</f>
        <v>2</v>
      </c>
      <c r="M245" s="1"/>
      <c r="N245" s="1">
        <v>2</v>
      </c>
      <c r="O245" s="1"/>
      <c r="Y245">
        <v>2</v>
      </c>
    </row>
    <row r="246" spans="1:25" x14ac:dyDescent="0.25">
      <c r="A246" s="8" t="s">
        <v>422</v>
      </c>
      <c r="B246" s="3" t="s">
        <v>525</v>
      </c>
      <c r="C246" s="8"/>
      <c r="D246" s="1"/>
      <c r="E246" s="1"/>
      <c r="F246" s="1"/>
      <c r="G246" s="1"/>
      <c r="H246" s="1"/>
      <c r="I246" s="1"/>
      <c r="J246" s="1"/>
      <c r="K246" s="1"/>
      <c r="L246" s="1">
        <f t="shared" si="8"/>
        <v>2</v>
      </c>
      <c r="M246" s="1"/>
      <c r="N246" s="1">
        <v>2</v>
      </c>
      <c r="O246" s="1"/>
      <c r="Y246">
        <v>2</v>
      </c>
    </row>
    <row r="247" spans="1:25" x14ac:dyDescent="0.25">
      <c r="A247" s="8" t="s">
        <v>422</v>
      </c>
      <c r="B247" s="3" t="s">
        <v>234</v>
      </c>
      <c r="C247" s="8" t="s">
        <v>965</v>
      </c>
      <c r="D247" s="1"/>
      <c r="E247" s="1"/>
      <c r="F247" s="1"/>
      <c r="G247" s="1"/>
      <c r="H247" s="1"/>
      <c r="I247" s="1"/>
      <c r="J247" s="1"/>
      <c r="K247" s="1"/>
      <c r="L247" s="1">
        <f>Y247</f>
        <v>2</v>
      </c>
      <c r="M247" s="1"/>
      <c r="N247" s="1">
        <v>2</v>
      </c>
      <c r="O247" s="1"/>
      <c r="Y247">
        <v>2</v>
      </c>
    </row>
    <row r="248" spans="1:25" x14ac:dyDescent="0.25">
      <c r="A248" s="8" t="s">
        <v>422</v>
      </c>
      <c r="B248" s="3" t="s">
        <v>526</v>
      </c>
      <c r="C248" s="8"/>
      <c r="D248" s="1"/>
      <c r="E248" s="1"/>
      <c r="F248" s="1"/>
      <c r="G248" s="1"/>
      <c r="H248" s="1"/>
      <c r="I248" s="1"/>
      <c r="J248" s="1"/>
      <c r="K248" s="1"/>
      <c r="L248" s="1">
        <f t="shared" ref="L248:L252" si="9">Y248</f>
        <v>2</v>
      </c>
      <c r="M248" s="1"/>
      <c r="N248" s="1">
        <v>2</v>
      </c>
      <c r="O248" s="1"/>
      <c r="Y248">
        <v>2</v>
      </c>
    </row>
    <row r="249" spans="1:25" x14ac:dyDescent="0.25">
      <c r="A249" s="8" t="s">
        <v>422</v>
      </c>
      <c r="B249" s="3" t="s">
        <v>527</v>
      </c>
      <c r="C249" s="8"/>
      <c r="D249" s="1"/>
      <c r="E249" s="1"/>
      <c r="F249" s="1"/>
      <c r="G249" s="1"/>
      <c r="H249" s="1"/>
      <c r="I249" s="1"/>
      <c r="J249" s="1"/>
      <c r="K249" s="1"/>
      <c r="L249" s="1">
        <f t="shared" si="9"/>
        <v>2</v>
      </c>
      <c r="M249" s="1"/>
      <c r="N249" s="1">
        <v>2</v>
      </c>
      <c r="O249" s="1"/>
      <c r="Y249">
        <v>2</v>
      </c>
    </row>
    <row r="250" spans="1:25" x14ac:dyDescent="0.25">
      <c r="A250" s="8" t="s">
        <v>422</v>
      </c>
      <c r="B250" s="3" t="s">
        <v>528</v>
      </c>
      <c r="C250" s="8"/>
      <c r="D250" s="1"/>
      <c r="E250" s="1"/>
      <c r="F250" s="1"/>
      <c r="G250" s="1"/>
      <c r="H250" s="1"/>
      <c r="I250" s="1"/>
      <c r="J250" s="1"/>
      <c r="K250" s="1"/>
      <c r="L250" s="1">
        <f t="shared" si="9"/>
        <v>2</v>
      </c>
      <c r="M250" s="1"/>
      <c r="N250" s="1">
        <v>2</v>
      </c>
      <c r="O250" s="1"/>
      <c r="Y250">
        <v>2</v>
      </c>
    </row>
    <row r="251" spans="1:25" x14ac:dyDescent="0.25">
      <c r="A251" s="8" t="s">
        <v>422</v>
      </c>
      <c r="B251" s="9" t="s">
        <v>235</v>
      </c>
      <c r="C251" s="8" t="s">
        <v>493</v>
      </c>
      <c r="D251" s="1"/>
      <c r="E251" s="1"/>
      <c r="F251" s="1"/>
      <c r="G251" s="1"/>
      <c r="H251" s="1"/>
      <c r="I251" s="1"/>
      <c r="J251" s="1"/>
      <c r="K251" s="1"/>
      <c r="L251" s="1">
        <f t="shared" si="9"/>
        <v>1.5</v>
      </c>
      <c r="M251" s="1"/>
      <c r="N251" s="1">
        <v>2</v>
      </c>
      <c r="O251" s="1"/>
      <c r="Y251">
        <v>1.5</v>
      </c>
    </row>
    <row r="252" spans="1:25" x14ac:dyDescent="0.25">
      <c r="A252" s="8" t="s">
        <v>422</v>
      </c>
      <c r="B252" s="9" t="s">
        <v>236</v>
      </c>
      <c r="C252" s="8" t="s">
        <v>473</v>
      </c>
      <c r="D252" s="1"/>
      <c r="E252" s="1"/>
      <c r="F252" s="1"/>
      <c r="G252" s="1"/>
      <c r="H252" s="1"/>
      <c r="I252" s="1"/>
      <c r="J252" s="1"/>
      <c r="K252" s="1"/>
      <c r="L252" s="1">
        <f t="shared" si="9"/>
        <v>8</v>
      </c>
      <c r="M252" s="1"/>
      <c r="N252" s="1">
        <v>8</v>
      </c>
      <c r="O252" s="1"/>
      <c r="Y252">
        <v>8</v>
      </c>
    </row>
    <row r="253" spans="1:25" x14ac:dyDescent="0.25">
      <c r="A253" s="8" t="s">
        <v>422</v>
      </c>
      <c r="B253" s="9" t="s">
        <v>237</v>
      </c>
      <c r="C253" s="8" t="s">
        <v>474</v>
      </c>
      <c r="D253" s="1"/>
      <c r="E253" s="1"/>
      <c r="F253" s="1"/>
      <c r="G253" s="1"/>
      <c r="H253" s="1"/>
      <c r="I253" s="1"/>
      <c r="J253" s="1"/>
      <c r="K253" s="1"/>
      <c r="L253" s="1">
        <v>1.5</v>
      </c>
      <c r="M253" s="1"/>
      <c r="N253" s="1">
        <v>8</v>
      </c>
      <c r="O253" s="1">
        <v>15</v>
      </c>
    </row>
    <row r="254" spans="1:25" x14ac:dyDescent="0.25">
      <c r="A254" s="8" t="s">
        <v>798</v>
      </c>
      <c r="B254" s="5">
        <v>22193262</v>
      </c>
      <c r="C254" s="9" t="s">
        <v>803</v>
      </c>
      <c r="D254" s="1"/>
      <c r="E254" s="1"/>
      <c r="F254" s="1"/>
      <c r="G254" s="1"/>
      <c r="H254" s="1"/>
      <c r="I254" s="1"/>
      <c r="J254" s="1"/>
      <c r="K254" s="1"/>
      <c r="L254" s="1">
        <f>Y254</f>
        <v>25</v>
      </c>
      <c r="M254" s="1"/>
      <c r="N254" s="1">
        <v>15</v>
      </c>
      <c r="O254" s="1"/>
      <c r="Y254">
        <v>25</v>
      </c>
    </row>
    <row r="255" spans="1:25" x14ac:dyDescent="0.25">
      <c r="A255" s="8" t="s">
        <v>798</v>
      </c>
      <c r="B255" s="5">
        <v>23516731</v>
      </c>
      <c r="C255" s="8" t="s">
        <v>804</v>
      </c>
      <c r="D255" s="1"/>
      <c r="E255" s="1"/>
      <c r="F255" s="1"/>
      <c r="G255" s="1"/>
      <c r="H255" s="1"/>
      <c r="I255" s="1"/>
      <c r="J255" s="1"/>
      <c r="K255" s="1"/>
      <c r="L255" s="1">
        <f t="shared" ref="L255:L262" si="10">Y255</f>
        <v>22</v>
      </c>
      <c r="M255" s="1"/>
      <c r="N255" s="1">
        <v>22</v>
      </c>
      <c r="O255" s="1"/>
      <c r="Y255">
        <v>22</v>
      </c>
    </row>
    <row r="256" spans="1:25" x14ac:dyDescent="0.25">
      <c r="A256" s="8" t="s">
        <v>798</v>
      </c>
      <c r="B256" s="5">
        <v>3099140</v>
      </c>
      <c r="C256" s="8" t="s">
        <v>805</v>
      </c>
      <c r="D256" s="1"/>
      <c r="E256" s="1"/>
      <c r="F256" s="1"/>
      <c r="G256" s="1"/>
      <c r="H256" s="1"/>
      <c r="I256" s="1"/>
      <c r="J256" s="1"/>
      <c r="K256" s="1"/>
      <c r="L256" s="1">
        <f t="shared" si="10"/>
        <v>5</v>
      </c>
      <c r="M256" s="1"/>
      <c r="N256" s="1">
        <v>5</v>
      </c>
      <c r="O256" s="1"/>
      <c r="Y256">
        <v>5</v>
      </c>
    </row>
    <row r="257" spans="1:25" x14ac:dyDescent="0.25">
      <c r="A257" s="8" t="s">
        <v>798</v>
      </c>
      <c r="B257" s="5" t="s">
        <v>799</v>
      </c>
      <c r="C257" s="8" t="s">
        <v>802</v>
      </c>
      <c r="D257" s="1"/>
      <c r="E257" s="1"/>
      <c r="F257" s="1"/>
      <c r="G257" s="1"/>
      <c r="H257" s="1"/>
      <c r="I257" s="1"/>
      <c r="J257" s="1"/>
      <c r="K257" s="1"/>
      <c r="L257" s="1">
        <f t="shared" si="10"/>
        <v>20</v>
      </c>
      <c r="M257" s="1"/>
      <c r="N257" s="1">
        <v>20</v>
      </c>
      <c r="O257" s="1"/>
      <c r="Y257">
        <v>20</v>
      </c>
    </row>
    <row r="258" spans="1:25" x14ac:dyDescent="0.25">
      <c r="A258" s="8" t="s">
        <v>798</v>
      </c>
      <c r="B258" s="5">
        <v>482003</v>
      </c>
      <c r="C258" s="8" t="s">
        <v>806</v>
      </c>
      <c r="D258" s="1"/>
      <c r="E258" s="1"/>
      <c r="F258" s="1"/>
      <c r="G258" s="1"/>
      <c r="H258" s="1"/>
      <c r="I258" s="1"/>
      <c r="J258" s="1"/>
      <c r="K258" s="1"/>
      <c r="L258" s="1">
        <f t="shared" si="10"/>
        <v>22</v>
      </c>
      <c r="M258" s="1"/>
      <c r="N258" s="1">
        <v>22</v>
      </c>
      <c r="O258" s="1"/>
      <c r="Y258">
        <v>22</v>
      </c>
    </row>
    <row r="259" spans="1:25" x14ac:dyDescent="0.25">
      <c r="A259" s="8" t="s">
        <v>798</v>
      </c>
      <c r="B259" s="5">
        <v>482044</v>
      </c>
      <c r="C259" s="8" t="s">
        <v>807</v>
      </c>
      <c r="D259" s="1"/>
      <c r="E259" s="1"/>
      <c r="F259" s="1"/>
      <c r="G259" s="1"/>
      <c r="H259" s="1"/>
      <c r="I259" s="1"/>
      <c r="J259" s="1"/>
      <c r="K259" s="1"/>
      <c r="L259" s="1">
        <f t="shared" si="10"/>
        <v>30</v>
      </c>
      <c r="M259" s="1"/>
      <c r="N259" s="1">
        <v>30</v>
      </c>
      <c r="O259" s="1"/>
      <c r="Y259">
        <v>30</v>
      </c>
    </row>
    <row r="260" spans="1:25" x14ac:dyDescent="0.25">
      <c r="A260" s="8" t="s">
        <v>798</v>
      </c>
      <c r="B260" s="5">
        <v>1117798</v>
      </c>
      <c r="C260" s="8" t="s">
        <v>808</v>
      </c>
      <c r="D260" s="1"/>
      <c r="E260" s="1"/>
      <c r="F260" s="1"/>
      <c r="G260" s="1"/>
      <c r="H260" s="1"/>
      <c r="I260" s="1"/>
      <c r="J260" s="1"/>
      <c r="K260" s="1"/>
      <c r="L260" s="1">
        <f t="shared" si="10"/>
        <v>16</v>
      </c>
      <c r="M260" s="1"/>
      <c r="N260" s="1">
        <v>16</v>
      </c>
      <c r="O260" s="1">
        <v>40</v>
      </c>
      <c r="Y260">
        <v>16</v>
      </c>
    </row>
    <row r="261" spans="1:25" x14ac:dyDescent="0.25">
      <c r="A261" s="8" t="s">
        <v>798</v>
      </c>
      <c r="B261" s="5" t="s">
        <v>800</v>
      </c>
      <c r="C261" s="8" t="s">
        <v>809</v>
      </c>
      <c r="D261" s="1"/>
      <c r="E261" s="1"/>
      <c r="F261" s="1"/>
      <c r="G261" s="1"/>
      <c r="H261" s="1"/>
      <c r="I261" s="1"/>
      <c r="J261" s="1"/>
      <c r="K261" s="1"/>
      <c r="L261" s="1">
        <f t="shared" si="10"/>
        <v>15</v>
      </c>
      <c r="M261" s="1"/>
      <c r="N261" s="1">
        <v>15</v>
      </c>
      <c r="O261" s="1"/>
      <c r="Y261">
        <v>15</v>
      </c>
    </row>
    <row r="262" spans="1:25" x14ac:dyDescent="0.25">
      <c r="A262" s="8" t="s">
        <v>798</v>
      </c>
      <c r="B262" s="5" t="s">
        <v>801</v>
      </c>
      <c r="C262" s="8" t="s">
        <v>810</v>
      </c>
      <c r="D262" s="1"/>
      <c r="E262" s="1"/>
      <c r="F262" s="1"/>
      <c r="G262" s="1"/>
      <c r="H262" s="1"/>
      <c r="I262" s="1"/>
      <c r="J262" s="1"/>
      <c r="K262" s="1"/>
      <c r="L262" s="1">
        <f t="shared" si="10"/>
        <v>10</v>
      </c>
      <c r="M262" s="1"/>
      <c r="N262" s="1">
        <v>10</v>
      </c>
      <c r="O262" s="1">
        <v>0</v>
      </c>
      <c r="Y262">
        <v>10</v>
      </c>
    </row>
    <row r="263" spans="1:25" x14ac:dyDescent="0.25">
      <c r="A263" s="8" t="s">
        <v>811</v>
      </c>
      <c r="B263" s="5" t="s">
        <v>812</v>
      </c>
      <c r="C263" s="8" t="s">
        <v>180</v>
      </c>
      <c r="D263" s="1"/>
      <c r="E263" s="1"/>
      <c r="F263" s="1"/>
      <c r="G263" s="1">
        <v>20</v>
      </c>
      <c r="H263" s="1"/>
      <c r="I263" s="1"/>
      <c r="J263" s="1"/>
      <c r="K263" s="1"/>
      <c r="L263" s="1"/>
      <c r="M263" s="1"/>
      <c r="N263" s="1">
        <v>8</v>
      </c>
      <c r="O263" s="1">
        <v>10</v>
      </c>
      <c r="P263">
        <v>-5</v>
      </c>
    </row>
    <row r="264" spans="1:25" x14ac:dyDescent="0.25">
      <c r="A264" s="8" t="s">
        <v>811</v>
      </c>
      <c r="B264" s="5" t="s">
        <v>813</v>
      </c>
      <c r="C264" s="8" t="s">
        <v>180</v>
      </c>
      <c r="D264" s="1"/>
      <c r="E264" s="1"/>
      <c r="F264" s="1"/>
      <c r="G264" s="1">
        <v>20</v>
      </c>
      <c r="H264" s="1"/>
      <c r="I264" s="1"/>
      <c r="J264" s="1"/>
      <c r="K264" s="1"/>
      <c r="L264" s="1"/>
      <c r="M264" s="1"/>
      <c r="N264" s="1">
        <v>7</v>
      </c>
      <c r="O264" s="1">
        <v>10</v>
      </c>
      <c r="P264">
        <v>-5</v>
      </c>
    </row>
    <row r="265" spans="1:25" x14ac:dyDescent="0.25">
      <c r="A265" s="8" t="s">
        <v>811</v>
      </c>
      <c r="B265" s="5" t="s">
        <v>814</v>
      </c>
      <c r="C265" s="8" t="s">
        <v>180</v>
      </c>
      <c r="D265" s="1"/>
      <c r="E265" s="1"/>
      <c r="F265" s="1"/>
      <c r="G265" s="1">
        <v>20</v>
      </c>
      <c r="H265" s="1"/>
      <c r="I265" s="1"/>
      <c r="J265" s="1"/>
      <c r="K265" s="1"/>
      <c r="L265" s="1"/>
      <c r="M265" s="1"/>
      <c r="N265" s="1">
        <v>8</v>
      </c>
      <c r="O265" s="1">
        <v>10</v>
      </c>
      <c r="P265">
        <v>-5</v>
      </c>
    </row>
    <row r="266" spans="1:25" x14ac:dyDescent="0.25">
      <c r="A266" s="8" t="s">
        <v>811</v>
      </c>
      <c r="B266" s="5" t="s">
        <v>815</v>
      </c>
      <c r="C266" s="8" t="s">
        <v>178</v>
      </c>
      <c r="D266" s="1"/>
      <c r="E266" s="1"/>
      <c r="F266" s="1"/>
      <c r="G266" s="1">
        <v>10</v>
      </c>
      <c r="H266" s="1"/>
      <c r="I266" s="1"/>
      <c r="J266" s="1"/>
      <c r="K266" s="1"/>
      <c r="L266" s="1"/>
      <c r="M266" s="1"/>
      <c r="N266" s="1">
        <v>8</v>
      </c>
      <c r="O266" s="1">
        <v>15</v>
      </c>
      <c r="P266">
        <v>-5</v>
      </c>
    </row>
    <row r="267" spans="1:25" x14ac:dyDescent="0.25">
      <c r="A267" s="8" t="s">
        <v>811</v>
      </c>
      <c r="B267" s="5" t="s">
        <v>816</v>
      </c>
      <c r="C267" s="8" t="s">
        <v>180</v>
      </c>
      <c r="D267" s="1"/>
      <c r="E267" s="1"/>
      <c r="F267" s="1"/>
      <c r="G267" s="1">
        <v>20</v>
      </c>
      <c r="H267" s="1"/>
      <c r="I267" s="1"/>
      <c r="J267" s="1"/>
      <c r="K267" s="1"/>
      <c r="L267" s="1"/>
      <c r="M267" s="1"/>
      <c r="N267" s="1">
        <v>8</v>
      </c>
      <c r="O267" s="1">
        <v>10</v>
      </c>
      <c r="P267">
        <v>-5</v>
      </c>
    </row>
    <row r="268" spans="1:25" x14ac:dyDescent="0.25">
      <c r="A268" s="8" t="s">
        <v>811</v>
      </c>
      <c r="B268" s="5" t="s">
        <v>817</v>
      </c>
      <c r="C268" s="8" t="s">
        <v>179</v>
      </c>
      <c r="D268" s="1"/>
      <c r="E268" s="1"/>
      <c r="F268" s="1"/>
      <c r="G268" s="1">
        <f>S268</f>
        <v>15</v>
      </c>
      <c r="H268" s="1"/>
      <c r="I268" s="1"/>
      <c r="J268" s="1"/>
      <c r="K268" s="1"/>
      <c r="L268" s="1"/>
      <c r="M268" s="1"/>
      <c r="N268" s="1">
        <v>13</v>
      </c>
      <c r="O268" s="1">
        <v>15</v>
      </c>
      <c r="S268">
        <v>15</v>
      </c>
    </row>
    <row r="269" spans="1:25" x14ac:dyDescent="0.25">
      <c r="A269" s="8" t="s">
        <v>811</v>
      </c>
      <c r="B269" s="5" t="s">
        <v>818</v>
      </c>
      <c r="C269" s="8" t="s">
        <v>180</v>
      </c>
      <c r="D269" s="1"/>
      <c r="E269" s="1"/>
      <c r="F269" s="1"/>
      <c r="G269" s="1">
        <v>20</v>
      </c>
      <c r="H269" s="1"/>
      <c r="I269" s="1"/>
      <c r="J269" s="1"/>
      <c r="K269" s="1"/>
      <c r="L269" s="1"/>
      <c r="M269" s="1"/>
      <c r="N269" s="1">
        <v>11</v>
      </c>
      <c r="O269" s="1">
        <v>15</v>
      </c>
      <c r="P269">
        <v>-10</v>
      </c>
    </row>
    <row r="270" spans="1:25" x14ac:dyDescent="0.25">
      <c r="A270" s="8" t="s">
        <v>811</v>
      </c>
      <c r="B270" s="5" t="s">
        <v>1160</v>
      </c>
      <c r="C270" s="8" t="s">
        <v>178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25" x14ac:dyDescent="0.25">
      <c r="A271" s="8" t="s">
        <v>811</v>
      </c>
      <c r="B271" s="5" t="s">
        <v>819</v>
      </c>
      <c r="C271" s="8" t="s">
        <v>179</v>
      </c>
      <c r="D271" s="1"/>
      <c r="E271" s="1"/>
      <c r="F271" s="1"/>
      <c r="G271" s="1">
        <f>S271</f>
        <v>4</v>
      </c>
      <c r="H271" s="1"/>
      <c r="I271" s="1"/>
      <c r="J271" s="1"/>
      <c r="K271" s="1"/>
      <c r="L271" s="1"/>
      <c r="M271" s="1"/>
      <c r="N271" s="1">
        <v>8</v>
      </c>
      <c r="O271" s="1">
        <v>10</v>
      </c>
      <c r="S271">
        <v>4</v>
      </c>
    </row>
    <row r="272" spans="1:25" x14ac:dyDescent="0.25">
      <c r="A272" s="8" t="s">
        <v>811</v>
      </c>
      <c r="B272" s="5" t="s">
        <v>1159</v>
      </c>
      <c r="C272" s="8" t="s">
        <v>180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27" x14ac:dyDescent="0.25">
      <c r="A273" s="8" t="s">
        <v>811</v>
      </c>
      <c r="B273" s="5" t="s">
        <v>1230</v>
      </c>
      <c r="C273" s="8" t="s">
        <v>178</v>
      </c>
      <c r="D273" s="1"/>
      <c r="E273" s="1">
        <f>R273</f>
        <v>-11</v>
      </c>
      <c r="F273" s="1"/>
      <c r="G273" s="1"/>
      <c r="H273" s="1"/>
      <c r="I273" s="1"/>
      <c r="J273" s="1"/>
      <c r="K273" s="1"/>
      <c r="L273" s="1"/>
      <c r="M273" s="1"/>
      <c r="N273" s="1">
        <v>12</v>
      </c>
      <c r="O273" s="1">
        <v>37</v>
      </c>
      <c r="R273">
        <v>-11</v>
      </c>
      <c r="AA273" t="s">
        <v>1231</v>
      </c>
    </row>
    <row r="274" spans="1:27" x14ac:dyDescent="0.25">
      <c r="A274" s="8" t="s">
        <v>811</v>
      </c>
      <c r="B274" s="5" t="s">
        <v>966</v>
      </c>
      <c r="C274" s="8" t="s">
        <v>178</v>
      </c>
      <c r="D274" s="1"/>
      <c r="E274" s="1"/>
      <c r="F274" s="1"/>
      <c r="G274" s="1">
        <v>20</v>
      </c>
      <c r="H274" s="1"/>
      <c r="I274" s="1"/>
      <c r="J274" s="1"/>
      <c r="K274" s="1"/>
      <c r="L274" s="1"/>
      <c r="M274" s="1"/>
      <c r="N274" s="1">
        <v>18</v>
      </c>
      <c r="O274" s="1">
        <v>10</v>
      </c>
      <c r="P274">
        <v>-15</v>
      </c>
    </row>
    <row r="275" spans="1:27" x14ac:dyDescent="0.25">
      <c r="A275" s="8" t="s">
        <v>811</v>
      </c>
      <c r="B275" s="5" t="s">
        <v>825</v>
      </c>
      <c r="C275" s="8" t="s">
        <v>180</v>
      </c>
      <c r="D275" s="1"/>
      <c r="E275" s="1"/>
      <c r="F275" s="1"/>
      <c r="G275" s="1">
        <v>20</v>
      </c>
      <c r="H275" s="1"/>
      <c r="I275" s="1"/>
      <c r="J275" s="1"/>
      <c r="K275" s="1"/>
      <c r="L275" s="1"/>
      <c r="M275" s="1"/>
      <c r="N275" s="1">
        <v>11</v>
      </c>
      <c r="O275" s="1">
        <v>10</v>
      </c>
      <c r="P275">
        <v>-20</v>
      </c>
    </row>
    <row r="276" spans="1:27" x14ac:dyDescent="0.25">
      <c r="A276" s="8" t="s">
        <v>811</v>
      </c>
      <c r="B276" s="5" t="s">
        <v>820</v>
      </c>
      <c r="C276" s="8" t="s">
        <v>178</v>
      </c>
      <c r="D276" s="1"/>
      <c r="E276" s="1"/>
      <c r="F276" s="1"/>
      <c r="G276" s="1">
        <v>10</v>
      </c>
      <c r="H276" s="1"/>
      <c r="I276" s="1"/>
      <c r="J276" s="1"/>
      <c r="K276" s="1"/>
      <c r="L276" s="1"/>
      <c r="M276" s="1"/>
      <c r="N276" s="1">
        <v>8</v>
      </c>
      <c r="O276" s="1">
        <v>15</v>
      </c>
      <c r="P276">
        <v>-5</v>
      </c>
    </row>
    <row r="277" spans="1:27" x14ac:dyDescent="0.25">
      <c r="A277" s="8" t="s">
        <v>811</v>
      </c>
      <c r="B277" s="5" t="s">
        <v>821</v>
      </c>
      <c r="C277" s="8" t="s">
        <v>179</v>
      </c>
      <c r="D277" s="1"/>
      <c r="E277" s="1"/>
      <c r="F277" s="1"/>
      <c r="G277" s="1">
        <f>S277</f>
        <v>15</v>
      </c>
      <c r="H277" s="1"/>
      <c r="I277" s="1"/>
      <c r="J277" s="1"/>
      <c r="K277" s="1"/>
      <c r="L277" s="1"/>
      <c r="M277" s="1"/>
      <c r="N277" s="1">
        <v>10</v>
      </c>
      <c r="O277" s="1">
        <v>15</v>
      </c>
      <c r="S277">
        <v>15</v>
      </c>
    </row>
    <row r="278" spans="1:27" x14ac:dyDescent="0.25">
      <c r="A278" s="8" t="s">
        <v>811</v>
      </c>
      <c r="B278" s="5" t="s">
        <v>822</v>
      </c>
      <c r="C278" s="8" t="s">
        <v>179</v>
      </c>
      <c r="D278" s="1"/>
      <c r="E278" s="1"/>
      <c r="F278" s="1"/>
      <c r="G278" s="1">
        <f>S278</f>
        <v>10</v>
      </c>
      <c r="H278" s="1"/>
      <c r="I278" s="1"/>
      <c r="J278" s="1"/>
      <c r="K278" s="1"/>
      <c r="L278" s="1"/>
      <c r="M278" s="1"/>
      <c r="N278" s="1">
        <v>9</v>
      </c>
      <c r="O278" s="1">
        <v>15</v>
      </c>
      <c r="S278">
        <v>10</v>
      </c>
    </row>
    <row r="279" spans="1:27" x14ac:dyDescent="0.25">
      <c r="A279" s="8" t="s">
        <v>811</v>
      </c>
      <c r="B279" s="5" t="s">
        <v>823</v>
      </c>
      <c r="C279" s="8" t="s">
        <v>180</v>
      </c>
      <c r="D279" s="1"/>
      <c r="E279" s="1"/>
      <c r="F279" s="1"/>
      <c r="G279" s="1">
        <v>20</v>
      </c>
      <c r="H279" s="1"/>
      <c r="I279" s="1"/>
      <c r="J279" s="1"/>
      <c r="K279" s="1"/>
      <c r="L279" s="1"/>
      <c r="M279" s="1"/>
      <c r="N279" s="1">
        <v>7</v>
      </c>
      <c r="O279" s="1">
        <v>10</v>
      </c>
      <c r="P279">
        <v>-5</v>
      </c>
    </row>
    <row r="280" spans="1:27" x14ac:dyDescent="0.25">
      <c r="A280" s="8" t="s">
        <v>811</v>
      </c>
      <c r="B280" s="5" t="s">
        <v>824</v>
      </c>
      <c r="C280" s="8" t="s">
        <v>178</v>
      </c>
      <c r="D280" s="1"/>
      <c r="E280" s="1"/>
      <c r="F280" s="1"/>
      <c r="G280" s="1">
        <f>S280</f>
        <v>-12</v>
      </c>
      <c r="H280" s="1"/>
      <c r="I280" s="1"/>
      <c r="J280" s="1"/>
      <c r="K280" s="1"/>
      <c r="L280" s="1"/>
      <c r="M280" s="1"/>
      <c r="N280" s="1">
        <v>11</v>
      </c>
      <c r="O280" s="1">
        <v>37</v>
      </c>
      <c r="P280">
        <v>-10</v>
      </c>
      <c r="S280">
        <v>-12</v>
      </c>
    </row>
    <row r="281" spans="1:27" x14ac:dyDescent="0.25">
      <c r="A281" s="8" t="s">
        <v>811</v>
      </c>
      <c r="B281" s="5" t="s">
        <v>1158</v>
      </c>
      <c r="C281" s="8" t="s">
        <v>180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27" x14ac:dyDescent="0.25">
      <c r="A282" s="8" t="s">
        <v>826</v>
      </c>
      <c r="B282" s="5" t="s">
        <v>827</v>
      </c>
      <c r="C282" s="8" t="s">
        <v>836</v>
      </c>
      <c r="D282" s="1"/>
      <c r="E282" s="1"/>
      <c r="F282" s="1"/>
      <c r="G282" s="1">
        <f>Y282</f>
        <v>50</v>
      </c>
      <c r="H282" s="1"/>
      <c r="I282" s="1"/>
      <c r="J282" s="1"/>
      <c r="K282" s="1"/>
      <c r="L282" s="1"/>
      <c r="M282" s="1"/>
      <c r="N282" s="1">
        <v>20</v>
      </c>
      <c r="O282" s="1"/>
      <c r="Y282">
        <v>50</v>
      </c>
    </row>
    <row r="283" spans="1:27" x14ac:dyDescent="0.25">
      <c r="A283" s="8" t="s">
        <v>826</v>
      </c>
      <c r="B283" s="5">
        <v>1677527</v>
      </c>
      <c r="C283" s="8" t="s">
        <v>837</v>
      </c>
      <c r="D283" s="1"/>
      <c r="E283" s="1"/>
      <c r="F283" s="1"/>
      <c r="G283" s="1">
        <f t="shared" ref="G283:G293" si="11">Y283</f>
        <v>50</v>
      </c>
      <c r="H283" s="1"/>
      <c r="I283" s="1"/>
      <c r="J283" s="1"/>
      <c r="K283" s="1"/>
      <c r="L283" s="1"/>
      <c r="M283" s="1"/>
      <c r="N283" s="1">
        <v>20</v>
      </c>
      <c r="O283" s="1"/>
      <c r="Y283">
        <v>50</v>
      </c>
    </row>
    <row r="284" spans="1:27" x14ac:dyDescent="0.25">
      <c r="A284" s="8" t="s">
        <v>826</v>
      </c>
      <c r="B284" s="5" t="s">
        <v>828</v>
      </c>
      <c r="C284" s="8" t="s">
        <v>838</v>
      </c>
      <c r="D284" s="1"/>
      <c r="E284" s="1"/>
      <c r="F284" s="1"/>
      <c r="G284" s="1">
        <f t="shared" si="11"/>
        <v>50</v>
      </c>
      <c r="H284" s="1"/>
      <c r="I284" s="1"/>
      <c r="J284" s="1"/>
      <c r="K284" s="1"/>
      <c r="L284" s="1"/>
      <c r="M284" s="1"/>
      <c r="N284" s="1">
        <v>20</v>
      </c>
      <c r="O284" s="1"/>
      <c r="Y284">
        <v>50</v>
      </c>
    </row>
    <row r="285" spans="1:27" x14ac:dyDescent="0.25">
      <c r="A285" s="8" t="s">
        <v>826</v>
      </c>
      <c r="B285" s="5">
        <v>23533673</v>
      </c>
      <c r="C285" s="8" t="s">
        <v>839</v>
      </c>
      <c r="D285" s="1"/>
      <c r="E285" s="1"/>
      <c r="F285" s="1"/>
      <c r="G285" s="1">
        <f t="shared" si="11"/>
        <v>50</v>
      </c>
      <c r="H285" s="1"/>
      <c r="I285" s="1"/>
      <c r="J285" s="1"/>
      <c r="K285" s="1"/>
      <c r="L285" s="1"/>
      <c r="M285" s="1"/>
      <c r="N285" s="1">
        <v>20</v>
      </c>
      <c r="O285" s="1"/>
      <c r="Y285">
        <v>50</v>
      </c>
    </row>
    <row r="286" spans="1:27" x14ac:dyDescent="0.25">
      <c r="A286" s="8" t="s">
        <v>826</v>
      </c>
      <c r="B286" s="5">
        <v>23539158</v>
      </c>
      <c r="C286" s="8" t="s">
        <v>839</v>
      </c>
      <c r="D286" s="1"/>
      <c r="E286" s="1"/>
      <c r="F286" s="1"/>
      <c r="G286" s="1">
        <f t="shared" si="11"/>
        <v>50</v>
      </c>
      <c r="H286" s="1"/>
      <c r="I286" s="1"/>
      <c r="J286" s="1"/>
      <c r="K286" s="1"/>
      <c r="L286" s="1"/>
      <c r="M286" s="1"/>
      <c r="N286" s="1">
        <v>20</v>
      </c>
      <c r="O286" s="1"/>
      <c r="Y286">
        <v>50</v>
      </c>
    </row>
    <row r="287" spans="1:27" x14ac:dyDescent="0.25">
      <c r="A287" s="8" t="s">
        <v>826</v>
      </c>
      <c r="B287" s="5" t="s">
        <v>829</v>
      </c>
      <c r="C287" s="8" t="s">
        <v>840</v>
      </c>
      <c r="D287" s="1"/>
      <c r="E287" s="1"/>
      <c r="F287" s="1"/>
      <c r="G287" s="1">
        <f t="shared" si="11"/>
        <v>50</v>
      </c>
      <c r="H287" s="1"/>
      <c r="I287" s="1"/>
      <c r="J287" s="1"/>
      <c r="K287" s="1"/>
      <c r="L287" s="1"/>
      <c r="M287" s="1"/>
      <c r="N287" s="1">
        <v>20</v>
      </c>
      <c r="O287" s="1"/>
      <c r="Y287">
        <v>50</v>
      </c>
    </row>
    <row r="288" spans="1:27" x14ac:dyDescent="0.25">
      <c r="A288" s="8" t="s">
        <v>826</v>
      </c>
      <c r="B288" s="5" t="s">
        <v>830</v>
      </c>
      <c r="C288" s="8" t="s">
        <v>839</v>
      </c>
      <c r="D288" s="1"/>
      <c r="E288" s="1"/>
      <c r="F288" s="1"/>
      <c r="G288" s="1">
        <f t="shared" si="11"/>
        <v>50</v>
      </c>
      <c r="H288" s="1"/>
      <c r="I288" s="1"/>
      <c r="J288" s="1"/>
      <c r="K288" s="1"/>
      <c r="L288" s="1"/>
      <c r="M288" s="1"/>
      <c r="N288" s="1">
        <v>20</v>
      </c>
      <c r="O288" s="1"/>
      <c r="Y288">
        <v>50</v>
      </c>
    </row>
    <row r="289" spans="1:25" x14ac:dyDescent="0.25">
      <c r="A289" s="8" t="s">
        <v>826</v>
      </c>
      <c r="B289" s="5" t="s">
        <v>831</v>
      </c>
      <c r="C289" s="8" t="s">
        <v>841</v>
      </c>
      <c r="D289" s="1"/>
      <c r="E289" s="1"/>
      <c r="F289" s="1"/>
      <c r="G289" s="1">
        <f t="shared" si="11"/>
        <v>50</v>
      </c>
      <c r="H289" s="1"/>
      <c r="I289" s="1"/>
      <c r="J289" s="1"/>
      <c r="K289" s="1"/>
      <c r="L289" s="1"/>
      <c r="M289" s="1"/>
      <c r="N289" s="1">
        <v>20</v>
      </c>
      <c r="O289" s="1"/>
      <c r="Y289">
        <v>50</v>
      </c>
    </row>
    <row r="290" spans="1:25" x14ac:dyDescent="0.25">
      <c r="A290" s="8" t="s">
        <v>826</v>
      </c>
      <c r="B290" s="5" t="s">
        <v>832</v>
      </c>
      <c r="C290" s="8" t="s">
        <v>843</v>
      </c>
      <c r="D290" s="1"/>
      <c r="E290" s="1"/>
      <c r="F290" s="1"/>
      <c r="G290" s="1">
        <f t="shared" si="11"/>
        <v>40</v>
      </c>
      <c r="H290" s="1"/>
      <c r="I290" s="1"/>
      <c r="J290" s="1"/>
      <c r="K290" s="1"/>
      <c r="L290" s="1"/>
      <c r="M290" s="1"/>
      <c r="N290" s="1">
        <v>20</v>
      </c>
      <c r="O290" s="1"/>
      <c r="Y290">
        <v>40</v>
      </c>
    </row>
    <row r="291" spans="1:25" x14ac:dyDescent="0.25">
      <c r="A291" s="8" t="s">
        <v>826</v>
      </c>
      <c r="B291" s="5" t="s">
        <v>833</v>
      </c>
      <c r="C291" s="8" t="s">
        <v>841</v>
      </c>
      <c r="D291" s="1"/>
      <c r="E291" s="1"/>
      <c r="F291" s="1"/>
      <c r="G291" s="1">
        <f t="shared" si="11"/>
        <v>50</v>
      </c>
      <c r="H291" s="1"/>
      <c r="I291" s="1"/>
      <c r="J291" s="1"/>
      <c r="K291" s="1"/>
      <c r="L291" s="1"/>
      <c r="M291" s="1"/>
      <c r="N291" s="1">
        <v>20</v>
      </c>
      <c r="O291" s="1"/>
      <c r="Y291">
        <v>50</v>
      </c>
    </row>
    <row r="292" spans="1:25" x14ac:dyDescent="0.25">
      <c r="A292" s="8" t="s">
        <v>826</v>
      </c>
      <c r="B292" s="5" t="s">
        <v>834</v>
      </c>
      <c r="C292" s="8" t="s">
        <v>841</v>
      </c>
      <c r="D292" s="1"/>
      <c r="E292" s="1"/>
      <c r="F292" s="1"/>
      <c r="G292" s="1">
        <f t="shared" si="11"/>
        <v>50</v>
      </c>
      <c r="H292" s="1"/>
      <c r="I292" s="1"/>
      <c r="J292" s="1"/>
      <c r="K292" s="1"/>
      <c r="L292" s="1"/>
      <c r="M292" s="1"/>
      <c r="N292" s="1">
        <v>20</v>
      </c>
      <c r="O292" s="1"/>
      <c r="Y292">
        <v>50</v>
      </c>
    </row>
    <row r="293" spans="1:25" x14ac:dyDescent="0.25">
      <c r="A293" s="8" t="s">
        <v>826</v>
      </c>
      <c r="B293" s="5" t="s">
        <v>835</v>
      </c>
      <c r="C293" s="8" t="s">
        <v>842</v>
      </c>
      <c r="D293" s="1"/>
      <c r="E293" s="1"/>
      <c r="F293" s="1"/>
      <c r="G293" s="1">
        <f t="shared" si="11"/>
        <v>50</v>
      </c>
      <c r="H293" s="1"/>
      <c r="I293" s="1"/>
      <c r="J293" s="1"/>
      <c r="K293" s="1"/>
      <c r="L293" s="1"/>
      <c r="M293" s="1"/>
      <c r="N293" s="1">
        <v>20</v>
      </c>
      <c r="O293" s="1"/>
      <c r="Y293">
        <v>50</v>
      </c>
    </row>
    <row r="294" spans="1:25" x14ac:dyDescent="0.25">
      <c r="A294" s="8" t="s">
        <v>173</v>
      </c>
      <c r="B294" s="9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25" x14ac:dyDescent="0.25">
      <c r="A295" s="8" t="s">
        <v>173</v>
      </c>
      <c r="B295" s="9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25" x14ac:dyDescent="0.25">
      <c r="A296" s="8" t="s">
        <v>173</v>
      </c>
      <c r="B296" s="9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25" x14ac:dyDescent="0.25">
      <c r="A297" s="8" t="s">
        <v>173</v>
      </c>
      <c r="B297" s="9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25" x14ac:dyDescent="0.25">
      <c r="A298" s="8" t="s">
        <v>173</v>
      </c>
      <c r="B298" s="325">
        <v>3683919</v>
      </c>
      <c r="C298" s="8" t="s">
        <v>1066</v>
      </c>
      <c r="D298" s="1"/>
      <c r="E298" s="1"/>
      <c r="F298" s="1"/>
      <c r="G298" s="1"/>
      <c r="H298" s="1"/>
      <c r="I298" s="1"/>
      <c r="J298" s="1"/>
      <c r="K298" s="1"/>
      <c r="L298" s="1">
        <f>Y298</f>
        <v>5</v>
      </c>
      <c r="M298" s="1"/>
      <c r="N298" s="1">
        <v>5</v>
      </c>
      <c r="O298" s="1"/>
      <c r="Y298">
        <v>5</v>
      </c>
    </row>
    <row r="299" spans="1:25" x14ac:dyDescent="0.25">
      <c r="A299" s="8" t="s">
        <v>173</v>
      </c>
      <c r="B299" s="325" t="s">
        <v>1216</v>
      </c>
      <c r="C299" s="8" t="s">
        <v>1275</v>
      </c>
      <c r="D299" s="1"/>
      <c r="E299" s="1"/>
      <c r="F299" s="1"/>
      <c r="G299" s="1"/>
      <c r="H299" s="1"/>
      <c r="I299" s="1">
        <f>V299</f>
        <v>15</v>
      </c>
      <c r="J299" s="1"/>
      <c r="K299" s="1"/>
      <c r="L299" s="1"/>
      <c r="M299" s="1"/>
      <c r="N299" s="1">
        <v>15</v>
      </c>
      <c r="O299" s="1">
        <v>15</v>
      </c>
      <c r="V299">
        <v>15</v>
      </c>
    </row>
    <row r="300" spans="1:25" x14ac:dyDescent="0.25">
      <c r="A300" s="8" t="s">
        <v>173</v>
      </c>
      <c r="B300" s="8" t="s">
        <v>0</v>
      </c>
      <c r="C300" s="8" t="s">
        <v>176</v>
      </c>
      <c r="D300" s="1">
        <f>Q300</f>
        <v>15</v>
      </c>
      <c r="E300" s="1"/>
      <c r="F300" s="1"/>
      <c r="G300" s="1"/>
      <c r="H300" s="1"/>
      <c r="I300" s="1"/>
      <c r="J300" s="1"/>
      <c r="K300" s="1"/>
      <c r="L300" s="1"/>
      <c r="M300" s="1"/>
      <c r="N300" s="1">
        <v>10</v>
      </c>
      <c r="O300" s="1">
        <v>15</v>
      </c>
      <c r="Q300">
        <v>15</v>
      </c>
    </row>
    <row r="301" spans="1:25" x14ac:dyDescent="0.25">
      <c r="A301" s="8" t="s">
        <v>173</v>
      </c>
      <c r="B301" s="8" t="s">
        <v>1</v>
      </c>
      <c r="C301" s="8" t="s">
        <v>176</v>
      </c>
      <c r="D301" s="1">
        <f t="shared" ref="D301:D306" si="12">Q301</f>
        <v>15</v>
      </c>
      <c r="E301" s="1"/>
      <c r="F301" s="1"/>
      <c r="G301" s="1"/>
      <c r="H301" s="1"/>
      <c r="I301" s="1"/>
      <c r="J301" s="1"/>
      <c r="K301" s="1"/>
      <c r="L301" s="1"/>
      <c r="M301" s="1"/>
      <c r="N301" s="1">
        <v>10</v>
      </c>
      <c r="O301" s="1">
        <v>15</v>
      </c>
      <c r="Q301">
        <v>15</v>
      </c>
    </row>
    <row r="302" spans="1:25" x14ac:dyDescent="0.25">
      <c r="A302" s="8" t="s">
        <v>173</v>
      </c>
      <c r="B302" s="8" t="s">
        <v>2</v>
      </c>
      <c r="C302" s="8" t="s">
        <v>176</v>
      </c>
      <c r="D302" s="1">
        <f t="shared" si="12"/>
        <v>15</v>
      </c>
      <c r="E302" s="1"/>
      <c r="F302" s="1"/>
      <c r="G302" s="1"/>
      <c r="H302" s="1"/>
      <c r="I302" s="1"/>
      <c r="J302" s="1"/>
      <c r="K302" s="1"/>
      <c r="L302" s="1"/>
      <c r="M302" s="1"/>
      <c r="N302" s="1">
        <v>12</v>
      </c>
      <c r="O302" s="1">
        <v>15</v>
      </c>
      <c r="Q302">
        <v>15</v>
      </c>
    </row>
    <row r="303" spans="1:25" x14ac:dyDescent="0.25">
      <c r="A303" s="8" t="s">
        <v>173</v>
      </c>
      <c r="B303" s="8" t="s">
        <v>3</v>
      </c>
      <c r="C303" s="8" t="s">
        <v>176</v>
      </c>
      <c r="D303" s="1">
        <f t="shared" si="12"/>
        <v>15</v>
      </c>
      <c r="E303" s="1"/>
      <c r="F303" s="1"/>
      <c r="G303" s="1"/>
      <c r="H303" s="1"/>
      <c r="I303" s="1"/>
      <c r="J303" s="1"/>
      <c r="K303" s="1"/>
      <c r="L303" s="1"/>
      <c r="M303" s="1"/>
      <c r="N303" s="1">
        <v>11</v>
      </c>
      <c r="O303" s="1">
        <v>15</v>
      </c>
      <c r="Q303">
        <v>15</v>
      </c>
    </row>
    <row r="304" spans="1:25" x14ac:dyDescent="0.25">
      <c r="A304" s="8" t="s">
        <v>173</v>
      </c>
      <c r="B304" s="8" t="s">
        <v>4</v>
      </c>
      <c r="C304" s="8" t="s">
        <v>176</v>
      </c>
      <c r="D304" s="1">
        <f t="shared" si="12"/>
        <v>15</v>
      </c>
      <c r="E304" s="1"/>
      <c r="F304" s="1"/>
      <c r="G304" s="1"/>
      <c r="H304" s="1"/>
      <c r="I304" s="1"/>
      <c r="J304" s="1"/>
      <c r="K304" s="1"/>
      <c r="L304" s="1"/>
      <c r="M304" s="1"/>
      <c r="N304" s="1">
        <v>11</v>
      </c>
      <c r="O304" s="1">
        <v>15</v>
      </c>
      <c r="Q304">
        <v>15</v>
      </c>
    </row>
    <row r="305" spans="1:24" x14ac:dyDescent="0.25">
      <c r="A305" s="8" t="s">
        <v>173</v>
      </c>
      <c r="B305" s="8" t="s">
        <v>5</v>
      </c>
      <c r="C305" s="8" t="s">
        <v>176</v>
      </c>
      <c r="D305" s="1">
        <f t="shared" si="12"/>
        <v>15</v>
      </c>
      <c r="E305" s="1"/>
      <c r="F305" s="1"/>
      <c r="G305" s="1"/>
      <c r="H305" s="1"/>
      <c r="I305" s="1"/>
      <c r="J305" s="1"/>
      <c r="K305" s="1"/>
      <c r="L305" s="1"/>
      <c r="M305" s="1"/>
      <c r="N305" s="1">
        <v>13</v>
      </c>
      <c r="O305" s="1">
        <v>15</v>
      </c>
      <c r="Q305">
        <v>15</v>
      </c>
    </row>
    <row r="306" spans="1:24" x14ac:dyDescent="0.25">
      <c r="A306" s="8" t="s">
        <v>173</v>
      </c>
      <c r="B306" s="8" t="s">
        <v>6</v>
      </c>
      <c r="C306" s="8" t="s">
        <v>176</v>
      </c>
      <c r="D306" s="1">
        <f t="shared" si="12"/>
        <v>15</v>
      </c>
      <c r="E306" s="1"/>
      <c r="F306" s="1"/>
      <c r="G306" s="1"/>
      <c r="H306" s="1"/>
      <c r="I306" s="1"/>
      <c r="J306" s="1"/>
      <c r="K306" s="1"/>
      <c r="L306" s="1"/>
      <c r="M306" s="1"/>
      <c r="N306" s="1">
        <v>14</v>
      </c>
      <c r="O306" s="1">
        <v>15</v>
      </c>
      <c r="Q306">
        <v>15</v>
      </c>
    </row>
    <row r="307" spans="1:24" x14ac:dyDescent="0.25">
      <c r="A307" s="8" t="s">
        <v>173</v>
      </c>
      <c r="B307" s="8" t="s">
        <v>7</v>
      </c>
      <c r="C307" s="8" t="s">
        <v>177</v>
      </c>
      <c r="D307" s="1"/>
      <c r="E307" s="1"/>
      <c r="F307" s="1"/>
      <c r="G307" s="1"/>
      <c r="H307" s="1"/>
      <c r="I307" s="1"/>
      <c r="J307" s="1"/>
      <c r="K307" s="1">
        <f>X307</f>
        <v>40</v>
      </c>
      <c r="L307" s="1"/>
      <c r="M307" s="1"/>
      <c r="N307" s="1">
        <v>21</v>
      </c>
      <c r="O307" s="1">
        <v>15</v>
      </c>
      <c r="X307">
        <v>40</v>
      </c>
    </row>
    <row r="308" spans="1:24" x14ac:dyDescent="0.25">
      <c r="A308" s="8" t="s">
        <v>173</v>
      </c>
      <c r="B308" s="8" t="s">
        <v>8</v>
      </c>
      <c r="C308" s="8" t="s">
        <v>177</v>
      </c>
      <c r="D308" s="1"/>
      <c r="E308" s="1"/>
      <c r="F308" s="1"/>
      <c r="G308" s="1"/>
      <c r="H308" s="1"/>
      <c r="I308" s="1"/>
      <c r="J308" s="1"/>
      <c r="K308" s="1">
        <f>X308</f>
        <v>41</v>
      </c>
      <c r="L308" s="1"/>
      <c r="M308" s="1"/>
      <c r="N308" s="1">
        <v>22</v>
      </c>
      <c r="O308" s="1">
        <v>15</v>
      </c>
      <c r="X308">
        <v>41</v>
      </c>
    </row>
    <row r="309" spans="1:24" x14ac:dyDescent="0.25">
      <c r="A309" s="8" t="s">
        <v>173</v>
      </c>
      <c r="B309" s="8" t="s">
        <v>9</v>
      </c>
      <c r="C309" s="8" t="s">
        <v>178</v>
      </c>
      <c r="D309" s="1"/>
      <c r="E309" s="1">
        <v>10</v>
      </c>
      <c r="F309" s="1"/>
      <c r="G309" s="1"/>
      <c r="H309" s="1"/>
      <c r="I309" s="1"/>
      <c r="J309" s="1"/>
      <c r="K309" s="1"/>
      <c r="L309" s="1"/>
      <c r="M309" s="1"/>
      <c r="N309" s="1">
        <v>7</v>
      </c>
      <c r="O309" s="1">
        <v>10</v>
      </c>
      <c r="R309">
        <v>8</v>
      </c>
    </row>
    <row r="310" spans="1:24" x14ac:dyDescent="0.25">
      <c r="A310" s="8" t="s">
        <v>173</v>
      </c>
      <c r="B310" s="8" t="s">
        <v>10</v>
      </c>
      <c r="C310" s="8" t="s">
        <v>178</v>
      </c>
      <c r="D310" s="1"/>
      <c r="E310" s="1">
        <v>15</v>
      </c>
      <c r="F310" s="1"/>
      <c r="G310" s="1"/>
      <c r="H310" s="1"/>
      <c r="I310" s="1"/>
      <c r="J310" s="1"/>
      <c r="K310" s="1"/>
      <c r="L310" s="1"/>
      <c r="M310" s="1"/>
      <c r="N310" s="1">
        <v>7</v>
      </c>
      <c r="O310" s="1">
        <v>10</v>
      </c>
      <c r="P310">
        <v>-5</v>
      </c>
    </row>
    <row r="311" spans="1:24" x14ac:dyDescent="0.25">
      <c r="A311" s="8" t="s">
        <v>173</v>
      </c>
      <c r="B311" s="8" t="s">
        <v>11</v>
      </c>
      <c r="C311" s="8" t="s">
        <v>178</v>
      </c>
      <c r="D311" s="1"/>
      <c r="E311" s="1">
        <v>15</v>
      </c>
      <c r="F311" s="1"/>
      <c r="G311" s="1"/>
      <c r="H311" s="1"/>
      <c r="I311" s="1"/>
      <c r="J311" s="1"/>
      <c r="K311" s="1"/>
      <c r="L311" s="1"/>
      <c r="M311" s="1"/>
      <c r="N311" s="1">
        <v>7</v>
      </c>
      <c r="O311" s="1">
        <v>10</v>
      </c>
      <c r="P311">
        <v>-5</v>
      </c>
    </row>
    <row r="312" spans="1:24" x14ac:dyDescent="0.25">
      <c r="A312" s="8" t="s">
        <v>173</v>
      </c>
      <c r="B312" s="8" t="s">
        <v>12</v>
      </c>
      <c r="C312" s="8" t="s">
        <v>178</v>
      </c>
      <c r="D312" s="1"/>
      <c r="E312" s="1">
        <v>15</v>
      </c>
      <c r="F312" s="1"/>
      <c r="G312" s="1"/>
      <c r="H312" s="1"/>
      <c r="I312" s="1"/>
      <c r="J312" s="1"/>
      <c r="K312" s="1"/>
      <c r="L312" s="1"/>
      <c r="M312" s="1"/>
      <c r="N312" s="1">
        <v>7</v>
      </c>
      <c r="O312" s="1">
        <v>10</v>
      </c>
      <c r="R312">
        <v>8</v>
      </c>
    </row>
    <row r="313" spans="1:24" x14ac:dyDescent="0.25">
      <c r="A313" s="8" t="s">
        <v>173</v>
      </c>
      <c r="B313" s="8" t="s">
        <v>13</v>
      </c>
      <c r="C313" s="8" t="s">
        <v>178</v>
      </c>
      <c r="D313" s="1"/>
      <c r="E313" s="1">
        <f>R313</f>
        <v>8</v>
      </c>
      <c r="F313" s="1"/>
      <c r="G313" s="1"/>
      <c r="H313" s="1"/>
      <c r="I313" s="1"/>
      <c r="J313" s="1"/>
      <c r="K313" s="1"/>
      <c r="L313" s="1"/>
      <c r="M313" s="1"/>
      <c r="N313" s="1">
        <v>9</v>
      </c>
      <c r="O313" s="1">
        <v>20</v>
      </c>
      <c r="R313">
        <v>8</v>
      </c>
    </row>
    <row r="314" spans="1:24" x14ac:dyDescent="0.25">
      <c r="A314" s="8" t="s">
        <v>173</v>
      </c>
      <c r="B314" s="8" t="s">
        <v>14</v>
      </c>
      <c r="C314" s="8" t="s">
        <v>178</v>
      </c>
      <c r="D314" s="1"/>
      <c r="E314" s="1">
        <v>15</v>
      </c>
      <c r="F314" s="1"/>
      <c r="G314" s="1"/>
      <c r="H314" s="1"/>
      <c r="I314" s="1"/>
      <c r="J314" s="1"/>
      <c r="K314" s="1"/>
      <c r="L314" s="1"/>
      <c r="M314" s="1"/>
      <c r="N314" s="1">
        <v>8</v>
      </c>
      <c r="O314" s="1">
        <v>10</v>
      </c>
      <c r="P314">
        <v>-5</v>
      </c>
    </row>
    <row r="315" spans="1:24" x14ac:dyDescent="0.25">
      <c r="A315" s="8" t="s">
        <v>173</v>
      </c>
      <c r="B315" s="8" t="s">
        <v>15</v>
      </c>
      <c r="C315" s="8" t="s">
        <v>178</v>
      </c>
      <c r="D315" s="1"/>
      <c r="E315" s="1">
        <f>R315</f>
        <v>-43</v>
      </c>
      <c r="F315" s="1"/>
      <c r="G315" s="1"/>
      <c r="H315" s="1"/>
      <c r="I315" s="1"/>
      <c r="J315" s="1"/>
      <c r="K315" s="1"/>
      <c r="L315" s="1"/>
      <c r="M315" s="1"/>
      <c r="N315" s="1">
        <v>9</v>
      </c>
      <c r="O315" s="1">
        <v>55</v>
      </c>
      <c r="P315">
        <v>-15</v>
      </c>
      <c r="R315" s="1">
        <v>-43</v>
      </c>
    </row>
    <row r="316" spans="1:24" x14ac:dyDescent="0.25">
      <c r="A316" s="8" t="s">
        <v>173</v>
      </c>
      <c r="B316" s="8" t="s">
        <v>16</v>
      </c>
      <c r="C316" s="8" t="s">
        <v>178</v>
      </c>
      <c r="D316" s="1"/>
      <c r="E316" s="1">
        <f>R316</f>
        <v>10</v>
      </c>
      <c r="F316" s="1"/>
      <c r="G316" s="1"/>
      <c r="H316" s="1"/>
      <c r="I316" s="1"/>
      <c r="J316" s="1"/>
      <c r="K316" s="1"/>
      <c r="L316" s="1"/>
      <c r="M316" s="1"/>
      <c r="N316" s="1">
        <v>8</v>
      </c>
      <c r="O316" s="1">
        <v>15</v>
      </c>
      <c r="R316">
        <v>10</v>
      </c>
    </row>
    <row r="317" spans="1:24" x14ac:dyDescent="0.25">
      <c r="A317" s="8" t="s">
        <v>173</v>
      </c>
      <c r="B317" s="8" t="s">
        <v>17</v>
      </c>
      <c r="C317" s="8" t="s">
        <v>178</v>
      </c>
      <c r="D317" s="1"/>
      <c r="E317" s="1">
        <v>15</v>
      </c>
      <c r="F317" s="1"/>
      <c r="G317" s="1"/>
      <c r="H317" s="1"/>
      <c r="I317" s="1"/>
      <c r="J317" s="1"/>
      <c r="K317" s="1"/>
      <c r="L317" s="1"/>
      <c r="M317" s="1"/>
      <c r="N317" s="1">
        <v>8</v>
      </c>
      <c r="O317" s="1">
        <v>15</v>
      </c>
      <c r="P317">
        <v>-5</v>
      </c>
    </row>
    <row r="318" spans="1:24" x14ac:dyDescent="0.25">
      <c r="A318" s="8" t="s">
        <v>173</v>
      </c>
      <c r="B318" s="8" t="s">
        <v>18</v>
      </c>
      <c r="C318" s="8" t="s">
        <v>178</v>
      </c>
      <c r="D318" s="1"/>
      <c r="E318" s="1">
        <f>R318</f>
        <v>12</v>
      </c>
      <c r="F318" s="1"/>
      <c r="G318" s="1"/>
      <c r="H318" s="1"/>
      <c r="I318" s="1"/>
      <c r="J318" s="1"/>
      <c r="K318" s="1"/>
      <c r="L318" s="1"/>
      <c r="M318" s="1"/>
      <c r="N318" s="1">
        <v>8</v>
      </c>
      <c r="O318" s="1">
        <v>18</v>
      </c>
      <c r="R318">
        <v>12</v>
      </c>
    </row>
    <row r="319" spans="1:24" x14ac:dyDescent="0.25">
      <c r="A319" s="8" t="s">
        <v>173</v>
      </c>
      <c r="B319" s="8" t="s">
        <v>19</v>
      </c>
      <c r="C319" s="8" t="s">
        <v>178</v>
      </c>
      <c r="D319" s="1"/>
      <c r="E319" s="1">
        <v>15</v>
      </c>
      <c r="F319" s="1"/>
      <c r="G319" s="1"/>
      <c r="H319" s="1"/>
      <c r="I319" s="1"/>
      <c r="J319" s="1"/>
      <c r="K319" s="1"/>
      <c r="L319" s="1"/>
      <c r="M319" s="1"/>
      <c r="N319" s="1">
        <v>12</v>
      </c>
      <c r="O319" s="1">
        <v>15</v>
      </c>
      <c r="P319">
        <v>-15</v>
      </c>
    </row>
    <row r="320" spans="1:24" x14ac:dyDescent="0.25">
      <c r="A320" s="8" t="s">
        <v>173</v>
      </c>
      <c r="B320" s="8" t="s">
        <v>529</v>
      </c>
      <c r="C320" s="8" t="s">
        <v>178</v>
      </c>
      <c r="D320" s="1"/>
      <c r="E320" s="1">
        <v>15</v>
      </c>
      <c r="F320" s="1"/>
      <c r="G320" s="1"/>
      <c r="H320" s="1"/>
      <c r="I320" s="1"/>
      <c r="J320" s="1"/>
      <c r="K320" s="1"/>
      <c r="L320" s="1"/>
      <c r="M320" s="1"/>
      <c r="N320" s="1">
        <v>9</v>
      </c>
      <c r="O320" s="1">
        <v>10</v>
      </c>
      <c r="P320">
        <v>-20</v>
      </c>
      <c r="R320" s="1">
        <v>-39</v>
      </c>
    </row>
    <row r="321" spans="1:18" x14ac:dyDescent="0.25">
      <c r="A321" s="8" t="s">
        <v>173</v>
      </c>
      <c r="B321" s="8" t="s">
        <v>20</v>
      </c>
      <c r="C321" s="8" t="s">
        <v>178</v>
      </c>
      <c r="D321" s="1"/>
      <c r="E321" s="1">
        <v>15</v>
      </c>
      <c r="F321" s="1"/>
      <c r="G321" s="1"/>
      <c r="H321" s="1"/>
      <c r="I321" s="1"/>
      <c r="J321" s="1"/>
      <c r="K321" s="1"/>
      <c r="L321" s="1"/>
      <c r="M321" s="1"/>
      <c r="N321" s="1">
        <v>8</v>
      </c>
      <c r="O321" s="1">
        <v>15</v>
      </c>
    </row>
    <row r="322" spans="1:18" x14ac:dyDescent="0.25">
      <c r="A322" s="8" t="s">
        <v>173</v>
      </c>
      <c r="B322" s="8" t="s">
        <v>530</v>
      </c>
      <c r="C322" s="8" t="s">
        <v>178</v>
      </c>
      <c r="D322" s="1"/>
      <c r="E322" s="1">
        <v>15</v>
      </c>
      <c r="F322" s="1"/>
      <c r="G322" s="1"/>
      <c r="H322" s="1"/>
      <c r="I322" s="1"/>
      <c r="J322" s="1"/>
      <c r="K322" s="1"/>
      <c r="L322" s="1"/>
      <c r="M322" s="1"/>
      <c r="N322" s="1">
        <v>10</v>
      </c>
      <c r="O322" s="1">
        <v>15</v>
      </c>
      <c r="P322">
        <v>-10</v>
      </c>
    </row>
    <row r="323" spans="1:18" x14ac:dyDescent="0.25">
      <c r="A323" s="8" t="s">
        <v>173</v>
      </c>
      <c r="B323" s="8" t="s">
        <v>21</v>
      </c>
      <c r="C323" s="8" t="s">
        <v>178</v>
      </c>
      <c r="D323" s="1"/>
      <c r="E323" s="1">
        <v>15</v>
      </c>
      <c r="F323" s="1"/>
      <c r="G323" s="1"/>
      <c r="H323" s="1"/>
      <c r="I323" s="1"/>
      <c r="J323" s="1"/>
      <c r="K323" s="1"/>
      <c r="L323" s="1"/>
      <c r="M323" s="1"/>
      <c r="N323" s="1">
        <v>9</v>
      </c>
      <c r="O323" s="1">
        <v>15</v>
      </c>
      <c r="P323">
        <v>-5</v>
      </c>
    </row>
    <row r="324" spans="1:18" x14ac:dyDescent="0.25">
      <c r="A324" s="8" t="s">
        <v>173</v>
      </c>
      <c r="B324" s="8" t="s">
        <v>22</v>
      </c>
      <c r="C324" s="8" t="s">
        <v>178</v>
      </c>
      <c r="D324" s="1"/>
      <c r="E324" s="1">
        <v>15</v>
      </c>
      <c r="F324" s="1"/>
      <c r="G324" s="1"/>
      <c r="H324" s="1"/>
      <c r="I324" s="1"/>
      <c r="J324" s="1"/>
      <c r="K324" s="1"/>
      <c r="L324" s="1"/>
      <c r="M324" s="1"/>
      <c r="N324" s="1">
        <v>9</v>
      </c>
      <c r="O324" s="1">
        <v>15</v>
      </c>
    </row>
    <row r="325" spans="1:18" x14ac:dyDescent="0.25">
      <c r="A325" s="8" t="s">
        <v>173</v>
      </c>
      <c r="B325" t="s">
        <v>615</v>
      </c>
      <c r="C325" s="8" t="s">
        <v>178</v>
      </c>
      <c r="D325" s="1"/>
      <c r="E325" s="1">
        <f>R325</f>
        <v>10</v>
      </c>
      <c r="F325" s="1"/>
      <c r="G325" s="1"/>
      <c r="H325" s="1"/>
      <c r="I325" s="1"/>
      <c r="J325" s="1"/>
      <c r="K325" s="1"/>
      <c r="L325" s="1"/>
      <c r="M325" s="1"/>
      <c r="N325" s="1">
        <v>9</v>
      </c>
      <c r="O325" s="1">
        <v>15</v>
      </c>
      <c r="R325">
        <v>10</v>
      </c>
    </row>
    <row r="326" spans="1:18" x14ac:dyDescent="0.25">
      <c r="A326" s="8" t="s">
        <v>173</v>
      </c>
      <c r="B326" s="8" t="s">
        <v>1067</v>
      </c>
      <c r="C326" s="8" t="s">
        <v>178</v>
      </c>
      <c r="D326" s="1"/>
      <c r="E326" s="1">
        <f>R326</f>
        <v>11</v>
      </c>
      <c r="F326" s="1"/>
      <c r="G326" s="1"/>
      <c r="H326" s="1"/>
      <c r="I326" s="1"/>
      <c r="J326" s="1"/>
      <c r="K326" s="1"/>
      <c r="L326" s="1"/>
      <c r="M326" s="1"/>
      <c r="N326" s="1">
        <v>9</v>
      </c>
      <c r="O326" s="1">
        <v>10</v>
      </c>
      <c r="R326">
        <v>11</v>
      </c>
    </row>
    <row r="327" spans="1:18" x14ac:dyDescent="0.25">
      <c r="A327" s="8" t="s">
        <v>173</v>
      </c>
      <c r="B327" s="8" t="s">
        <v>23</v>
      </c>
      <c r="C327" s="8" t="s">
        <v>178</v>
      </c>
      <c r="D327" s="1"/>
      <c r="E327" s="1">
        <v>15</v>
      </c>
      <c r="F327" s="1"/>
      <c r="G327" s="1"/>
      <c r="H327" s="1"/>
      <c r="I327" s="1"/>
      <c r="J327" s="1"/>
      <c r="K327" s="1"/>
      <c r="L327" s="1"/>
      <c r="M327" s="1"/>
      <c r="N327" s="1">
        <v>7</v>
      </c>
      <c r="O327" s="1">
        <v>15</v>
      </c>
      <c r="P327">
        <v>-5</v>
      </c>
    </row>
    <row r="328" spans="1:18" x14ac:dyDescent="0.25">
      <c r="A328" s="8" t="s">
        <v>173</v>
      </c>
      <c r="B328" s="8" t="s">
        <v>24</v>
      </c>
      <c r="C328" s="8" t="s">
        <v>178</v>
      </c>
      <c r="D328" s="1"/>
      <c r="E328" s="1">
        <v>15</v>
      </c>
      <c r="F328" s="1"/>
      <c r="G328" s="1"/>
      <c r="H328" s="1"/>
      <c r="I328" s="1"/>
      <c r="J328" s="1"/>
      <c r="K328" s="1"/>
      <c r="L328" s="1"/>
      <c r="M328" s="1"/>
      <c r="N328" s="1">
        <v>7</v>
      </c>
      <c r="O328" s="1">
        <v>15</v>
      </c>
      <c r="P328">
        <v>-5</v>
      </c>
    </row>
    <row r="329" spans="1:18" x14ac:dyDescent="0.25">
      <c r="A329" s="8" t="s">
        <v>173</v>
      </c>
      <c r="B329" s="8" t="s">
        <v>25</v>
      </c>
      <c r="C329" s="8" t="s">
        <v>178</v>
      </c>
      <c r="D329" s="1"/>
      <c r="E329" s="1">
        <v>10</v>
      </c>
      <c r="F329" s="1"/>
      <c r="G329" s="1"/>
      <c r="H329" s="1"/>
      <c r="I329" s="1"/>
      <c r="J329" s="1"/>
      <c r="K329" s="1"/>
      <c r="L329" s="1"/>
      <c r="M329" s="1"/>
      <c r="N329" s="1">
        <v>7</v>
      </c>
      <c r="O329" s="1">
        <v>15</v>
      </c>
      <c r="P329">
        <v>-5</v>
      </c>
    </row>
    <row r="330" spans="1:18" x14ac:dyDescent="0.25">
      <c r="A330" s="8" t="s">
        <v>173</v>
      </c>
      <c r="B330" s="8" t="s">
        <v>26</v>
      </c>
      <c r="C330" s="8" t="s">
        <v>178</v>
      </c>
      <c r="D330" s="1"/>
      <c r="E330" s="1">
        <v>10</v>
      </c>
      <c r="F330" s="1"/>
      <c r="G330" s="1"/>
      <c r="H330" s="1"/>
      <c r="I330" s="1"/>
      <c r="J330" s="1"/>
      <c r="K330" s="1"/>
      <c r="L330" s="1"/>
      <c r="M330" s="1"/>
      <c r="N330" s="1">
        <v>7</v>
      </c>
      <c r="O330" s="1">
        <v>15</v>
      </c>
      <c r="P330">
        <v>-5</v>
      </c>
    </row>
    <row r="331" spans="1:18" x14ac:dyDescent="0.25">
      <c r="A331" s="8" t="s">
        <v>173</v>
      </c>
      <c r="B331" s="8" t="s">
        <v>27</v>
      </c>
      <c r="C331" s="8" t="s">
        <v>178</v>
      </c>
      <c r="D331" s="1"/>
      <c r="E331" s="1">
        <f>R331</f>
        <v>-3</v>
      </c>
      <c r="F331" s="1"/>
      <c r="G331" s="1"/>
      <c r="H331" s="1"/>
      <c r="I331" s="1"/>
      <c r="J331" s="1"/>
      <c r="K331" s="1"/>
      <c r="L331" s="1"/>
      <c r="M331" s="1"/>
      <c r="N331" s="1">
        <v>8</v>
      </c>
      <c r="O331" s="1">
        <v>33</v>
      </c>
      <c r="R331">
        <v>-3</v>
      </c>
    </row>
    <row r="332" spans="1:18" x14ac:dyDescent="0.25">
      <c r="A332" s="8" t="s">
        <v>173</v>
      </c>
      <c r="B332" s="8" t="s">
        <v>28</v>
      </c>
      <c r="C332" s="8" t="s">
        <v>178</v>
      </c>
      <c r="D332" s="1"/>
      <c r="E332" s="1">
        <v>10</v>
      </c>
      <c r="F332" s="1"/>
      <c r="G332" s="1"/>
      <c r="H332" s="1"/>
      <c r="I332" s="1"/>
      <c r="J332" s="1"/>
      <c r="K332" s="1"/>
      <c r="L332" s="1"/>
      <c r="M332" s="1"/>
      <c r="N332" s="1">
        <v>7</v>
      </c>
      <c r="O332" s="1">
        <v>15</v>
      </c>
      <c r="P332">
        <v>-5</v>
      </c>
    </row>
    <row r="333" spans="1:18" x14ac:dyDescent="0.25">
      <c r="A333" s="8" t="s">
        <v>173</v>
      </c>
      <c r="B333" s="8" t="s">
        <v>29</v>
      </c>
      <c r="C333" s="8" t="s">
        <v>178</v>
      </c>
      <c r="D333" s="1"/>
      <c r="E333" s="1">
        <f>R333</f>
        <v>-31</v>
      </c>
      <c r="F333" s="1"/>
      <c r="G333" s="1"/>
      <c r="H333" s="1"/>
      <c r="I333" s="1"/>
      <c r="J333" s="1"/>
      <c r="K333" s="1"/>
      <c r="L333" s="1"/>
      <c r="M333" s="1"/>
      <c r="N333" s="1">
        <v>8</v>
      </c>
      <c r="O333" s="1">
        <v>61</v>
      </c>
      <c r="P333">
        <v>-20</v>
      </c>
      <c r="R333" s="1">
        <v>-31</v>
      </c>
    </row>
    <row r="334" spans="1:18" x14ac:dyDescent="0.25">
      <c r="A334" s="8" t="s">
        <v>173</v>
      </c>
      <c r="B334" s="8" t="s">
        <v>30</v>
      </c>
      <c r="C334" s="8" t="s">
        <v>178</v>
      </c>
      <c r="D334" s="1"/>
      <c r="E334" s="1">
        <f>R334</f>
        <v>5</v>
      </c>
      <c r="F334" s="1"/>
      <c r="G334" s="1"/>
      <c r="H334" s="1"/>
      <c r="I334" s="1"/>
      <c r="J334" s="1"/>
      <c r="K334" s="1"/>
      <c r="L334" s="1"/>
      <c r="M334" s="1"/>
      <c r="N334" s="1">
        <v>9</v>
      </c>
      <c r="O334" s="1">
        <v>29</v>
      </c>
      <c r="R334">
        <v>5</v>
      </c>
    </row>
    <row r="335" spans="1:18" x14ac:dyDescent="0.25">
      <c r="A335" s="8" t="s">
        <v>173</v>
      </c>
      <c r="B335" s="8" t="s">
        <v>31</v>
      </c>
      <c r="C335" s="8" t="s">
        <v>178</v>
      </c>
      <c r="D335" s="1"/>
      <c r="E335" s="1">
        <v>10</v>
      </c>
      <c r="F335" s="1"/>
      <c r="G335" s="1"/>
      <c r="H335" s="1"/>
      <c r="I335" s="1"/>
      <c r="J335" s="1"/>
      <c r="K335" s="1"/>
      <c r="L335" s="1"/>
      <c r="M335" s="1"/>
      <c r="N335" s="1">
        <v>8</v>
      </c>
      <c r="O335" s="1">
        <v>15</v>
      </c>
      <c r="P335">
        <v>-5</v>
      </c>
    </row>
    <row r="336" spans="1:18" x14ac:dyDescent="0.25">
      <c r="A336" s="8" t="s">
        <v>173</v>
      </c>
      <c r="B336" s="8" t="s">
        <v>32</v>
      </c>
      <c r="C336" s="8" t="s">
        <v>178</v>
      </c>
      <c r="D336" s="1"/>
      <c r="E336" s="1">
        <f>R336</f>
        <v>12</v>
      </c>
      <c r="F336" s="1"/>
      <c r="G336" s="1"/>
      <c r="H336" s="1"/>
      <c r="I336" s="1"/>
      <c r="J336" s="1"/>
      <c r="K336" s="1"/>
      <c r="L336" s="1"/>
      <c r="M336" s="1"/>
      <c r="N336" s="1">
        <v>7</v>
      </c>
      <c r="O336" s="1">
        <v>18</v>
      </c>
      <c r="R336">
        <v>12</v>
      </c>
    </row>
    <row r="337" spans="1:18" x14ac:dyDescent="0.25">
      <c r="A337" s="8" t="s">
        <v>173</v>
      </c>
      <c r="B337" s="8" t="s">
        <v>33</v>
      </c>
      <c r="C337" s="8" t="s">
        <v>178</v>
      </c>
      <c r="D337" s="1"/>
      <c r="E337" s="1">
        <v>10</v>
      </c>
      <c r="F337" s="1"/>
      <c r="G337" s="1"/>
      <c r="H337" s="1"/>
      <c r="I337" s="1"/>
      <c r="J337" s="1"/>
      <c r="K337" s="1"/>
      <c r="L337" s="1"/>
      <c r="M337" s="1"/>
      <c r="N337" s="1">
        <v>7</v>
      </c>
      <c r="O337" s="1">
        <v>15</v>
      </c>
      <c r="P337">
        <v>-5</v>
      </c>
    </row>
    <row r="338" spans="1:18" x14ac:dyDescent="0.25">
      <c r="A338" s="8" t="s">
        <v>173</v>
      </c>
      <c r="B338" s="8" t="s">
        <v>34</v>
      </c>
      <c r="C338" s="8" t="s">
        <v>178</v>
      </c>
      <c r="D338" s="1"/>
      <c r="E338" s="1">
        <v>10</v>
      </c>
      <c r="F338" s="1"/>
      <c r="G338" s="1"/>
      <c r="H338" s="1"/>
      <c r="I338" s="1"/>
      <c r="J338" s="1"/>
      <c r="K338" s="1"/>
      <c r="L338" s="1"/>
      <c r="M338" s="1"/>
      <c r="N338" s="1">
        <v>7</v>
      </c>
      <c r="O338" s="1">
        <v>15</v>
      </c>
      <c r="P338">
        <v>-5</v>
      </c>
    </row>
    <row r="339" spans="1:18" x14ac:dyDescent="0.25">
      <c r="A339" s="8" t="s">
        <v>173</v>
      </c>
      <c r="B339" s="8" t="s">
        <v>35</v>
      </c>
      <c r="C339" s="8" t="s">
        <v>178</v>
      </c>
      <c r="D339" s="1"/>
      <c r="E339" s="1">
        <v>15</v>
      </c>
      <c r="F339" s="1"/>
      <c r="G339" s="1"/>
      <c r="H339" s="1"/>
      <c r="I339" s="1"/>
      <c r="J339" s="1"/>
      <c r="K339" s="1"/>
      <c r="L339" s="1"/>
      <c r="M339" s="1"/>
      <c r="N339" s="1">
        <v>8</v>
      </c>
      <c r="O339" s="1">
        <v>15</v>
      </c>
    </row>
    <row r="340" spans="1:18" x14ac:dyDescent="0.25">
      <c r="A340" s="8" t="s">
        <v>173</v>
      </c>
      <c r="B340" s="8" t="s">
        <v>36</v>
      </c>
      <c r="C340" s="8" t="s">
        <v>1038</v>
      </c>
      <c r="D340" s="1"/>
      <c r="E340" s="1">
        <v>10</v>
      </c>
      <c r="F340" s="1"/>
      <c r="G340" s="1"/>
      <c r="H340" s="1"/>
      <c r="I340" s="1"/>
      <c r="J340" s="1"/>
      <c r="K340" s="1"/>
      <c r="L340" s="1"/>
      <c r="M340" s="1"/>
      <c r="N340" s="1">
        <v>7</v>
      </c>
      <c r="O340" s="1">
        <v>10</v>
      </c>
      <c r="P340">
        <v>-5</v>
      </c>
      <c r="Q340" t="s">
        <v>1190</v>
      </c>
    </row>
    <row r="341" spans="1:18" x14ac:dyDescent="0.25">
      <c r="A341" s="8" t="s">
        <v>173</v>
      </c>
      <c r="B341" s="8" t="s">
        <v>37</v>
      </c>
      <c r="C341" s="8" t="s">
        <v>1032</v>
      </c>
      <c r="D341" s="1"/>
      <c r="E341" s="1">
        <v>15</v>
      </c>
      <c r="F341" s="1"/>
      <c r="G341" s="1"/>
      <c r="H341" s="1"/>
      <c r="I341" s="1"/>
      <c r="J341" s="1"/>
      <c r="K341" s="1"/>
      <c r="L341" s="1"/>
      <c r="M341" s="1"/>
      <c r="N341" s="1">
        <v>8</v>
      </c>
      <c r="O341" s="1">
        <v>15</v>
      </c>
      <c r="P341">
        <v>-5</v>
      </c>
    </row>
    <row r="342" spans="1:18" x14ac:dyDescent="0.25">
      <c r="A342" s="8" t="s">
        <v>173</v>
      </c>
      <c r="B342" s="8" t="s">
        <v>38</v>
      </c>
      <c r="C342" s="8" t="s">
        <v>178</v>
      </c>
      <c r="D342" s="1"/>
      <c r="E342" s="1">
        <v>15</v>
      </c>
      <c r="F342" s="1"/>
      <c r="G342" s="1"/>
      <c r="H342" s="1"/>
      <c r="I342" s="1"/>
      <c r="J342" s="1"/>
      <c r="K342" s="1"/>
      <c r="L342" s="1"/>
      <c r="M342" s="1"/>
      <c r="N342" s="1">
        <v>8</v>
      </c>
      <c r="O342" s="1">
        <v>15</v>
      </c>
      <c r="P342">
        <v>-5</v>
      </c>
    </row>
    <row r="343" spans="1:18" x14ac:dyDescent="0.25">
      <c r="A343" s="8" t="s">
        <v>173</v>
      </c>
      <c r="B343" s="8" t="s">
        <v>39</v>
      </c>
      <c r="C343" s="8" t="s">
        <v>178</v>
      </c>
      <c r="D343" s="1"/>
      <c r="E343" s="1">
        <v>15</v>
      </c>
      <c r="F343" s="1"/>
      <c r="G343" s="1"/>
      <c r="H343" s="1"/>
      <c r="I343" s="1"/>
      <c r="J343" s="1"/>
      <c r="K343" s="1"/>
      <c r="L343" s="1"/>
      <c r="M343" s="1"/>
      <c r="N343" s="1">
        <v>8</v>
      </c>
      <c r="O343" s="1">
        <v>15</v>
      </c>
      <c r="P343">
        <v>-5</v>
      </c>
    </row>
    <row r="344" spans="1:18" x14ac:dyDescent="0.25">
      <c r="A344" s="8" t="s">
        <v>173</v>
      </c>
      <c r="B344" s="8" t="s">
        <v>40</v>
      </c>
      <c r="C344" s="8" t="s">
        <v>1032</v>
      </c>
      <c r="D344" s="1"/>
      <c r="E344" s="1">
        <v>10</v>
      </c>
      <c r="F344" s="1"/>
      <c r="G344" s="1"/>
      <c r="H344" s="1"/>
      <c r="I344" s="1"/>
      <c r="J344" s="1"/>
      <c r="K344" s="1"/>
      <c r="L344" s="1"/>
      <c r="M344" s="1"/>
      <c r="N344" s="1">
        <v>10</v>
      </c>
      <c r="O344" s="1">
        <v>15</v>
      </c>
      <c r="P344">
        <v>-5</v>
      </c>
    </row>
    <row r="345" spans="1:18" x14ac:dyDescent="0.25">
      <c r="A345" s="8" t="s">
        <v>173</v>
      </c>
      <c r="B345" s="8" t="s">
        <v>41</v>
      </c>
      <c r="C345" s="8" t="s">
        <v>178</v>
      </c>
      <c r="D345" s="1"/>
      <c r="E345" s="1">
        <f>R345</f>
        <v>5</v>
      </c>
      <c r="F345" s="1"/>
      <c r="G345" s="1"/>
      <c r="H345" s="1"/>
      <c r="I345" s="1"/>
      <c r="J345" s="1"/>
      <c r="K345" s="1"/>
      <c r="L345" s="1"/>
      <c r="M345" s="1"/>
      <c r="N345" s="1">
        <v>9</v>
      </c>
      <c r="O345" s="1">
        <v>28</v>
      </c>
      <c r="P345">
        <v>-5</v>
      </c>
      <c r="R345">
        <v>5</v>
      </c>
    </row>
    <row r="346" spans="1:18" x14ac:dyDescent="0.25">
      <c r="A346" s="8" t="s">
        <v>173</v>
      </c>
      <c r="B346" s="8" t="s">
        <v>42</v>
      </c>
      <c r="C346" s="8" t="s">
        <v>178</v>
      </c>
      <c r="D346" s="1"/>
      <c r="E346" s="1">
        <v>15</v>
      </c>
      <c r="F346" s="1"/>
      <c r="G346" s="1"/>
      <c r="H346" s="1"/>
      <c r="I346" s="1"/>
      <c r="J346" s="1"/>
      <c r="K346" s="1"/>
      <c r="L346" s="1"/>
      <c r="M346" s="1"/>
      <c r="N346" s="1">
        <v>8</v>
      </c>
      <c r="O346" s="1">
        <v>15</v>
      </c>
      <c r="P346">
        <v>-5</v>
      </c>
    </row>
    <row r="347" spans="1:18" x14ac:dyDescent="0.25">
      <c r="A347" s="8" t="s">
        <v>173</v>
      </c>
      <c r="B347" s="8" t="s">
        <v>43</v>
      </c>
      <c r="C347" s="8" t="s">
        <v>178</v>
      </c>
      <c r="D347" s="1"/>
      <c r="E347" s="1">
        <v>10</v>
      </c>
      <c r="F347" s="1"/>
      <c r="G347" s="1"/>
      <c r="H347" s="1"/>
      <c r="I347" s="1"/>
      <c r="J347" s="1"/>
      <c r="K347" s="1"/>
      <c r="L347" s="1"/>
      <c r="M347" s="1"/>
      <c r="N347" s="1">
        <v>8</v>
      </c>
      <c r="O347" s="1">
        <v>15</v>
      </c>
      <c r="P347">
        <v>-5</v>
      </c>
    </row>
    <row r="348" spans="1:18" x14ac:dyDescent="0.25">
      <c r="A348" s="8" t="s">
        <v>173</v>
      </c>
      <c r="B348" s="8" t="s">
        <v>44</v>
      </c>
      <c r="C348" s="8" t="s">
        <v>178</v>
      </c>
      <c r="D348" s="1"/>
      <c r="E348" s="1">
        <v>15</v>
      </c>
      <c r="F348" s="1"/>
      <c r="G348" s="1"/>
      <c r="H348" s="1"/>
      <c r="I348" s="1"/>
      <c r="J348" s="1"/>
      <c r="K348" s="1"/>
      <c r="L348" s="1"/>
      <c r="M348" s="1"/>
      <c r="N348" s="1">
        <v>10</v>
      </c>
      <c r="O348" s="1">
        <v>15</v>
      </c>
    </row>
    <row r="349" spans="1:18" x14ac:dyDescent="0.25">
      <c r="A349" s="8" t="s">
        <v>173</v>
      </c>
      <c r="B349" t="s">
        <v>616</v>
      </c>
      <c r="C349" s="8" t="s">
        <v>178</v>
      </c>
      <c r="D349" s="1"/>
      <c r="E349" s="1">
        <v>15</v>
      </c>
      <c r="F349" s="1"/>
      <c r="G349" s="1"/>
      <c r="H349" s="1"/>
      <c r="I349" s="1"/>
      <c r="J349" s="1"/>
      <c r="K349" s="1"/>
      <c r="L349" s="1"/>
      <c r="M349" s="1"/>
      <c r="N349" s="1">
        <v>10</v>
      </c>
      <c r="O349" s="1">
        <v>15</v>
      </c>
    </row>
    <row r="350" spans="1:18" x14ac:dyDescent="0.25">
      <c r="A350" s="8" t="s">
        <v>173</v>
      </c>
      <c r="B350" s="8" t="s">
        <v>45</v>
      </c>
      <c r="C350" s="8" t="s">
        <v>178</v>
      </c>
      <c r="D350" s="1"/>
      <c r="E350" s="1">
        <v>15</v>
      </c>
      <c r="F350" s="1"/>
      <c r="G350" s="1"/>
      <c r="H350" s="1"/>
      <c r="I350" s="1"/>
      <c r="J350" s="1"/>
      <c r="K350" s="1"/>
      <c r="L350" s="1"/>
      <c r="M350" s="1"/>
      <c r="N350" s="1">
        <v>8</v>
      </c>
      <c r="O350" s="1">
        <v>15</v>
      </c>
      <c r="P350">
        <v>-5</v>
      </c>
    </row>
    <row r="351" spans="1:18" x14ac:dyDescent="0.25">
      <c r="A351" s="8" t="s">
        <v>173</v>
      </c>
      <c r="B351" s="8" t="s">
        <v>46</v>
      </c>
      <c r="C351" s="8" t="s">
        <v>178</v>
      </c>
      <c r="D351" s="1"/>
      <c r="E351" s="1">
        <f>R351</f>
        <v>-7</v>
      </c>
      <c r="F351" s="1"/>
      <c r="G351" s="1"/>
      <c r="H351" s="1"/>
      <c r="I351" s="1"/>
      <c r="J351" s="1"/>
      <c r="K351" s="1"/>
      <c r="L351" s="1"/>
      <c r="M351" s="1"/>
      <c r="N351" s="1">
        <v>9</v>
      </c>
      <c r="O351" s="1">
        <v>37</v>
      </c>
      <c r="P351">
        <v>-5</v>
      </c>
      <c r="R351">
        <v>-7</v>
      </c>
    </row>
    <row r="352" spans="1:18" x14ac:dyDescent="0.25">
      <c r="A352" s="8" t="s">
        <v>173</v>
      </c>
      <c r="B352" s="8" t="s">
        <v>47</v>
      </c>
      <c r="C352" s="8" t="s">
        <v>178</v>
      </c>
      <c r="D352" s="1"/>
      <c r="E352" s="1">
        <v>15</v>
      </c>
      <c r="F352" s="1"/>
      <c r="G352" s="1"/>
      <c r="H352" s="1"/>
      <c r="I352" s="1"/>
      <c r="J352" s="1"/>
      <c r="K352" s="1"/>
      <c r="L352" s="1"/>
      <c r="M352" s="1"/>
      <c r="N352" s="1">
        <v>8</v>
      </c>
      <c r="O352" s="1">
        <v>15</v>
      </c>
      <c r="P352">
        <v>-5</v>
      </c>
    </row>
    <row r="353" spans="1:18" x14ac:dyDescent="0.25">
      <c r="A353" s="8" t="s">
        <v>173</v>
      </c>
      <c r="B353" s="8" t="s">
        <v>48</v>
      </c>
      <c r="C353" s="8" t="s">
        <v>178</v>
      </c>
      <c r="D353" s="1"/>
      <c r="E353" s="1">
        <f t="shared" ref="E353:E364" si="13">R353</f>
        <v>-37</v>
      </c>
      <c r="F353" s="1"/>
      <c r="G353" s="1"/>
      <c r="H353" s="1"/>
      <c r="I353" s="1"/>
      <c r="J353" s="1"/>
      <c r="K353" s="1"/>
      <c r="L353" s="1"/>
      <c r="M353" s="1"/>
      <c r="N353" s="1">
        <v>15</v>
      </c>
      <c r="O353" s="1">
        <v>42</v>
      </c>
      <c r="P353">
        <v>-15</v>
      </c>
      <c r="R353">
        <v>-37</v>
      </c>
    </row>
    <row r="354" spans="1:18" x14ac:dyDescent="0.25">
      <c r="A354" s="8" t="s">
        <v>173</v>
      </c>
      <c r="B354" s="8" t="s">
        <v>49</v>
      </c>
      <c r="C354" s="8" t="s">
        <v>178</v>
      </c>
      <c r="D354" s="1"/>
      <c r="E354" s="1">
        <f t="shared" si="13"/>
        <v>-13</v>
      </c>
      <c r="F354" s="1"/>
      <c r="G354" s="1"/>
      <c r="H354" s="1"/>
      <c r="I354" s="1"/>
      <c r="J354" s="1"/>
      <c r="K354" s="1"/>
      <c r="L354" s="1"/>
      <c r="M354" s="1"/>
      <c r="N354" s="1">
        <v>13</v>
      </c>
      <c r="O354" s="1">
        <v>37</v>
      </c>
      <c r="P354">
        <v>-10</v>
      </c>
      <c r="R354">
        <v>-13</v>
      </c>
    </row>
    <row r="355" spans="1:18" x14ac:dyDescent="0.25">
      <c r="A355" s="8" t="s">
        <v>173</v>
      </c>
      <c r="B355" s="8" t="s">
        <v>672</v>
      </c>
      <c r="C355" s="8" t="s">
        <v>178</v>
      </c>
      <c r="D355" s="1"/>
      <c r="E355" s="1">
        <v>15</v>
      </c>
      <c r="F355" s="1"/>
      <c r="G355" s="1"/>
      <c r="H355" s="1"/>
      <c r="I355" s="1"/>
      <c r="J355" s="1"/>
      <c r="K355" s="1"/>
      <c r="L355" s="1"/>
      <c r="M355" s="1"/>
      <c r="N355" s="1">
        <v>11</v>
      </c>
      <c r="O355" s="1">
        <v>15</v>
      </c>
    </row>
    <row r="356" spans="1:18" x14ac:dyDescent="0.25">
      <c r="A356" s="8" t="s">
        <v>173</v>
      </c>
      <c r="B356" t="s">
        <v>617</v>
      </c>
      <c r="C356" s="8" t="s">
        <v>178</v>
      </c>
      <c r="D356" s="1"/>
      <c r="E356" s="1">
        <v>15</v>
      </c>
      <c r="F356" s="1"/>
      <c r="G356" s="1"/>
      <c r="H356" s="1"/>
      <c r="I356" s="1"/>
      <c r="J356" s="1"/>
      <c r="K356" s="1"/>
      <c r="L356" s="1"/>
      <c r="M356" s="1"/>
      <c r="N356" s="1">
        <v>8</v>
      </c>
      <c r="O356" s="1">
        <v>15</v>
      </c>
    </row>
    <row r="357" spans="1:18" x14ac:dyDescent="0.25">
      <c r="A357" s="8" t="s">
        <v>173</v>
      </c>
      <c r="B357" s="8" t="s">
        <v>50</v>
      </c>
      <c r="C357" s="8" t="s">
        <v>178</v>
      </c>
      <c r="D357" s="1"/>
      <c r="E357" s="1">
        <f t="shared" si="13"/>
        <v>-41</v>
      </c>
      <c r="F357" s="1"/>
      <c r="G357" s="1"/>
      <c r="H357" s="1"/>
      <c r="I357" s="1"/>
      <c r="J357" s="1"/>
      <c r="K357" s="1"/>
      <c r="L357" s="1"/>
      <c r="M357" s="1"/>
      <c r="N357" s="1">
        <v>14</v>
      </c>
      <c r="O357" s="1">
        <v>71</v>
      </c>
      <c r="P357">
        <v>-10</v>
      </c>
      <c r="R357">
        <v>-41</v>
      </c>
    </row>
    <row r="358" spans="1:18" x14ac:dyDescent="0.25">
      <c r="A358" s="8" t="s">
        <v>173</v>
      </c>
      <c r="B358" s="8" t="s">
        <v>1129</v>
      </c>
      <c r="C358" s="8" t="s">
        <v>178</v>
      </c>
      <c r="D358" s="1"/>
      <c r="E358" s="1">
        <v>20</v>
      </c>
      <c r="F358" s="1"/>
      <c r="G358" s="1"/>
      <c r="H358" s="1"/>
      <c r="I358" s="1"/>
      <c r="J358" s="1"/>
      <c r="K358" s="1"/>
      <c r="L358" s="1"/>
      <c r="M358" s="1"/>
      <c r="N358" s="1">
        <v>11</v>
      </c>
      <c r="O358" s="1">
        <v>15</v>
      </c>
    </row>
    <row r="359" spans="1:18" x14ac:dyDescent="0.25">
      <c r="A359" s="8" t="s">
        <v>173</v>
      </c>
      <c r="B359" s="24" t="s">
        <v>531</v>
      </c>
      <c r="C359" s="24" t="s">
        <v>178</v>
      </c>
      <c r="D359" s="1"/>
      <c r="E359" s="1">
        <f t="shared" si="13"/>
        <v>-44</v>
      </c>
      <c r="F359" s="1"/>
      <c r="G359" s="1"/>
      <c r="H359" s="1"/>
      <c r="I359" s="1"/>
      <c r="J359" s="1"/>
      <c r="K359" s="1"/>
      <c r="L359" s="1"/>
      <c r="M359" s="1"/>
      <c r="N359" s="1">
        <v>16</v>
      </c>
      <c r="O359" s="1">
        <v>72</v>
      </c>
      <c r="P359">
        <v>-15</v>
      </c>
      <c r="R359" s="1">
        <v>-44</v>
      </c>
    </row>
    <row r="360" spans="1:18" x14ac:dyDescent="0.25">
      <c r="A360" s="8" t="s">
        <v>173</v>
      </c>
      <c r="B360" s="24" t="s">
        <v>1021</v>
      </c>
      <c r="C360" s="24" t="s">
        <v>178</v>
      </c>
      <c r="D360" s="1"/>
      <c r="E360" s="1">
        <f t="shared" si="13"/>
        <v>15</v>
      </c>
      <c r="F360" s="1"/>
      <c r="G360" s="1"/>
      <c r="H360" s="1"/>
      <c r="I360" s="1"/>
      <c r="J360" s="1"/>
      <c r="K360" s="1"/>
      <c r="L360" s="1"/>
      <c r="M360" s="1"/>
      <c r="N360" s="1">
        <v>10</v>
      </c>
      <c r="O360" s="1">
        <v>15</v>
      </c>
      <c r="P360">
        <v>-5</v>
      </c>
      <c r="R360" s="1">
        <v>15</v>
      </c>
    </row>
    <row r="361" spans="1:18" x14ac:dyDescent="0.25">
      <c r="A361" s="8" t="s">
        <v>173</v>
      </c>
      <c r="B361" s="24" t="s">
        <v>1022</v>
      </c>
      <c r="C361" s="24" t="s">
        <v>178</v>
      </c>
      <c r="D361" s="1"/>
      <c r="E361" s="1">
        <f t="shared" si="13"/>
        <v>15</v>
      </c>
      <c r="F361" s="1"/>
      <c r="G361" s="1"/>
      <c r="H361" s="1"/>
      <c r="I361" s="1"/>
      <c r="J361" s="1"/>
      <c r="K361" s="1"/>
      <c r="L361" s="1"/>
      <c r="M361" s="1"/>
      <c r="N361" s="1">
        <v>9</v>
      </c>
      <c r="O361" s="1">
        <v>15</v>
      </c>
      <c r="P361">
        <v>-5</v>
      </c>
      <c r="R361" s="1">
        <v>15</v>
      </c>
    </row>
    <row r="362" spans="1:18" x14ac:dyDescent="0.25">
      <c r="A362" s="8" t="s">
        <v>173</v>
      </c>
      <c r="B362" s="24" t="s">
        <v>1244</v>
      </c>
      <c r="C362" s="24" t="s">
        <v>178</v>
      </c>
      <c r="D362" s="1"/>
      <c r="E362" s="1">
        <f t="shared" si="13"/>
        <v>15</v>
      </c>
      <c r="F362" s="1"/>
      <c r="G362" s="1"/>
      <c r="H362" s="1"/>
      <c r="I362" s="1"/>
      <c r="J362" s="1"/>
      <c r="K362" s="1"/>
      <c r="L362" s="1"/>
      <c r="M362" s="1"/>
      <c r="N362" s="1">
        <v>16</v>
      </c>
      <c r="O362" s="1">
        <v>15</v>
      </c>
      <c r="P362">
        <v>-10</v>
      </c>
      <c r="R362" s="1">
        <v>15</v>
      </c>
    </row>
    <row r="363" spans="1:18" x14ac:dyDescent="0.25">
      <c r="A363" s="8" t="s">
        <v>173</v>
      </c>
      <c r="B363" s="24" t="s">
        <v>532</v>
      </c>
      <c r="C363" s="8" t="s">
        <v>178</v>
      </c>
      <c r="D363" s="1"/>
      <c r="E363" s="1">
        <f t="shared" si="13"/>
        <v>20</v>
      </c>
      <c r="F363" s="1"/>
      <c r="G363" s="1"/>
      <c r="H363" s="1"/>
      <c r="I363" s="1"/>
      <c r="J363" s="1"/>
      <c r="K363" s="1"/>
      <c r="L363" s="1"/>
      <c r="M363" s="1"/>
      <c r="N363" s="1">
        <v>14</v>
      </c>
      <c r="O363" s="1">
        <v>10</v>
      </c>
      <c r="R363" s="1">
        <v>20</v>
      </c>
    </row>
    <row r="364" spans="1:18" x14ac:dyDescent="0.25">
      <c r="A364" s="8" t="s">
        <v>173</v>
      </c>
      <c r="B364" s="24" t="s">
        <v>533</v>
      </c>
      <c r="C364" s="8" t="s">
        <v>178</v>
      </c>
      <c r="D364" s="1"/>
      <c r="E364" s="1">
        <f t="shared" si="13"/>
        <v>20</v>
      </c>
      <c r="F364" s="1"/>
      <c r="G364" s="1"/>
      <c r="H364" s="1"/>
      <c r="I364" s="1"/>
      <c r="J364" s="1"/>
      <c r="K364" s="1"/>
      <c r="L364" s="1"/>
      <c r="M364" s="1"/>
      <c r="N364" s="1">
        <v>12</v>
      </c>
      <c r="O364" s="1">
        <v>10</v>
      </c>
      <c r="R364" s="1">
        <v>20</v>
      </c>
    </row>
    <row r="365" spans="1:18" x14ac:dyDescent="0.25">
      <c r="A365" s="8" t="s">
        <v>173</v>
      </c>
      <c r="B365" s="24" t="s">
        <v>915</v>
      </c>
      <c r="C365" s="8" t="s">
        <v>1032</v>
      </c>
      <c r="D365" s="1"/>
      <c r="E365" s="1">
        <v>15</v>
      </c>
      <c r="F365" s="1"/>
      <c r="G365" s="1"/>
      <c r="H365" s="1"/>
      <c r="I365" s="1"/>
      <c r="J365" s="1"/>
      <c r="K365" s="1"/>
      <c r="L365" s="1"/>
      <c r="M365" s="1"/>
      <c r="N365" s="1">
        <v>18</v>
      </c>
      <c r="O365" s="1">
        <v>10</v>
      </c>
      <c r="P365">
        <v>-15</v>
      </c>
      <c r="R365" s="1"/>
    </row>
    <row r="366" spans="1:18" x14ac:dyDescent="0.25">
      <c r="A366" s="8" t="s">
        <v>173</v>
      </c>
      <c r="B366" s="8" t="s">
        <v>51</v>
      </c>
      <c r="C366" s="8" t="s">
        <v>1032</v>
      </c>
      <c r="D366" s="1"/>
      <c r="E366" s="1">
        <v>15</v>
      </c>
      <c r="F366" s="1"/>
      <c r="G366" s="1"/>
      <c r="H366" s="1"/>
      <c r="I366" s="1"/>
      <c r="J366" s="1"/>
      <c r="K366" s="1"/>
      <c r="L366" s="1"/>
      <c r="M366" s="1"/>
      <c r="N366" s="1">
        <v>18</v>
      </c>
      <c r="O366" s="1">
        <v>10</v>
      </c>
      <c r="P366">
        <v>-15</v>
      </c>
    </row>
    <row r="367" spans="1:18" x14ac:dyDescent="0.25">
      <c r="A367" s="8" t="s">
        <v>173</v>
      </c>
      <c r="B367" s="8" t="s">
        <v>52</v>
      </c>
      <c r="C367" s="8" t="s">
        <v>1032</v>
      </c>
      <c r="D367" s="1"/>
      <c r="E367" s="1">
        <v>15</v>
      </c>
      <c r="F367" s="1"/>
      <c r="G367" s="1"/>
      <c r="H367" s="1"/>
      <c r="I367" s="1"/>
      <c r="J367" s="1"/>
      <c r="K367" s="1"/>
      <c r="L367" s="1"/>
      <c r="M367" s="1"/>
      <c r="N367" s="1">
        <v>21</v>
      </c>
      <c r="O367" s="1">
        <v>15</v>
      </c>
    </row>
    <row r="368" spans="1:18" x14ac:dyDescent="0.25">
      <c r="A368" s="8" t="s">
        <v>173</v>
      </c>
      <c r="B368" s="8" t="s">
        <v>53</v>
      </c>
      <c r="C368" s="8" t="s">
        <v>1032</v>
      </c>
      <c r="D368" s="1"/>
      <c r="E368" s="1">
        <f>R368</f>
        <v>10</v>
      </c>
      <c r="F368" s="1"/>
      <c r="G368" s="1"/>
      <c r="H368" s="1"/>
      <c r="I368" s="1"/>
      <c r="J368" s="1"/>
      <c r="K368" s="1"/>
      <c r="L368" s="1"/>
      <c r="M368" s="1"/>
      <c r="N368" s="1">
        <v>19</v>
      </c>
      <c r="O368" s="1">
        <v>20</v>
      </c>
      <c r="R368" s="1">
        <v>10</v>
      </c>
    </row>
    <row r="369" spans="1:19" x14ac:dyDescent="0.25">
      <c r="A369" s="8" t="s">
        <v>173</v>
      </c>
      <c r="B369" s="8" t="s">
        <v>54</v>
      </c>
      <c r="C369" s="8" t="s">
        <v>178</v>
      </c>
      <c r="D369" s="1"/>
      <c r="E369" s="1">
        <v>15</v>
      </c>
      <c r="F369" s="1"/>
      <c r="G369" s="1"/>
      <c r="H369" s="1"/>
      <c r="I369" s="1"/>
      <c r="J369" s="1"/>
      <c r="K369" s="1"/>
      <c r="L369" s="1"/>
      <c r="M369" s="1"/>
      <c r="N369" s="1">
        <v>17</v>
      </c>
      <c r="O369" s="1">
        <v>15</v>
      </c>
      <c r="P369">
        <v>-20</v>
      </c>
    </row>
    <row r="370" spans="1:19" x14ac:dyDescent="0.25">
      <c r="A370" s="8" t="s">
        <v>173</v>
      </c>
      <c r="B370" s="8" t="s">
        <v>55</v>
      </c>
      <c r="C370" s="8" t="s">
        <v>179</v>
      </c>
      <c r="D370" s="1"/>
      <c r="E370" s="1"/>
      <c r="F370" s="1">
        <f t="shared" ref="F370:F376" si="14">S370</f>
        <v>6</v>
      </c>
      <c r="G370" s="1"/>
      <c r="H370" s="1"/>
      <c r="I370" s="1"/>
      <c r="J370" s="1"/>
      <c r="K370" s="1"/>
      <c r="L370" s="1"/>
      <c r="M370" s="1"/>
      <c r="N370" s="1">
        <v>8</v>
      </c>
      <c r="O370" s="1">
        <v>20</v>
      </c>
      <c r="P370">
        <v>-5</v>
      </c>
      <c r="S370">
        <v>6</v>
      </c>
    </row>
    <row r="371" spans="1:19" x14ac:dyDescent="0.25">
      <c r="A371" s="8" t="s">
        <v>173</v>
      </c>
      <c r="B371" s="8" t="s">
        <v>56</v>
      </c>
      <c r="C371" s="8" t="s">
        <v>179</v>
      </c>
      <c r="D371" s="1"/>
      <c r="E371" s="1"/>
      <c r="F371" s="1">
        <f t="shared" si="14"/>
        <v>6</v>
      </c>
      <c r="G371" s="1"/>
      <c r="H371" s="1"/>
      <c r="I371" s="1"/>
      <c r="J371" s="1"/>
      <c r="K371" s="1"/>
      <c r="L371" s="1"/>
      <c r="M371" s="1"/>
      <c r="N371" s="1">
        <v>8</v>
      </c>
      <c r="O371" s="1">
        <v>20</v>
      </c>
      <c r="S371">
        <v>6</v>
      </c>
    </row>
    <row r="372" spans="1:19" x14ac:dyDescent="0.25">
      <c r="A372" s="8" t="s">
        <v>173</v>
      </c>
      <c r="B372" t="s">
        <v>618</v>
      </c>
      <c r="C372" s="8" t="s">
        <v>179</v>
      </c>
      <c r="D372" s="1"/>
      <c r="E372" s="1"/>
      <c r="F372" s="1">
        <f t="shared" si="14"/>
        <v>12</v>
      </c>
      <c r="G372" s="1"/>
      <c r="H372" s="1"/>
      <c r="I372" s="1"/>
      <c r="J372" s="1"/>
      <c r="K372" s="1"/>
      <c r="L372" s="1"/>
      <c r="M372" s="1"/>
      <c r="N372" s="1">
        <v>10</v>
      </c>
      <c r="O372" s="1">
        <v>15</v>
      </c>
      <c r="S372">
        <v>12</v>
      </c>
    </row>
    <row r="373" spans="1:19" x14ac:dyDescent="0.25">
      <c r="A373" s="8" t="s">
        <v>173</v>
      </c>
      <c r="B373" s="8" t="s">
        <v>534</v>
      </c>
      <c r="C373" s="8" t="s">
        <v>179</v>
      </c>
      <c r="D373" s="1"/>
      <c r="E373" s="1"/>
      <c r="F373" s="1">
        <f t="shared" si="14"/>
        <v>-11</v>
      </c>
      <c r="G373" s="1"/>
      <c r="H373" s="1"/>
      <c r="I373" s="1"/>
      <c r="J373" s="1"/>
      <c r="K373" s="1"/>
      <c r="L373" s="1"/>
      <c r="M373" s="1"/>
      <c r="N373" s="1">
        <v>12</v>
      </c>
      <c r="O373" s="1">
        <v>37</v>
      </c>
      <c r="P373">
        <v>-10</v>
      </c>
      <c r="S373">
        <v>-11</v>
      </c>
    </row>
    <row r="374" spans="1:19" x14ac:dyDescent="0.25">
      <c r="A374" s="8" t="s">
        <v>173</v>
      </c>
      <c r="B374" s="8" t="s">
        <v>57</v>
      </c>
      <c r="C374" s="8" t="s">
        <v>179</v>
      </c>
      <c r="D374" s="1"/>
      <c r="E374" s="1"/>
      <c r="F374" s="1">
        <f t="shared" si="14"/>
        <v>12</v>
      </c>
      <c r="G374" s="1"/>
      <c r="H374" s="1"/>
      <c r="I374" s="1"/>
      <c r="J374" s="1"/>
      <c r="K374" s="1"/>
      <c r="L374" s="1"/>
      <c r="M374" s="1"/>
      <c r="N374" s="1">
        <v>8</v>
      </c>
      <c r="O374" s="1">
        <v>15</v>
      </c>
      <c r="S374">
        <v>12</v>
      </c>
    </row>
    <row r="375" spans="1:19" x14ac:dyDescent="0.25">
      <c r="A375" s="8" t="s">
        <v>173</v>
      </c>
      <c r="B375" s="8" t="s">
        <v>58</v>
      </c>
      <c r="C375" s="8" t="s">
        <v>179</v>
      </c>
      <c r="D375" s="1"/>
      <c r="E375" s="1"/>
      <c r="F375" s="1">
        <f t="shared" si="14"/>
        <v>15</v>
      </c>
      <c r="G375" s="1"/>
      <c r="H375" s="1"/>
      <c r="I375" s="1"/>
      <c r="J375" s="1"/>
      <c r="K375" s="1"/>
      <c r="L375" s="1"/>
      <c r="M375" s="1"/>
      <c r="N375" s="1">
        <v>10</v>
      </c>
      <c r="O375" s="1">
        <v>15</v>
      </c>
      <c r="S375">
        <v>15</v>
      </c>
    </row>
    <row r="376" spans="1:19" x14ac:dyDescent="0.25">
      <c r="A376" s="8" t="s">
        <v>173</v>
      </c>
      <c r="B376" s="8" t="s">
        <v>59</v>
      </c>
      <c r="C376" s="8" t="s">
        <v>179</v>
      </c>
      <c r="D376" s="1"/>
      <c r="E376" s="1"/>
      <c r="F376" s="1">
        <f t="shared" si="14"/>
        <v>12</v>
      </c>
      <c r="G376" s="1" t="s">
        <v>184</v>
      </c>
      <c r="H376" s="1"/>
      <c r="I376" s="1"/>
      <c r="J376" s="1"/>
      <c r="K376" s="1"/>
      <c r="L376" s="1"/>
      <c r="M376" s="1"/>
      <c r="N376" s="1">
        <v>10</v>
      </c>
      <c r="O376" s="1">
        <v>15</v>
      </c>
      <c r="S376">
        <v>12</v>
      </c>
    </row>
    <row r="377" spans="1:19" x14ac:dyDescent="0.25">
      <c r="A377" s="8" t="s">
        <v>173</v>
      </c>
      <c r="B377" s="8" t="s">
        <v>60</v>
      </c>
      <c r="C377" s="8" t="s">
        <v>1038</v>
      </c>
      <c r="D377" s="1"/>
      <c r="E377" s="1"/>
      <c r="F377" s="1">
        <v>10</v>
      </c>
      <c r="G377" s="1"/>
      <c r="H377" s="1"/>
      <c r="I377" s="1"/>
      <c r="J377" s="1"/>
      <c r="K377" s="1"/>
      <c r="L377" s="1"/>
      <c r="M377" s="1"/>
      <c r="N377" s="1">
        <v>8</v>
      </c>
      <c r="O377" s="1">
        <v>10</v>
      </c>
      <c r="P377">
        <v>-5</v>
      </c>
    </row>
    <row r="378" spans="1:19" x14ac:dyDescent="0.25">
      <c r="A378" s="8" t="s">
        <v>173</v>
      </c>
      <c r="B378" s="8" t="s">
        <v>61</v>
      </c>
      <c r="C378" s="8" t="s">
        <v>179</v>
      </c>
      <c r="D378" s="1"/>
      <c r="E378" s="1"/>
      <c r="F378" s="1">
        <f t="shared" ref="F378:F383" si="15">S378</f>
        <v>-9</v>
      </c>
      <c r="G378" s="1"/>
      <c r="H378" s="1"/>
      <c r="I378" s="1"/>
      <c r="J378" s="1"/>
      <c r="K378" s="1"/>
      <c r="L378" s="1"/>
      <c r="M378" s="1"/>
      <c r="N378" s="1">
        <v>12</v>
      </c>
      <c r="O378" s="1">
        <v>37</v>
      </c>
      <c r="P378">
        <v>-10</v>
      </c>
      <c r="S378">
        <v>-9</v>
      </c>
    </row>
    <row r="379" spans="1:19" x14ac:dyDescent="0.25">
      <c r="A379" s="8" t="s">
        <v>173</v>
      </c>
      <c r="B379" s="8" t="s">
        <v>62</v>
      </c>
      <c r="C379" s="8" t="s">
        <v>179</v>
      </c>
      <c r="D379" s="1"/>
      <c r="E379" s="1"/>
      <c r="F379" s="1">
        <f t="shared" si="15"/>
        <v>20</v>
      </c>
      <c r="G379" s="1"/>
      <c r="H379" s="1"/>
      <c r="I379" s="1"/>
      <c r="J379" s="1"/>
      <c r="K379" s="1"/>
      <c r="L379" s="1"/>
      <c r="M379" s="1"/>
      <c r="N379" s="1">
        <v>11</v>
      </c>
      <c r="O379" s="1">
        <v>10</v>
      </c>
      <c r="S379">
        <v>20</v>
      </c>
    </row>
    <row r="380" spans="1:19" x14ac:dyDescent="0.25">
      <c r="A380" s="8" t="s">
        <v>173</v>
      </c>
      <c r="B380" s="8" t="s">
        <v>1131</v>
      </c>
      <c r="C380" s="8" t="s">
        <v>179</v>
      </c>
      <c r="D380" s="1"/>
      <c r="E380" s="1"/>
      <c r="F380" s="1">
        <f t="shared" si="15"/>
        <v>20</v>
      </c>
      <c r="G380" s="1"/>
      <c r="H380" s="1"/>
      <c r="I380" s="1"/>
      <c r="J380" s="1"/>
      <c r="K380" s="1"/>
      <c r="L380" s="1"/>
      <c r="M380" s="1"/>
      <c r="N380" s="1">
        <v>16</v>
      </c>
      <c r="O380" s="1">
        <v>15</v>
      </c>
      <c r="S380">
        <v>20</v>
      </c>
    </row>
    <row r="381" spans="1:19" x14ac:dyDescent="0.25">
      <c r="A381" s="8" t="s">
        <v>173</v>
      </c>
      <c r="B381" s="24" t="s">
        <v>63</v>
      </c>
      <c r="C381" s="8" t="s">
        <v>1038</v>
      </c>
      <c r="D381" s="1"/>
      <c r="E381" s="1"/>
      <c r="F381" s="1">
        <f t="shared" si="15"/>
        <v>20</v>
      </c>
      <c r="G381" s="1"/>
      <c r="H381" s="1"/>
      <c r="I381" s="1"/>
      <c r="J381" s="1"/>
      <c r="K381" s="1"/>
      <c r="L381" s="1"/>
      <c r="M381" s="1"/>
      <c r="N381" s="1">
        <v>8</v>
      </c>
      <c r="O381" s="1">
        <v>10</v>
      </c>
      <c r="S381">
        <v>20</v>
      </c>
    </row>
    <row r="382" spans="1:19" x14ac:dyDescent="0.25">
      <c r="A382" s="8" t="s">
        <v>173</v>
      </c>
      <c r="B382" s="8" t="s">
        <v>64</v>
      </c>
      <c r="C382" s="8" t="s">
        <v>179</v>
      </c>
      <c r="D382" s="1"/>
      <c r="E382" s="1"/>
      <c r="F382" s="1">
        <f t="shared" si="15"/>
        <v>6</v>
      </c>
      <c r="G382" s="1"/>
      <c r="H382" s="1"/>
      <c r="I382" s="1"/>
      <c r="J382" s="1"/>
      <c r="K382" s="1"/>
      <c r="L382" s="1"/>
      <c r="M382" s="1"/>
      <c r="N382" s="1">
        <v>8</v>
      </c>
      <c r="O382" s="1">
        <v>20</v>
      </c>
      <c r="S382">
        <v>6</v>
      </c>
    </row>
    <row r="383" spans="1:19" x14ac:dyDescent="0.25">
      <c r="A383" s="8" t="s">
        <v>173</v>
      </c>
      <c r="B383" s="8" t="s">
        <v>1217</v>
      </c>
      <c r="C383" s="8" t="s">
        <v>179</v>
      </c>
      <c r="D383" s="1"/>
      <c r="E383" s="1"/>
      <c r="F383" s="1">
        <f t="shared" si="15"/>
        <v>15</v>
      </c>
      <c r="G383" s="1"/>
      <c r="H383" s="1"/>
      <c r="I383" s="1"/>
      <c r="J383" s="1"/>
      <c r="K383" s="1"/>
      <c r="L383" s="1"/>
      <c r="M383" s="1"/>
      <c r="N383" s="1">
        <v>9</v>
      </c>
      <c r="O383" s="1">
        <v>15</v>
      </c>
      <c r="S383">
        <v>15</v>
      </c>
    </row>
    <row r="384" spans="1:19" x14ac:dyDescent="0.25">
      <c r="A384" s="8" t="s">
        <v>173</v>
      </c>
      <c r="B384" s="8" t="s">
        <v>65</v>
      </c>
      <c r="C384" s="8" t="s">
        <v>179</v>
      </c>
      <c r="D384" s="1"/>
      <c r="E384" s="1"/>
      <c r="F384" s="1">
        <f t="shared" ref="F384:F391" si="16">S384</f>
        <v>10</v>
      </c>
      <c r="G384" s="1"/>
      <c r="H384" s="1"/>
      <c r="I384" s="1"/>
      <c r="J384" s="1"/>
      <c r="K384" s="1"/>
      <c r="L384" s="1"/>
      <c r="M384" s="1"/>
      <c r="N384" s="1">
        <v>8</v>
      </c>
      <c r="O384" s="1">
        <v>15</v>
      </c>
      <c r="S384">
        <v>10</v>
      </c>
    </row>
    <row r="385" spans="1:19" x14ac:dyDescent="0.25">
      <c r="A385" s="8" t="s">
        <v>173</v>
      </c>
      <c r="B385" s="8" t="s">
        <v>66</v>
      </c>
      <c r="C385" s="8" t="s">
        <v>179</v>
      </c>
      <c r="D385" s="1"/>
      <c r="E385" s="1"/>
      <c r="F385" s="1">
        <f t="shared" si="16"/>
        <v>10</v>
      </c>
      <c r="G385" s="1"/>
      <c r="H385" s="1"/>
      <c r="I385" s="1"/>
      <c r="J385" s="1"/>
      <c r="K385" s="1"/>
      <c r="L385" s="1"/>
      <c r="M385" s="1"/>
      <c r="N385" s="1">
        <v>10</v>
      </c>
      <c r="O385" s="1">
        <v>15</v>
      </c>
      <c r="S385">
        <v>10</v>
      </c>
    </row>
    <row r="386" spans="1:19" x14ac:dyDescent="0.25">
      <c r="A386" s="8" t="s">
        <v>173</v>
      </c>
      <c r="B386" s="8" t="s">
        <v>67</v>
      </c>
      <c r="C386" s="8" t="s">
        <v>179</v>
      </c>
      <c r="D386" s="1"/>
      <c r="E386" s="1"/>
      <c r="F386" s="1">
        <f t="shared" si="16"/>
        <v>15</v>
      </c>
      <c r="G386" s="1"/>
      <c r="H386" s="1"/>
      <c r="I386" s="1"/>
      <c r="J386" s="1"/>
      <c r="K386" s="1"/>
      <c r="L386" s="1"/>
      <c r="M386" s="1"/>
      <c r="N386" s="1">
        <v>11</v>
      </c>
      <c r="O386" s="1">
        <v>15</v>
      </c>
      <c r="S386">
        <v>15</v>
      </c>
    </row>
    <row r="387" spans="1:19" x14ac:dyDescent="0.25">
      <c r="A387" s="8" t="s">
        <v>173</v>
      </c>
      <c r="B387" s="8" t="s">
        <v>68</v>
      </c>
      <c r="C387" s="8" t="s">
        <v>179</v>
      </c>
      <c r="D387" s="1"/>
      <c r="E387" s="1"/>
      <c r="F387" s="1">
        <f t="shared" si="16"/>
        <v>20</v>
      </c>
      <c r="G387" s="1"/>
      <c r="H387" s="1"/>
      <c r="I387" s="1"/>
      <c r="J387" s="1"/>
      <c r="K387" s="1"/>
      <c r="L387" s="1"/>
      <c r="M387" s="1"/>
      <c r="N387" s="1">
        <v>10</v>
      </c>
      <c r="O387" s="1">
        <v>10</v>
      </c>
      <c r="S387">
        <v>20</v>
      </c>
    </row>
    <row r="388" spans="1:19" x14ac:dyDescent="0.25">
      <c r="A388" s="8" t="s">
        <v>173</v>
      </c>
      <c r="B388" s="8" t="s">
        <v>69</v>
      </c>
      <c r="C388" s="8" t="s">
        <v>179</v>
      </c>
      <c r="D388" s="1"/>
      <c r="E388" s="1"/>
      <c r="F388" s="1">
        <f t="shared" si="16"/>
        <v>11</v>
      </c>
      <c r="G388" s="1"/>
      <c r="H388" s="1"/>
      <c r="I388" s="1"/>
      <c r="J388" s="1"/>
      <c r="K388" s="1"/>
      <c r="L388" s="1"/>
      <c r="M388" s="1"/>
      <c r="N388" s="1">
        <v>8</v>
      </c>
      <c r="O388" s="1">
        <v>15</v>
      </c>
      <c r="S388">
        <v>11</v>
      </c>
    </row>
    <row r="389" spans="1:19" x14ac:dyDescent="0.25">
      <c r="A389" s="8" t="s">
        <v>173</v>
      </c>
      <c r="B389" s="8" t="s">
        <v>70</v>
      </c>
      <c r="C389" s="8" t="s">
        <v>179</v>
      </c>
      <c r="D389" s="1"/>
      <c r="E389" s="1"/>
      <c r="F389" s="1">
        <f t="shared" si="16"/>
        <v>11</v>
      </c>
      <c r="G389" s="1"/>
      <c r="H389" s="1"/>
      <c r="I389" s="1"/>
      <c r="J389" s="1"/>
      <c r="K389" s="1"/>
      <c r="L389" s="1"/>
      <c r="M389" s="1"/>
      <c r="N389" s="1">
        <v>9</v>
      </c>
      <c r="O389" s="1">
        <v>15</v>
      </c>
      <c r="S389">
        <v>11</v>
      </c>
    </row>
    <row r="390" spans="1:19" x14ac:dyDescent="0.25">
      <c r="A390" s="8" t="s">
        <v>173</v>
      </c>
      <c r="B390" s="8" t="s">
        <v>71</v>
      </c>
      <c r="C390" s="8" t="s">
        <v>179</v>
      </c>
      <c r="D390" s="1"/>
      <c r="E390" s="1"/>
      <c r="F390" s="1">
        <f t="shared" si="16"/>
        <v>11</v>
      </c>
      <c r="G390" s="1"/>
      <c r="H390" s="1"/>
      <c r="I390" s="1"/>
      <c r="J390" s="1"/>
      <c r="K390" s="1"/>
      <c r="L390" s="1"/>
      <c r="M390" s="1"/>
      <c r="N390" s="1">
        <v>10</v>
      </c>
      <c r="O390" s="1">
        <v>15</v>
      </c>
      <c r="S390">
        <v>11</v>
      </c>
    </row>
    <row r="391" spans="1:19" x14ac:dyDescent="0.25">
      <c r="A391" s="8" t="s">
        <v>173</v>
      </c>
      <c r="B391" s="8" t="s">
        <v>914</v>
      </c>
      <c r="C391" s="8" t="s">
        <v>179</v>
      </c>
      <c r="D391" s="1"/>
      <c r="E391" s="1"/>
      <c r="F391" s="1">
        <f t="shared" si="16"/>
        <v>11</v>
      </c>
      <c r="G391" s="1"/>
      <c r="H391" s="1"/>
      <c r="I391" s="1"/>
      <c r="J391" s="1"/>
      <c r="K391" s="1"/>
      <c r="L391" s="1"/>
      <c r="M391" s="1"/>
      <c r="N391" s="1">
        <v>11</v>
      </c>
      <c r="O391" s="1">
        <v>15</v>
      </c>
      <c r="S391">
        <v>11</v>
      </c>
    </row>
    <row r="392" spans="1:19" x14ac:dyDescent="0.25">
      <c r="A392" s="8" t="s">
        <v>173</v>
      </c>
      <c r="B392" s="8" t="s">
        <v>72</v>
      </c>
      <c r="C392" s="8" t="s">
        <v>179</v>
      </c>
      <c r="D392" s="1"/>
      <c r="E392" s="1"/>
      <c r="F392" s="1">
        <v>10</v>
      </c>
      <c r="G392" s="1"/>
      <c r="H392" s="1"/>
      <c r="I392" s="1"/>
      <c r="J392" s="1"/>
      <c r="K392" s="1"/>
      <c r="L392" s="1"/>
      <c r="M392" s="1"/>
      <c r="N392" s="1">
        <v>8</v>
      </c>
      <c r="O392" s="1">
        <v>15</v>
      </c>
      <c r="P392">
        <v>-5</v>
      </c>
      <c r="S392">
        <v>6</v>
      </c>
    </row>
    <row r="393" spans="1:19" x14ac:dyDescent="0.25">
      <c r="A393" s="8" t="s">
        <v>173</v>
      </c>
      <c r="B393" s="8" t="s">
        <v>73</v>
      </c>
      <c r="C393" s="8" t="s">
        <v>179</v>
      </c>
      <c r="D393" s="1"/>
      <c r="E393" s="1"/>
      <c r="F393" s="1">
        <f t="shared" ref="F393:F399" si="17">S393</f>
        <v>11</v>
      </c>
      <c r="G393" s="1"/>
      <c r="H393" s="1"/>
      <c r="I393" s="1"/>
      <c r="J393" s="1"/>
      <c r="K393" s="1"/>
      <c r="L393" s="1"/>
      <c r="M393" s="1"/>
      <c r="N393" s="1">
        <v>11</v>
      </c>
      <c r="O393" s="1">
        <v>15</v>
      </c>
      <c r="S393">
        <v>11</v>
      </c>
    </row>
    <row r="394" spans="1:19" x14ac:dyDescent="0.25">
      <c r="A394" s="8" t="s">
        <v>173</v>
      </c>
      <c r="B394" s="8" t="s">
        <v>74</v>
      </c>
      <c r="C394" s="8" t="s">
        <v>179</v>
      </c>
      <c r="D394" s="1"/>
      <c r="E394" s="1"/>
      <c r="F394" s="1">
        <f t="shared" si="17"/>
        <v>11</v>
      </c>
      <c r="G394" s="1"/>
      <c r="H394" s="1"/>
      <c r="I394" s="1"/>
      <c r="J394" s="1"/>
      <c r="K394" s="1"/>
      <c r="L394" s="1"/>
      <c r="M394" s="1"/>
      <c r="N394" s="1">
        <v>10</v>
      </c>
      <c r="O394" s="1">
        <v>15</v>
      </c>
      <c r="S394">
        <v>11</v>
      </c>
    </row>
    <row r="395" spans="1:19" x14ac:dyDescent="0.25">
      <c r="A395" s="8" t="s">
        <v>173</v>
      </c>
      <c r="B395" s="8" t="s">
        <v>535</v>
      </c>
      <c r="C395" s="8" t="s">
        <v>1038</v>
      </c>
      <c r="D395" s="1"/>
      <c r="E395" s="1"/>
      <c r="F395" s="1">
        <f t="shared" si="17"/>
        <v>11</v>
      </c>
      <c r="G395" s="1"/>
      <c r="H395" s="1"/>
      <c r="I395" s="1"/>
      <c r="J395" s="1"/>
      <c r="K395" s="1"/>
      <c r="L395" s="1"/>
      <c r="M395" s="1"/>
      <c r="N395" s="1">
        <v>11</v>
      </c>
      <c r="O395" s="1">
        <v>15</v>
      </c>
      <c r="S395">
        <v>11</v>
      </c>
    </row>
    <row r="396" spans="1:19" x14ac:dyDescent="0.25">
      <c r="A396" s="8" t="s">
        <v>173</v>
      </c>
      <c r="B396" s="8" t="s">
        <v>75</v>
      </c>
      <c r="C396" s="8" t="s">
        <v>179</v>
      </c>
      <c r="D396" s="1"/>
      <c r="E396" s="1"/>
      <c r="F396" s="1">
        <f t="shared" si="17"/>
        <v>11</v>
      </c>
      <c r="G396" s="1"/>
      <c r="H396" s="1"/>
      <c r="I396" s="1"/>
      <c r="J396" s="1"/>
      <c r="K396" s="1"/>
      <c r="L396" s="1"/>
      <c r="M396" s="1"/>
      <c r="N396" s="1">
        <v>11</v>
      </c>
      <c r="O396" s="1">
        <v>15</v>
      </c>
      <c r="S396">
        <v>11</v>
      </c>
    </row>
    <row r="397" spans="1:19" x14ac:dyDescent="0.25">
      <c r="A397" s="8" t="s">
        <v>173</v>
      </c>
      <c r="B397" s="8" t="s">
        <v>76</v>
      </c>
      <c r="C397" s="8" t="s">
        <v>179</v>
      </c>
      <c r="D397" s="1"/>
      <c r="E397" s="1"/>
      <c r="F397" s="1">
        <f t="shared" si="17"/>
        <v>11</v>
      </c>
      <c r="G397" s="1"/>
      <c r="H397" s="1"/>
      <c r="I397" s="1"/>
      <c r="J397" s="1"/>
      <c r="K397" s="1"/>
      <c r="L397" s="1"/>
      <c r="M397" s="1"/>
      <c r="N397" s="1">
        <v>11</v>
      </c>
      <c r="O397" s="1">
        <v>15</v>
      </c>
      <c r="S397">
        <v>11</v>
      </c>
    </row>
    <row r="398" spans="1:19" x14ac:dyDescent="0.25">
      <c r="A398" s="8" t="s">
        <v>173</v>
      </c>
      <c r="B398" s="8" t="s">
        <v>77</v>
      </c>
      <c r="C398" s="8" t="s">
        <v>179</v>
      </c>
      <c r="D398" s="1"/>
      <c r="E398" s="1"/>
      <c r="F398" s="1">
        <f t="shared" si="17"/>
        <v>13</v>
      </c>
      <c r="G398" s="1"/>
      <c r="H398" s="1"/>
      <c r="I398" s="1"/>
      <c r="J398" s="1"/>
      <c r="K398" s="1"/>
      <c r="L398" s="1"/>
      <c r="M398" s="1"/>
      <c r="N398" s="1">
        <v>11</v>
      </c>
      <c r="O398" s="1">
        <v>15</v>
      </c>
      <c r="S398">
        <v>13</v>
      </c>
    </row>
    <row r="399" spans="1:19" x14ac:dyDescent="0.25">
      <c r="A399" s="8" t="s">
        <v>173</v>
      </c>
      <c r="B399" t="s">
        <v>619</v>
      </c>
      <c r="C399" s="8" t="s">
        <v>179</v>
      </c>
      <c r="D399" s="1"/>
      <c r="E399" s="1"/>
      <c r="F399" s="1">
        <f t="shared" si="17"/>
        <v>15</v>
      </c>
      <c r="G399" s="1"/>
      <c r="H399" s="1"/>
      <c r="I399" s="1"/>
      <c r="J399" s="1"/>
      <c r="K399" s="1"/>
      <c r="L399" s="1"/>
      <c r="M399" s="1"/>
      <c r="N399" s="1">
        <v>11</v>
      </c>
      <c r="O399" s="1">
        <v>15</v>
      </c>
      <c r="S399">
        <v>15</v>
      </c>
    </row>
    <row r="400" spans="1:19" x14ac:dyDescent="0.25">
      <c r="A400" s="8" t="s">
        <v>173</v>
      </c>
      <c r="B400" s="8" t="s">
        <v>78</v>
      </c>
      <c r="C400" s="8" t="s">
        <v>179</v>
      </c>
      <c r="D400" s="1"/>
      <c r="E400" s="1"/>
      <c r="F400" s="1">
        <v>15</v>
      </c>
      <c r="G400" s="1"/>
      <c r="H400" s="1"/>
      <c r="I400" s="1"/>
      <c r="J400" s="1"/>
      <c r="K400" s="1"/>
      <c r="L400" s="1"/>
      <c r="M400" s="1"/>
      <c r="N400" s="1">
        <v>8</v>
      </c>
      <c r="O400" s="1">
        <v>10</v>
      </c>
      <c r="P400">
        <v>-5</v>
      </c>
    </row>
    <row r="401" spans="1:19" x14ac:dyDescent="0.25">
      <c r="A401" s="8" t="s">
        <v>173</v>
      </c>
      <c r="B401" s="8" t="s">
        <v>79</v>
      </c>
      <c r="C401" s="8" t="s">
        <v>1038</v>
      </c>
      <c r="D401" s="1"/>
      <c r="E401" s="1"/>
      <c r="F401" s="1">
        <v>15</v>
      </c>
      <c r="G401" s="1"/>
      <c r="H401" s="1"/>
      <c r="I401" s="1"/>
      <c r="J401" s="1"/>
      <c r="K401" s="1"/>
      <c r="L401" s="1"/>
      <c r="M401" s="1"/>
      <c r="N401" s="1">
        <v>8</v>
      </c>
      <c r="O401" s="1">
        <v>10</v>
      </c>
      <c r="P401">
        <v>-5</v>
      </c>
    </row>
    <row r="402" spans="1:19" x14ac:dyDescent="0.25">
      <c r="A402" s="8" t="s">
        <v>173</v>
      </c>
      <c r="B402" s="8" t="s">
        <v>80</v>
      </c>
      <c r="C402" s="8" t="s">
        <v>179</v>
      </c>
      <c r="D402" s="1"/>
      <c r="E402" s="1"/>
      <c r="F402" s="1">
        <f t="shared" ref="F402:F408" si="18">S402</f>
        <v>15</v>
      </c>
      <c r="G402" s="1"/>
      <c r="H402" s="1"/>
      <c r="I402" s="1"/>
      <c r="J402" s="1"/>
      <c r="K402" s="1"/>
      <c r="L402" s="1"/>
      <c r="M402" s="1"/>
      <c r="N402" s="1">
        <v>9</v>
      </c>
      <c r="O402" s="1">
        <v>15</v>
      </c>
      <c r="S402">
        <v>15</v>
      </c>
    </row>
    <row r="403" spans="1:19" x14ac:dyDescent="0.25">
      <c r="A403" s="8" t="s">
        <v>173</v>
      </c>
      <c r="B403" s="8" t="s">
        <v>81</v>
      </c>
      <c r="C403" s="8" t="s">
        <v>1038</v>
      </c>
      <c r="D403" s="1"/>
      <c r="E403" s="1"/>
      <c r="F403" s="1">
        <f t="shared" si="18"/>
        <v>10</v>
      </c>
      <c r="G403" s="1"/>
      <c r="H403" s="1"/>
      <c r="I403" s="1"/>
      <c r="J403" s="1"/>
      <c r="K403" s="1"/>
      <c r="L403" s="1"/>
      <c r="M403" s="1"/>
      <c r="N403" s="1">
        <v>8</v>
      </c>
      <c r="O403" s="1">
        <v>15</v>
      </c>
      <c r="S403">
        <v>10</v>
      </c>
    </row>
    <row r="404" spans="1:19" x14ac:dyDescent="0.25">
      <c r="A404" s="8" t="s">
        <v>173</v>
      </c>
      <c r="B404" s="8" t="s">
        <v>82</v>
      </c>
      <c r="C404" s="8" t="s">
        <v>1038</v>
      </c>
      <c r="D404" s="1"/>
      <c r="E404" s="1"/>
      <c r="F404" s="1">
        <f t="shared" si="18"/>
        <v>10</v>
      </c>
      <c r="G404" s="1"/>
      <c r="H404" s="1"/>
      <c r="I404" s="1"/>
      <c r="J404" s="1"/>
      <c r="K404" s="1"/>
      <c r="L404" s="1"/>
      <c r="M404" s="1"/>
      <c r="N404" s="1">
        <v>8</v>
      </c>
      <c r="O404" s="1">
        <v>15</v>
      </c>
      <c r="S404">
        <v>10</v>
      </c>
    </row>
    <row r="405" spans="1:19" x14ac:dyDescent="0.25">
      <c r="A405" s="8" t="s">
        <v>173</v>
      </c>
      <c r="B405" s="8" t="s">
        <v>83</v>
      </c>
      <c r="C405" s="8" t="s">
        <v>1038</v>
      </c>
      <c r="D405" s="1"/>
      <c r="E405" s="1"/>
      <c r="F405" s="1">
        <f t="shared" si="18"/>
        <v>10</v>
      </c>
      <c r="G405" s="1"/>
      <c r="H405" s="1"/>
      <c r="I405" s="1"/>
      <c r="J405" s="1"/>
      <c r="K405" s="1"/>
      <c r="L405" s="1"/>
      <c r="M405" s="1"/>
      <c r="N405" s="1">
        <v>8</v>
      </c>
      <c r="O405" s="1">
        <v>15</v>
      </c>
      <c r="S405">
        <v>10</v>
      </c>
    </row>
    <row r="406" spans="1:19" x14ac:dyDescent="0.25">
      <c r="A406" s="8" t="s">
        <v>173</v>
      </c>
      <c r="B406" s="8" t="s">
        <v>84</v>
      </c>
      <c r="C406" s="8" t="s">
        <v>179</v>
      </c>
      <c r="D406" s="1"/>
      <c r="E406" s="1"/>
      <c r="F406" s="1">
        <f t="shared" si="18"/>
        <v>10</v>
      </c>
      <c r="G406" s="1"/>
      <c r="H406" s="1"/>
      <c r="I406" s="1"/>
      <c r="J406" s="1"/>
      <c r="K406" s="1"/>
      <c r="L406" s="1"/>
      <c r="M406" s="1"/>
      <c r="N406" s="1">
        <v>11</v>
      </c>
      <c r="O406" s="1">
        <v>15</v>
      </c>
      <c r="S406">
        <v>10</v>
      </c>
    </row>
    <row r="407" spans="1:19" x14ac:dyDescent="0.25">
      <c r="A407" s="8" t="s">
        <v>173</v>
      </c>
      <c r="B407" s="8" t="s">
        <v>85</v>
      </c>
      <c r="C407" s="8" t="s">
        <v>1038</v>
      </c>
      <c r="D407" s="1"/>
      <c r="E407" s="1"/>
      <c r="F407" s="1">
        <f t="shared" si="18"/>
        <v>10</v>
      </c>
      <c r="G407" s="1"/>
      <c r="H407" s="1"/>
      <c r="I407" s="1"/>
      <c r="J407" s="1"/>
      <c r="K407" s="1"/>
      <c r="L407" s="1"/>
      <c r="M407" s="1"/>
      <c r="N407" s="1">
        <v>9</v>
      </c>
      <c r="O407" s="1">
        <v>15</v>
      </c>
      <c r="S407">
        <v>10</v>
      </c>
    </row>
    <row r="408" spans="1:19" x14ac:dyDescent="0.25">
      <c r="A408" s="8" t="s">
        <v>173</v>
      </c>
      <c r="B408" s="8" t="s">
        <v>86</v>
      </c>
      <c r="C408" s="8" t="s">
        <v>1038</v>
      </c>
      <c r="D408" s="1"/>
      <c r="E408" s="1"/>
      <c r="F408" s="1">
        <f t="shared" si="18"/>
        <v>10</v>
      </c>
      <c r="G408" s="1"/>
      <c r="H408" s="1"/>
      <c r="I408" s="1"/>
      <c r="J408" s="1"/>
      <c r="K408" s="1"/>
      <c r="L408" s="1"/>
      <c r="M408" s="1"/>
      <c r="N408" s="1">
        <v>9</v>
      </c>
      <c r="O408" s="1">
        <v>15</v>
      </c>
      <c r="S408">
        <v>10</v>
      </c>
    </row>
    <row r="409" spans="1:19" x14ac:dyDescent="0.25">
      <c r="A409" s="8" t="s">
        <v>173</v>
      </c>
      <c r="B409" s="8" t="s">
        <v>87</v>
      </c>
      <c r="C409" s="8" t="s">
        <v>179</v>
      </c>
      <c r="D409" s="1"/>
      <c r="E409" s="1"/>
      <c r="F409" s="1">
        <f>S409</f>
        <v>15</v>
      </c>
      <c r="G409" s="1"/>
      <c r="H409" s="1"/>
      <c r="I409" s="1"/>
      <c r="J409" s="1"/>
      <c r="K409" s="1"/>
      <c r="L409" s="1"/>
      <c r="M409" s="1"/>
      <c r="N409" s="1">
        <v>14</v>
      </c>
      <c r="O409" s="1">
        <v>15</v>
      </c>
      <c r="S409">
        <v>15</v>
      </c>
    </row>
    <row r="410" spans="1:19" x14ac:dyDescent="0.25">
      <c r="A410" s="8" t="s">
        <v>173</v>
      </c>
      <c r="B410" s="8" t="s">
        <v>88</v>
      </c>
      <c r="C410" s="8" t="s">
        <v>179</v>
      </c>
      <c r="D410" s="1"/>
      <c r="E410" s="1"/>
      <c r="F410" s="1">
        <f>S410</f>
        <v>20</v>
      </c>
      <c r="G410" s="1"/>
      <c r="H410" s="1"/>
      <c r="I410" s="1"/>
      <c r="J410" s="1"/>
      <c r="K410" s="1"/>
      <c r="L410" s="1"/>
      <c r="M410" s="1"/>
      <c r="N410" s="1">
        <v>8</v>
      </c>
      <c r="O410" s="1">
        <v>20</v>
      </c>
      <c r="S410">
        <v>20</v>
      </c>
    </row>
    <row r="411" spans="1:19" x14ac:dyDescent="0.25">
      <c r="A411" s="8" t="s">
        <v>173</v>
      </c>
      <c r="B411" s="8" t="s">
        <v>89</v>
      </c>
      <c r="C411" s="8" t="s">
        <v>1038</v>
      </c>
      <c r="D411" s="1"/>
      <c r="E411" s="1"/>
      <c r="F411" s="1">
        <f t="shared" ref="F411:F420" si="19">S411</f>
        <v>15</v>
      </c>
      <c r="G411" s="1"/>
      <c r="H411" s="1"/>
      <c r="I411" s="1"/>
      <c r="J411" s="1"/>
      <c r="K411" s="1"/>
      <c r="L411" s="1"/>
      <c r="M411" s="1"/>
      <c r="N411" s="1">
        <v>14</v>
      </c>
      <c r="O411" s="1">
        <v>15</v>
      </c>
      <c r="S411">
        <v>15</v>
      </c>
    </row>
    <row r="412" spans="1:19" x14ac:dyDescent="0.25">
      <c r="A412" s="8" t="s">
        <v>173</v>
      </c>
      <c r="B412" t="s">
        <v>620</v>
      </c>
      <c r="C412" s="8" t="s">
        <v>179</v>
      </c>
      <c r="D412" s="1"/>
      <c r="E412" s="1"/>
      <c r="F412" s="1">
        <f t="shared" si="19"/>
        <v>15</v>
      </c>
      <c r="G412" s="1"/>
      <c r="H412" s="1"/>
      <c r="I412" s="1"/>
      <c r="J412" s="1"/>
      <c r="K412" s="1"/>
      <c r="L412" s="1"/>
      <c r="M412" s="1"/>
      <c r="N412" s="1">
        <v>10</v>
      </c>
      <c r="O412" s="1">
        <v>10</v>
      </c>
      <c r="S412">
        <v>15</v>
      </c>
    </row>
    <row r="413" spans="1:19" x14ac:dyDescent="0.25">
      <c r="A413" s="8" t="s">
        <v>173</v>
      </c>
      <c r="B413" s="8" t="s">
        <v>90</v>
      </c>
      <c r="C413" s="8" t="s">
        <v>179</v>
      </c>
      <c r="D413" s="1"/>
      <c r="E413" s="1"/>
      <c r="F413" s="1">
        <f t="shared" si="19"/>
        <v>15</v>
      </c>
      <c r="G413" s="1"/>
      <c r="H413" s="1"/>
      <c r="I413" s="1"/>
      <c r="J413" s="1"/>
      <c r="K413" s="1"/>
      <c r="L413" s="1"/>
      <c r="M413" s="1"/>
      <c r="N413" s="1">
        <v>10</v>
      </c>
      <c r="O413" s="1">
        <v>10</v>
      </c>
      <c r="S413">
        <v>15</v>
      </c>
    </row>
    <row r="414" spans="1:19" x14ac:dyDescent="0.25">
      <c r="A414" s="8" t="s">
        <v>173</v>
      </c>
      <c r="B414" s="8" t="s">
        <v>91</v>
      </c>
      <c r="C414" s="8" t="s">
        <v>179</v>
      </c>
      <c r="D414" s="1"/>
      <c r="E414" s="1"/>
      <c r="F414" s="1">
        <f t="shared" si="19"/>
        <v>11</v>
      </c>
      <c r="G414" s="1"/>
      <c r="H414" s="1"/>
      <c r="I414" s="1"/>
      <c r="J414" s="1"/>
      <c r="K414" s="1"/>
      <c r="L414" s="1"/>
      <c r="M414" s="1"/>
      <c r="N414" s="1">
        <v>10</v>
      </c>
      <c r="O414" s="1">
        <v>15</v>
      </c>
      <c r="S414">
        <v>11</v>
      </c>
    </row>
    <row r="415" spans="1:19" x14ac:dyDescent="0.25">
      <c r="A415" s="8" t="s">
        <v>173</v>
      </c>
      <c r="B415" s="8" t="s">
        <v>92</v>
      </c>
      <c r="C415" s="8" t="s">
        <v>1038</v>
      </c>
      <c r="D415" s="1"/>
      <c r="E415" s="1"/>
      <c r="F415" s="1">
        <f t="shared" si="19"/>
        <v>11</v>
      </c>
      <c r="G415" s="1"/>
      <c r="H415" s="1"/>
      <c r="I415" s="1"/>
      <c r="J415" s="1"/>
      <c r="K415" s="1"/>
      <c r="L415" s="1"/>
      <c r="M415" s="1"/>
      <c r="N415" s="1">
        <v>15</v>
      </c>
      <c r="O415" s="1">
        <v>15</v>
      </c>
      <c r="S415">
        <v>11</v>
      </c>
    </row>
    <row r="416" spans="1:19" x14ac:dyDescent="0.25">
      <c r="A416" s="8" t="s">
        <v>173</v>
      </c>
      <c r="B416" s="8" t="s">
        <v>93</v>
      </c>
      <c r="C416" s="8" t="s">
        <v>179</v>
      </c>
      <c r="D416" s="1"/>
      <c r="E416" s="1"/>
      <c r="F416" s="1">
        <f t="shared" si="19"/>
        <v>15</v>
      </c>
      <c r="G416" s="1"/>
      <c r="H416" s="1"/>
      <c r="I416" s="1"/>
      <c r="J416" s="1"/>
      <c r="K416" s="1"/>
      <c r="L416" s="1"/>
      <c r="M416" s="1"/>
      <c r="N416" s="1">
        <v>10</v>
      </c>
      <c r="O416" s="1">
        <v>10</v>
      </c>
      <c r="S416">
        <v>15</v>
      </c>
    </row>
    <row r="417" spans="1:19" x14ac:dyDescent="0.25">
      <c r="A417" s="8" t="s">
        <v>173</v>
      </c>
      <c r="B417" s="8" t="s">
        <v>94</v>
      </c>
      <c r="C417" s="8" t="s">
        <v>179</v>
      </c>
      <c r="D417" s="1"/>
      <c r="E417" s="1"/>
      <c r="F417" s="1">
        <f t="shared" si="19"/>
        <v>15</v>
      </c>
      <c r="G417" s="1"/>
      <c r="H417" s="1"/>
      <c r="I417" s="1"/>
      <c r="J417" s="1"/>
      <c r="K417" s="1"/>
      <c r="L417" s="1"/>
      <c r="M417" s="1"/>
      <c r="N417" s="1">
        <v>14</v>
      </c>
      <c r="O417" s="1">
        <v>10</v>
      </c>
      <c r="S417">
        <v>15</v>
      </c>
    </row>
    <row r="418" spans="1:19" x14ac:dyDescent="0.25">
      <c r="A418" s="8" t="s">
        <v>173</v>
      </c>
      <c r="B418" s="8" t="s">
        <v>95</v>
      </c>
      <c r="C418" s="8" t="s">
        <v>179</v>
      </c>
      <c r="D418" s="1"/>
      <c r="E418" s="1"/>
      <c r="F418" s="1">
        <f t="shared" si="19"/>
        <v>20</v>
      </c>
      <c r="G418" s="1"/>
      <c r="H418" s="1"/>
      <c r="I418" s="1"/>
      <c r="J418" s="1"/>
      <c r="K418" s="1"/>
      <c r="L418" s="1"/>
      <c r="M418" s="1"/>
      <c r="N418" s="1">
        <v>12</v>
      </c>
      <c r="O418" s="1">
        <v>10</v>
      </c>
      <c r="S418">
        <v>20</v>
      </c>
    </row>
    <row r="419" spans="1:19" x14ac:dyDescent="0.25">
      <c r="A419" s="8" t="s">
        <v>173</v>
      </c>
      <c r="B419" s="8" t="s">
        <v>96</v>
      </c>
      <c r="C419" s="8" t="s">
        <v>179</v>
      </c>
      <c r="D419" s="1"/>
      <c r="E419" s="1"/>
      <c r="F419" s="1">
        <f t="shared" si="19"/>
        <v>20</v>
      </c>
      <c r="G419" s="1"/>
      <c r="H419" s="1"/>
      <c r="I419" s="1"/>
      <c r="J419" s="1"/>
      <c r="K419" s="1"/>
      <c r="L419" s="1"/>
      <c r="M419" s="1"/>
      <c r="N419" s="1">
        <v>17</v>
      </c>
      <c r="O419" s="1">
        <v>10</v>
      </c>
      <c r="S419">
        <v>20</v>
      </c>
    </row>
    <row r="420" spans="1:19" x14ac:dyDescent="0.25">
      <c r="A420" s="8" t="s">
        <v>173</v>
      </c>
      <c r="B420" s="8" t="s">
        <v>97</v>
      </c>
      <c r="C420" s="8" t="s">
        <v>1038</v>
      </c>
      <c r="D420" s="1"/>
      <c r="E420" s="1"/>
      <c r="F420" s="1">
        <f t="shared" si="19"/>
        <v>20</v>
      </c>
      <c r="G420" s="1"/>
      <c r="H420" s="1"/>
      <c r="I420" s="1"/>
      <c r="J420" s="1"/>
      <c r="K420" s="1"/>
      <c r="L420" s="1"/>
      <c r="M420" s="1"/>
      <c r="N420" s="1">
        <v>20</v>
      </c>
      <c r="O420" s="1">
        <v>15</v>
      </c>
      <c r="S420">
        <v>20</v>
      </c>
    </row>
    <row r="421" spans="1:19" x14ac:dyDescent="0.25">
      <c r="A421" s="8" t="s">
        <v>173</v>
      </c>
      <c r="B421" s="8" t="s">
        <v>536</v>
      </c>
      <c r="C421" s="8" t="s">
        <v>1038</v>
      </c>
      <c r="D421" s="1"/>
      <c r="E421" s="1"/>
      <c r="F421" s="1">
        <v>20</v>
      </c>
      <c r="G421" s="1"/>
      <c r="H421" s="1"/>
      <c r="I421" s="1"/>
      <c r="J421" s="1"/>
      <c r="K421" s="1"/>
      <c r="L421" s="1"/>
      <c r="M421" s="1"/>
      <c r="N421" s="1">
        <v>10</v>
      </c>
      <c r="O421" s="1">
        <v>15</v>
      </c>
      <c r="P421">
        <v>-10</v>
      </c>
    </row>
    <row r="422" spans="1:19" x14ac:dyDescent="0.25">
      <c r="A422" s="8" t="s">
        <v>173</v>
      </c>
      <c r="B422" s="8" t="s">
        <v>537</v>
      </c>
      <c r="C422" s="8" t="s">
        <v>179</v>
      </c>
      <c r="D422" s="1"/>
      <c r="E422" s="1"/>
      <c r="F422" s="1">
        <f t="shared" ref="F422:F435" si="20">S422</f>
        <v>20</v>
      </c>
      <c r="G422" s="1"/>
      <c r="H422" s="1"/>
      <c r="I422" s="1"/>
      <c r="J422" s="1"/>
      <c r="K422" s="1"/>
      <c r="L422" s="1"/>
      <c r="M422" s="1"/>
      <c r="N422" s="1">
        <v>15</v>
      </c>
      <c r="O422" s="1">
        <v>15</v>
      </c>
      <c r="S422">
        <v>20</v>
      </c>
    </row>
    <row r="423" spans="1:19" x14ac:dyDescent="0.25">
      <c r="A423" s="8" t="s">
        <v>173</v>
      </c>
      <c r="B423" s="8" t="s">
        <v>1070</v>
      </c>
      <c r="C423" s="8" t="s">
        <v>179</v>
      </c>
      <c r="D423" s="1"/>
      <c r="E423" s="1"/>
      <c r="F423" s="1">
        <f t="shared" si="20"/>
        <v>20</v>
      </c>
      <c r="G423" s="1"/>
      <c r="H423" s="1"/>
      <c r="I423" s="1"/>
      <c r="J423" s="1"/>
      <c r="K423" s="1"/>
      <c r="L423" s="1"/>
      <c r="M423" s="1"/>
      <c r="N423" s="1">
        <v>14</v>
      </c>
      <c r="O423" s="1">
        <v>15</v>
      </c>
      <c r="S423">
        <v>20</v>
      </c>
    </row>
    <row r="424" spans="1:19" x14ac:dyDescent="0.25">
      <c r="A424" s="8" t="s">
        <v>173</v>
      </c>
      <c r="B424" s="8" t="s">
        <v>98</v>
      </c>
      <c r="C424" s="8" t="s">
        <v>1038</v>
      </c>
      <c r="D424" s="1"/>
      <c r="E424" s="1"/>
      <c r="F424" s="1">
        <f t="shared" si="20"/>
        <v>20</v>
      </c>
      <c r="G424" s="1"/>
      <c r="H424" s="1"/>
      <c r="I424" s="1"/>
      <c r="J424" s="1"/>
      <c r="K424" s="1"/>
      <c r="L424" s="1"/>
      <c r="M424" s="1"/>
      <c r="N424" s="1">
        <v>10</v>
      </c>
      <c r="O424" s="1">
        <v>15</v>
      </c>
      <c r="S424">
        <v>20</v>
      </c>
    </row>
    <row r="425" spans="1:19" x14ac:dyDescent="0.25">
      <c r="A425" s="8" t="s">
        <v>173</v>
      </c>
      <c r="B425" s="8" t="s">
        <v>99</v>
      </c>
      <c r="C425" s="8" t="s">
        <v>1038</v>
      </c>
      <c r="D425" s="1"/>
      <c r="E425" s="1"/>
      <c r="F425" s="1">
        <f t="shared" si="20"/>
        <v>20</v>
      </c>
      <c r="G425" s="1"/>
      <c r="H425" s="1"/>
      <c r="I425" s="1"/>
      <c r="J425" s="1"/>
      <c r="K425" s="1"/>
      <c r="L425" s="1"/>
      <c r="M425" s="1"/>
      <c r="N425" s="1">
        <v>10</v>
      </c>
      <c r="O425" s="1">
        <v>15</v>
      </c>
      <c r="S425">
        <v>20</v>
      </c>
    </row>
    <row r="426" spans="1:19" x14ac:dyDescent="0.25">
      <c r="A426" s="8" t="s">
        <v>173</v>
      </c>
      <c r="B426" s="8" t="s">
        <v>584</v>
      </c>
      <c r="C426" s="8" t="s">
        <v>1038</v>
      </c>
      <c r="D426" s="1"/>
      <c r="E426" s="1"/>
      <c r="F426" s="1">
        <f t="shared" si="20"/>
        <v>20</v>
      </c>
      <c r="G426" s="1"/>
      <c r="H426" s="1"/>
      <c r="I426" s="1"/>
      <c r="J426" s="1"/>
      <c r="K426" s="1"/>
      <c r="L426" s="1"/>
      <c r="M426" s="1"/>
      <c r="N426" s="1">
        <v>11</v>
      </c>
      <c r="O426" s="1">
        <v>15</v>
      </c>
      <c r="S426">
        <v>20</v>
      </c>
    </row>
    <row r="427" spans="1:19" x14ac:dyDescent="0.25">
      <c r="A427" s="8" t="s">
        <v>173</v>
      </c>
      <c r="B427" s="8" t="s">
        <v>1218</v>
      </c>
      <c r="C427" s="8" t="s">
        <v>1038</v>
      </c>
      <c r="D427" s="1"/>
      <c r="E427" s="1"/>
      <c r="F427" s="1">
        <f t="shared" si="20"/>
        <v>60</v>
      </c>
      <c r="G427" s="1"/>
      <c r="H427" s="1"/>
      <c r="I427" s="1"/>
      <c r="J427" s="1"/>
      <c r="K427" s="1"/>
      <c r="L427" s="1"/>
      <c r="M427" s="1"/>
      <c r="N427" s="1">
        <v>25</v>
      </c>
      <c r="O427" s="1">
        <v>15</v>
      </c>
      <c r="S427">
        <v>60</v>
      </c>
    </row>
    <row r="428" spans="1:19" x14ac:dyDescent="0.25">
      <c r="A428" s="8" t="s">
        <v>173</v>
      </c>
      <c r="B428" s="8" t="s">
        <v>100</v>
      </c>
      <c r="C428" s="8" t="s">
        <v>1038</v>
      </c>
      <c r="D428" s="1"/>
      <c r="E428" s="1"/>
      <c r="F428" s="1">
        <f t="shared" si="20"/>
        <v>15</v>
      </c>
      <c r="G428" s="1"/>
      <c r="H428" s="1"/>
      <c r="I428" s="1"/>
      <c r="J428" s="1"/>
      <c r="K428" s="1"/>
      <c r="L428" s="1"/>
      <c r="M428" s="1"/>
      <c r="N428" s="1">
        <v>9</v>
      </c>
      <c r="O428" s="1">
        <v>15</v>
      </c>
      <c r="S428">
        <v>15</v>
      </c>
    </row>
    <row r="429" spans="1:19" x14ac:dyDescent="0.25">
      <c r="A429" s="8" t="s">
        <v>173</v>
      </c>
      <c r="B429" s="8" t="s">
        <v>101</v>
      </c>
      <c r="C429" s="8" t="s">
        <v>1038</v>
      </c>
      <c r="D429" s="1"/>
      <c r="E429" s="1"/>
      <c r="F429" s="1">
        <f t="shared" si="20"/>
        <v>15</v>
      </c>
      <c r="G429" s="1"/>
      <c r="H429" s="1"/>
      <c r="I429" s="1"/>
      <c r="J429" s="1"/>
      <c r="K429" s="1"/>
      <c r="L429" s="1"/>
      <c r="M429" s="1"/>
      <c r="N429" s="1">
        <v>12</v>
      </c>
      <c r="O429" s="1">
        <v>15</v>
      </c>
      <c r="S429">
        <v>15</v>
      </c>
    </row>
    <row r="430" spans="1:19" x14ac:dyDescent="0.25">
      <c r="A430" s="8" t="s">
        <v>173</v>
      </c>
      <c r="B430" s="8" t="s">
        <v>538</v>
      </c>
      <c r="C430" s="8" t="s">
        <v>1038</v>
      </c>
      <c r="D430" s="1"/>
      <c r="E430" s="1"/>
      <c r="F430" s="1">
        <f t="shared" si="20"/>
        <v>15</v>
      </c>
      <c r="G430" s="1"/>
      <c r="H430" s="1"/>
      <c r="I430" s="1"/>
      <c r="J430" s="1"/>
      <c r="K430" s="1"/>
      <c r="L430" s="1"/>
      <c r="M430" s="1"/>
      <c r="N430" s="1">
        <v>12</v>
      </c>
      <c r="O430" s="1">
        <v>15</v>
      </c>
      <c r="S430">
        <v>15</v>
      </c>
    </row>
    <row r="431" spans="1:19" x14ac:dyDescent="0.25">
      <c r="A431" s="8" t="s">
        <v>173</v>
      </c>
      <c r="B431" s="8" t="s">
        <v>1235</v>
      </c>
      <c r="C431" s="8" t="s">
        <v>1038</v>
      </c>
      <c r="D431" s="1"/>
      <c r="E431" s="1"/>
      <c r="F431" s="1">
        <f t="shared" si="20"/>
        <v>20</v>
      </c>
      <c r="G431" s="1"/>
      <c r="H431" s="1"/>
      <c r="I431" s="1"/>
      <c r="J431" s="1"/>
      <c r="K431" s="1"/>
      <c r="L431" s="1"/>
      <c r="M431" s="1"/>
      <c r="N431" s="1">
        <v>17</v>
      </c>
      <c r="O431" s="1">
        <v>15</v>
      </c>
      <c r="S431">
        <v>20</v>
      </c>
    </row>
    <row r="432" spans="1:19" x14ac:dyDescent="0.25">
      <c r="A432" s="8" t="s">
        <v>173</v>
      </c>
      <c r="B432" s="24" t="s">
        <v>1120</v>
      </c>
      <c r="C432" s="8" t="s">
        <v>1038</v>
      </c>
      <c r="D432" s="1"/>
      <c r="E432" s="1"/>
      <c r="F432" s="1">
        <f t="shared" si="20"/>
        <v>20</v>
      </c>
      <c r="G432" s="1"/>
      <c r="H432" s="1"/>
      <c r="I432" s="1"/>
      <c r="J432" s="1"/>
      <c r="K432" s="1"/>
      <c r="L432" s="1"/>
      <c r="M432" s="1"/>
      <c r="N432" s="1">
        <v>13</v>
      </c>
      <c r="O432" s="1">
        <v>15</v>
      </c>
      <c r="S432">
        <v>20</v>
      </c>
    </row>
    <row r="433" spans="1:25" x14ac:dyDescent="0.25">
      <c r="A433" s="8" t="s">
        <v>173</v>
      </c>
      <c r="B433" s="8" t="s">
        <v>1004</v>
      </c>
      <c r="C433" s="8" t="s">
        <v>1038</v>
      </c>
      <c r="D433" s="1"/>
      <c r="E433" s="1"/>
      <c r="F433" s="1">
        <f t="shared" si="20"/>
        <v>60</v>
      </c>
      <c r="G433" s="1"/>
      <c r="H433" s="1"/>
      <c r="I433" s="1"/>
      <c r="J433" s="1"/>
      <c r="K433" s="1"/>
      <c r="L433" s="1"/>
      <c r="M433" s="1"/>
      <c r="N433" s="1">
        <v>25</v>
      </c>
      <c r="O433" s="1">
        <v>15</v>
      </c>
      <c r="S433">
        <v>60</v>
      </c>
    </row>
    <row r="434" spans="1:25" x14ac:dyDescent="0.25">
      <c r="A434" s="8" t="s">
        <v>173</v>
      </c>
      <c r="B434" s="8" t="s">
        <v>1196</v>
      </c>
      <c r="C434" s="8" t="s">
        <v>1038</v>
      </c>
      <c r="D434" s="1"/>
      <c r="E434" s="1"/>
      <c r="F434" s="1">
        <f t="shared" si="20"/>
        <v>20</v>
      </c>
      <c r="G434" s="1"/>
      <c r="H434" s="1"/>
      <c r="I434" s="1"/>
      <c r="J434" s="1"/>
      <c r="K434" s="1"/>
      <c r="L434" s="1"/>
      <c r="M434" s="1"/>
      <c r="N434" s="1">
        <v>20</v>
      </c>
      <c r="O434" s="1">
        <v>15</v>
      </c>
      <c r="S434">
        <v>20</v>
      </c>
    </row>
    <row r="435" spans="1:25" x14ac:dyDescent="0.25">
      <c r="A435" s="8" t="s">
        <v>173</v>
      </c>
      <c r="B435" s="8" t="s">
        <v>102</v>
      </c>
      <c r="C435" s="8" t="s">
        <v>1038</v>
      </c>
      <c r="D435" s="1"/>
      <c r="E435" s="1"/>
      <c r="F435" s="1">
        <f t="shared" si="20"/>
        <v>20</v>
      </c>
      <c r="G435" s="1"/>
      <c r="H435" s="1"/>
      <c r="I435" s="1"/>
      <c r="J435" s="1"/>
      <c r="K435" s="1"/>
      <c r="L435" s="1"/>
      <c r="M435" s="1"/>
      <c r="N435" s="1">
        <v>10</v>
      </c>
      <c r="O435" s="1">
        <v>10</v>
      </c>
      <c r="S435">
        <v>20</v>
      </c>
    </row>
    <row r="436" spans="1:25" x14ac:dyDescent="0.25">
      <c r="A436" s="8" t="s">
        <v>173</v>
      </c>
      <c r="B436" s="8" t="s">
        <v>539</v>
      </c>
      <c r="C436" s="8" t="s">
        <v>1041</v>
      </c>
      <c r="D436" s="1"/>
      <c r="E436" s="1"/>
      <c r="F436" s="1"/>
      <c r="G436" s="1"/>
      <c r="H436" s="1"/>
      <c r="I436" s="1"/>
      <c r="J436" s="1"/>
      <c r="K436" s="1"/>
      <c r="L436" s="1">
        <f>Y436</f>
        <v>20</v>
      </c>
      <c r="M436" s="1"/>
      <c r="N436" s="1">
        <v>17</v>
      </c>
      <c r="O436" s="1">
        <v>15</v>
      </c>
      <c r="Y436">
        <v>20</v>
      </c>
    </row>
    <row r="437" spans="1:25" x14ac:dyDescent="0.25">
      <c r="A437" s="8" t="s">
        <v>173</v>
      </c>
      <c r="B437" s="8" t="s">
        <v>540</v>
      </c>
      <c r="C437" s="8" t="s">
        <v>1041</v>
      </c>
      <c r="D437" s="1"/>
      <c r="E437" s="1"/>
      <c r="F437" s="1"/>
      <c r="G437" s="1"/>
      <c r="H437" s="1"/>
      <c r="I437" s="1"/>
      <c r="J437" s="1"/>
      <c r="K437" s="1"/>
      <c r="L437" s="1">
        <f t="shared" ref="L437:L443" si="21">Y437</f>
        <v>20</v>
      </c>
      <c r="M437" s="1"/>
      <c r="N437" s="1">
        <v>16</v>
      </c>
      <c r="O437" s="1">
        <v>15</v>
      </c>
      <c r="Y437">
        <v>20</v>
      </c>
    </row>
    <row r="438" spans="1:25" x14ac:dyDescent="0.25">
      <c r="A438" s="8" t="s">
        <v>173</v>
      </c>
      <c r="B438" s="8" t="s">
        <v>546</v>
      </c>
      <c r="C438" s="8" t="s">
        <v>1041</v>
      </c>
      <c r="D438" s="1"/>
      <c r="E438" s="1"/>
      <c r="F438" s="1"/>
      <c r="G438" s="1"/>
      <c r="H438" s="1"/>
      <c r="I438" s="1"/>
      <c r="J438" s="1"/>
      <c r="K438" s="1"/>
      <c r="L438" s="1">
        <f t="shared" si="21"/>
        <v>20</v>
      </c>
      <c r="M438" s="1"/>
      <c r="N438" s="1">
        <v>10</v>
      </c>
      <c r="O438" s="1">
        <v>15</v>
      </c>
      <c r="Y438">
        <v>20</v>
      </c>
    </row>
    <row r="439" spans="1:25" x14ac:dyDescent="0.25">
      <c r="A439" s="8" t="s">
        <v>173</v>
      </c>
      <c r="B439" s="8" t="s">
        <v>541</v>
      </c>
      <c r="C439" s="8" t="s">
        <v>552</v>
      </c>
      <c r="D439" s="1"/>
      <c r="E439" s="1"/>
      <c r="F439" s="1"/>
      <c r="G439" s="1"/>
      <c r="H439" s="1"/>
      <c r="I439" s="1"/>
      <c r="J439" s="1"/>
      <c r="K439" s="1"/>
      <c r="L439" s="1">
        <f t="shared" si="21"/>
        <v>20</v>
      </c>
      <c r="M439" s="1"/>
      <c r="N439" s="1">
        <v>10</v>
      </c>
      <c r="O439" s="1">
        <v>20</v>
      </c>
      <c r="Y439">
        <v>20</v>
      </c>
    </row>
    <row r="440" spans="1:25" x14ac:dyDescent="0.25">
      <c r="A440" s="8" t="s">
        <v>173</v>
      </c>
      <c r="B440" s="8" t="s">
        <v>542</v>
      </c>
      <c r="C440" s="8" t="s">
        <v>552</v>
      </c>
      <c r="D440" s="1"/>
      <c r="E440" s="1"/>
      <c r="F440" s="1"/>
      <c r="G440" s="1"/>
      <c r="H440" s="1"/>
      <c r="I440" s="1"/>
      <c r="J440" s="1"/>
      <c r="K440" s="1"/>
      <c r="L440" s="1">
        <f t="shared" si="21"/>
        <v>20</v>
      </c>
      <c r="M440" s="1"/>
      <c r="N440" s="1">
        <v>10</v>
      </c>
      <c r="O440" s="1">
        <v>15</v>
      </c>
      <c r="Y440">
        <v>20</v>
      </c>
    </row>
    <row r="441" spans="1:25" x14ac:dyDescent="0.25">
      <c r="A441" s="8" t="s">
        <v>173</v>
      </c>
      <c r="B441" s="8" t="s">
        <v>543</v>
      </c>
      <c r="C441" s="8" t="s">
        <v>552</v>
      </c>
      <c r="D441" s="1"/>
      <c r="E441" s="1"/>
      <c r="F441" s="1"/>
      <c r="G441" s="1"/>
      <c r="H441" s="1"/>
      <c r="I441" s="1"/>
      <c r="J441" s="1"/>
      <c r="K441" s="1"/>
      <c r="L441" s="1">
        <f t="shared" si="21"/>
        <v>20</v>
      </c>
      <c r="M441" s="1"/>
      <c r="N441" s="1">
        <v>16</v>
      </c>
      <c r="O441" s="1">
        <v>15</v>
      </c>
      <c r="Y441">
        <v>20</v>
      </c>
    </row>
    <row r="442" spans="1:25" x14ac:dyDescent="0.25">
      <c r="A442" s="8" t="s">
        <v>173</v>
      </c>
      <c r="B442" s="8" t="s">
        <v>544</v>
      </c>
      <c r="C442" s="8" t="s">
        <v>552</v>
      </c>
      <c r="D442" s="1"/>
      <c r="E442" s="1"/>
      <c r="F442" s="1"/>
      <c r="G442" s="1"/>
      <c r="H442" s="1"/>
      <c r="I442" s="1"/>
      <c r="J442" s="1"/>
      <c r="K442" s="1"/>
      <c r="L442" s="1">
        <f t="shared" si="21"/>
        <v>20</v>
      </c>
      <c r="M442" s="1"/>
      <c r="N442" s="1">
        <v>10</v>
      </c>
      <c r="O442" s="1">
        <v>15</v>
      </c>
      <c r="Y442">
        <v>20</v>
      </c>
    </row>
    <row r="443" spans="1:25" x14ac:dyDescent="0.25">
      <c r="A443" s="8" t="s">
        <v>173</v>
      </c>
      <c r="B443" s="8" t="s">
        <v>545</v>
      </c>
      <c r="C443" s="8" t="s">
        <v>552</v>
      </c>
      <c r="D443" s="1"/>
      <c r="E443" s="1"/>
      <c r="F443" s="1"/>
      <c r="G443" s="1"/>
      <c r="H443" s="1"/>
      <c r="I443" s="1"/>
      <c r="J443" s="1"/>
      <c r="K443" s="1"/>
      <c r="L443" s="1">
        <f t="shared" si="21"/>
        <v>20</v>
      </c>
      <c r="M443" s="1"/>
      <c r="N443" s="1">
        <v>10</v>
      </c>
      <c r="O443" s="1">
        <v>15</v>
      </c>
      <c r="Y443">
        <v>20</v>
      </c>
    </row>
    <row r="444" spans="1:25" x14ac:dyDescent="0.25">
      <c r="A444" s="8" t="s">
        <v>173</v>
      </c>
      <c r="B444" s="8" t="s">
        <v>103</v>
      </c>
      <c r="C444" s="8" t="s">
        <v>448</v>
      </c>
      <c r="D444" s="1"/>
      <c r="E444" s="1"/>
      <c r="F444" s="1"/>
      <c r="G444" s="1">
        <v>20</v>
      </c>
      <c r="H444" s="1"/>
      <c r="I444" s="1"/>
      <c r="J444" s="1"/>
      <c r="K444" s="1"/>
      <c r="L444" s="1"/>
      <c r="M444" s="1"/>
      <c r="N444" s="1">
        <v>12</v>
      </c>
      <c r="O444" s="1">
        <v>15</v>
      </c>
      <c r="P444">
        <v>-10</v>
      </c>
    </row>
    <row r="445" spans="1:25" x14ac:dyDescent="0.25">
      <c r="A445" s="8" t="s">
        <v>173</v>
      </c>
      <c r="B445" s="8" t="s">
        <v>547</v>
      </c>
      <c r="C445" s="8" t="s">
        <v>180</v>
      </c>
      <c r="D445" s="1"/>
      <c r="E445" s="1"/>
      <c r="F445" s="1"/>
      <c r="G445" s="1">
        <v>20</v>
      </c>
      <c r="H445" s="1"/>
      <c r="I445" s="1"/>
      <c r="J445" s="1"/>
      <c r="K445" s="1"/>
      <c r="L445" s="1"/>
      <c r="M445" s="1"/>
      <c r="N445" s="1">
        <v>14</v>
      </c>
      <c r="O445" s="1">
        <v>15</v>
      </c>
      <c r="P445">
        <v>-15</v>
      </c>
      <c r="T445">
        <v>-28</v>
      </c>
    </row>
    <row r="446" spans="1:25" x14ac:dyDescent="0.25">
      <c r="A446" s="8" t="s">
        <v>173</v>
      </c>
      <c r="B446" s="8" t="s">
        <v>1119</v>
      </c>
      <c r="C446" s="8" t="s">
        <v>180</v>
      </c>
      <c r="D446" s="1"/>
      <c r="E446" s="1"/>
      <c r="F446" s="1"/>
      <c r="G446" s="1">
        <v>20</v>
      </c>
      <c r="H446" s="1"/>
      <c r="I446" s="1"/>
      <c r="J446" s="1"/>
      <c r="K446" s="1"/>
      <c r="L446" s="1"/>
      <c r="M446" s="1"/>
      <c r="N446" s="1">
        <v>15</v>
      </c>
      <c r="O446" s="1">
        <v>15</v>
      </c>
      <c r="P446">
        <v>-15</v>
      </c>
      <c r="T446">
        <v>-26</v>
      </c>
    </row>
    <row r="447" spans="1:25" x14ac:dyDescent="0.25">
      <c r="A447" s="8" t="s">
        <v>173</v>
      </c>
      <c r="B447" s="8" t="s">
        <v>104</v>
      </c>
      <c r="C447" s="8" t="s">
        <v>448</v>
      </c>
      <c r="D447" s="1"/>
      <c r="E447" s="1"/>
      <c r="F447" s="1"/>
      <c r="G447" s="1">
        <v>20</v>
      </c>
      <c r="H447" s="1"/>
      <c r="I447" s="1"/>
      <c r="J447" s="1"/>
      <c r="K447" s="1"/>
      <c r="L447" s="1"/>
      <c r="M447" s="1"/>
      <c r="N447" s="1">
        <v>8</v>
      </c>
      <c r="O447" s="1">
        <v>10</v>
      </c>
      <c r="P447">
        <v>-5</v>
      </c>
    </row>
    <row r="448" spans="1:25" x14ac:dyDescent="0.25">
      <c r="A448" s="8" t="s">
        <v>173</v>
      </c>
      <c r="B448" s="8" t="s">
        <v>105</v>
      </c>
      <c r="C448" s="8" t="s">
        <v>1033</v>
      </c>
      <c r="D448" s="1"/>
      <c r="E448" s="1"/>
      <c r="F448" s="1"/>
      <c r="G448" s="1">
        <v>20</v>
      </c>
      <c r="H448" s="1"/>
      <c r="I448" s="1"/>
      <c r="J448" s="1"/>
      <c r="K448" s="1"/>
      <c r="L448" s="1"/>
      <c r="M448" s="1"/>
      <c r="N448" s="1">
        <v>9</v>
      </c>
      <c r="O448" s="1">
        <v>10</v>
      </c>
      <c r="P448">
        <v>-5</v>
      </c>
    </row>
    <row r="449" spans="1:20" x14ac:dyDescent="0.25">
      <c r="A449" s="8" t="s">
        <v>173</v>
      </c>
      <c r="B449" s="8" t="s">
        <v>106</v>
      </c>
      <c r="C449" s="8" t="s">
        <v>448</v>
      </c>
      <c r="D449" s="1"/>
      <c r="E449" s="1"/>
      <c r="F449" s="1"/>
      <c r="G449" s="1">
        <v>20</v>
      </c>
      <c r="H449" s="1"/>
      <c r="I449" s="1"/>
      <c r="J449" s="1"/>
      <c r="K449" s="1"/>
      <c r="L449" s="1"/>
      <c r="M449" s="1"/>
      <c r="N449" s="1">
        <v>7</v>
      </c>
      <c r="O449" s="1">
        <v>10</v>
      </c>
      <c r="P449">
        <v>-5</v>
      </c>
    </row>
    <row r="450" spans="1:20" x14ac:dyDescent="0.25">
      <c r="A450" s="8" t="s">
        <v>173</v>
      </c>
      <c r="B450" s="8" t="s">
        <v>107</v>
      </c>
      <c r="C450" s="8" t="s">
        <v>448</v>
      </c>
      <c r="D450" s="1"/>
      <c r="E450" s="1"/>
      <c r="F450" s="1"/>
      <c r="G450" s="1">
        <v>20</v>
      </c>
      <c r="H450" s="1"/>
      <c r="I450" s="1"/>
      <c r="J450" s="1"/>
      <c r="K450" s="1"/>
      <c r="L450" s="1"/>
      <c r="M450" s="1"/>
      <c r="N450" s="1">
        <v>7</v>
      </c>
      <c r="O450" s="1">
        <v>10</v>
      </c>
      <c r="P450">
        <v>-5</v>
      </c>
    </row>
    <row r="451" spans="1:20" x14ac:dyDescent="0.25">
      <c r="A451" s="8" t="s">
        <v>173</v>
      </c>
      <c r="B451" t="s">
        <v>621</v>
      </c>
      <c r="C451" s="8" t="s">
        <v>448</v>
      </c>
      <c r="D451" s="1"/>
      <c r="E451" s="1"/>
      <c r="F451" s="1"/>
      <c r="G451" s="1">
        <v>20</v>
      </c>
      <c r="H451" s="1"/>
      <c r="I451" s="1"/>
      <c r="J451" s="1"/>
      <c r="K451" s="1"/>
      <c r="L451" s="1"/>
      <c r="M451" s="1"/>
      <c r="N451" s="1">
        <v>8</v>
      </c>
      <c r="O451" s="1">
        <v>10</v>
      </c>
      <c r="P451">
        <v>-5</v>
      </c>
    </row>
    <row r="452" spans="1:20" x14ac:dyDescent="0.25">
      <c r="A452" s="8" t="s">
        <v>173</v>
      </c>
      <c r="B452" s="8" t="s">
        <v>108</v>
      </c>
      <c r="C452" s="8" t="s">
        <v>1033</v>
      </c>
      <c r="D452" s="1"/>
      <c r="E452" s="1"/>
      <c r="F452" s="1"/>
      <c r="G452" s="1">
        <v>20</v>
      </c>
      <c r="H452" s="1"/>
      <c r="I452" s="1"/>
      <c r="J452" s="1"/>
      <c r="K452" s="1"/>
      <c r="L452" s="1"/>
      <c r="M452" s="1"/>
      <c r="N452" s="1">
        <v>8</v>
      </c>
      <c r="O452" s="1">
        <v>10</v>
      </c>
      <c r="P452">
        <v>-5</v>
      </c>
    </row>
    <row r="453" spans="1:20" x14ac:dyDescent="0.25">
      <c r="A453" s="8" t="s">
        <v>173</v>
      </c>
      <c r="B453" s="8" t="s">
        <v>109</v>
      </c>
      <c r="C453" s="8" t="s">
        <v>448</v>
      </c>
      <c r="D453" s="1"/>
      <c r="E453" s="1"/>
      <c r="F453" s="1"/>
      <c r="G453" s="1">
        <v>20</v>
      </c>
      <c r="H453" s="1"/>
      <c r="I453" s="1"/>
      <c r="J453" s="1"/>
      <c r="K453" s="1"/>
      <c r="L453" s="1"/>
      <c r="M453" s="1"/>
      <c r="N453" s="1">
        <v>7</v>
      </c>
      <c r="O453" s="1">
        <v>10</v>
      </c>
    </row>
    <row r="454" spans="1:20" x14ac:dyDescent="0.25">
      <c r="A454" s="8" t="s">
        <v>173</v>
      </c>
      <c r="B454" s="8" t="s">
        <v>110</v>
      </c>
      <c r="C454" s="8" t="s">
        <v>448</v>
      </c>
      <c r="D454" s="1"/>
      <c r="E454" s="1"/>
      <c r="F454" s="1"/>
      <c r="G454" s="1">
        <v>20</v>
      </c>
      <c r="H454" s="1"/>
      <c r="I454" s="1"/>
      <c r="J454" s="1"/>
      <c r="K454" s="1"/>
      <c r="L454" s="1"/>
      <c r="M454" s="1"/>
      <c r="N454" s="1">
        <v>7</v>
      </c>
      <c r="O454" s="1">
        <v>10</v>
      </c>
      <c r="P454">
        <v>-5</v>
      </c>
    </row>
    <row r="455" spans="1:20" x14ac:dyDescent="0.25">
      <c r="A455" s="8" t="s">
        <v>173</v>
      </c>
      <c r="B455" s="8" t="s">
        <v>111</v>
      </c>
      <c r="C455" s="8" t="s">
        <v>1033</v>
      </c>
      <c r="D455" s="1"/>
      <c r="E455" s="1"/>
      <c r="F455" s="1"/>
      <c r="G455" s="1">
        <v>20</v>
      </c>
      <c r="H455" s="1"/>
      <c r="I455" s="1"/>
      <c r="J455" s="1"/>
      <c r="K455" s="1"/>
      <c r="L455" s="1"/>
      <c r="M455" s="1"/>
      <c r="N455" s="1">
        <v>11</v>
      </c>
      <c r="O455" s="1">
        <v>10</v>
      </c>
      <c r="P455">
        <v>-5</v>
      </c>
    </row>
    <row r="456" spans="1:20" x14ac:dyDescent="0.25">
      <c r="A456" s="8" t="s">
        <v>173</v>
      </c>
      <c r="B456" s="364" t="s">
        <v>1219</v>
      </c>
      <c r="C456" s="22" t="s">
        <v>180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20" x14ac:dyDescent="0.25">
      <c r="A457" s="8" t="s">
        <v>173</v>
      </c>
      <c r="B457" s="8" t="s">
        <v>1023</v>
      </c>
      <c r="C457" s="8" t="s">
        <v>1033</v>
      </c>
      <c r="D457" s="1"/>
      <c r="E457" s="1"/>
      <c r="F457" s="1"/>
      <c r="G457" s="1">
        <v>20</v>
      </c>
      <c r="H457" s="1"/>
      <c r="I457" s="1"/>
      <c r="J457" s="1"/>
      <c r="K457" s="1"/>
      <c r="L457" s="1"/>
      <c r="M457" s="1"/>
      <c r="N457" s="1">
        <v>10</v>
      </c>
      <c r="O457" s="1">
        <v>10</v>
      </c>
      <c r="P457">
        <v>-5</v>
      </c>
    </row>
    <row r="458" spans="1:20" x14ac:dyDescent="0.25">
      <c r="A458" s="8" t="s">
        <v>173</v>
      </c>
      <c r="B458" s="8" t="s">
        <v>1069</v>
      </c>
      <c r="C458" s="8" t="s">
        <v>180</v>
      </c>
      <c r="D458" s="1"/>
      <c r="E458" s="1"/>
      <c r="F458" s="1"/>
      <c r="G458" s="1">
        <v>20</v>
      </c>
      <c r="H458" s="1"/>
      <c r="I458" s="1"/>
      <c r="J458" s="1"/>
      <c r="K458" s="1"/>
      <c r="L458" s="1"/>
      <c r="M458" s="1"/>
      <c r="N458" s="1">
        <v>8</v>
      </c>
      <c r="O458" s="1">
        <v>10</v>
      </c>
      <c r="P458">
        <v>-5</v>
      </c>
    </row>
    <row r="459" spans="1:20" x14ac:dyDescent="0.25">
      <c r="A459" s="8" t="s">
        <v>173</v>
      </c>
      <c r="B459" s="8" t="s">
        <v>112</v>
      </c>
      <c r="C459" s="8" t="s">
        <v>448</v>
      </c>
      <c r="D459" s="1"/>
      <c r="E459" s="1"/>
      <c r="F459" s="1"/>
      <c r="G459" s="1">
        <v>20</v>
      </c>
      <c r="H459" s="1"/>
      <c r="I459" s="1"/>
      <c r="J459" s="1"/>
      <c r="K459" s="1"/>
      <c r="L459" s="1"/>
      <c r="M459" s="1"/>
      <c r="N459" s="1">
        <v>8</v>
      </c>
      <c r="O459" s="1">
        <v>10</v>
      </c>
      <c r="P459">
        <v>-5</v>
      </c>
    </row>
    <row r="460" spans="1:20" x14ac:dyDescent="0.25">
      <c r="A460" s="8" t="s">
        <v>173</v>
      </c>
      <c r="B460" s="8" t="s">
        <v>113</v>
      </c>
      <c r="C460" s="8" t="s">
        <v>448</v>
      </c>
      <c r="D460" s="1"/>
      <c r="E460" s="1"/>
      <c r="F460" s="1"/>
      <c r="G460" s="1">
        <v>20</v>
      </c>
      <c r="H460" s="1"/>
      <c r="I460" s="1"/>
      <c r="J460" s="1"/>
      <c r="K460" s="1"/>
      <c r="L460" s="1"/>
      <c r="M460" s="1"/>
      <c r="N460" s="1">
        <v>16</v>
      </c>
      <c r="O460" s="1">
        <v>10</v>
      </c>
      <c r="P460">
        <v>-20</v>
      </c>
    </row>
    <row r="461" spans="1:20" x14ac:dyDescent="0.25">
      <c r="A461" s="8" t="s">
        <v>173</v>
      </c>
      <c r="B461" s="8" t="s">
        <v>114</v>
      </c>
      <c r="C461" s="8" t="s">
        <v>448</v>
      </c>
      <c r="D461" s="1"/>
      <c r="E461" s="1"/>
      <c r="F461" s="1"/>
      <c r="G461" s="1">
        <v>20</v>
      </c>
      <c r="H461" s="1"/>
      <c r="I461" s="1"/>
      <c r="J461" s="1"/>
      <c r="K461" s="1"/>
      <c r="L461" s="1"/>
      <c r="M461" s="1"/>
      <c r="N461" s="1">
        <v>9</v>
      </c>
      <c r="O461" s="1">
        <v>10</v>
      </c>
      <c r="P461">
        <v>-5</v>
      </c>
    </row>
    <row r="462" spans="1:20" x14ac:dyDescent="0.25">
      <c r="A462" s="8" t="s">
        <v>173</v>
      </c>
      <c r="B462" s="24" t="s">
        <v>852</v>
      </c>
      <c r="C462" s="8" t="s">
        <v>448</v>
      </c>
      <c r="D462" s="1"/>
      <c r="E462" s="1"/>
      <c r="F462" s="1"/>
      <c r="G462" s="1">
        <v>20</v>
      </c>
      <c r="H462" s="1"/>
      <c r="I462" s="1"/>
      <c r="J462" s="1"/>
      <c r="K462" s="1"/>
      <c r="L462" s="1"/>
      <c r="M462" s="1"/>
      <c r="N462" s="1">
        <v>9</v>
      </c>
      <c r="O462" s="1">
        <v>10</v>
      </c>
      <c r="P462">
        <v>-5</v>
      </c>
    </row>
    <row r="463" spans="1:20" x14ac:dyDescent="0.25">
      <c r="A463" s="8" t="s">
        <v>173</v>
      </c>
      <c r="B463" s="8" t="s">
        <v>115</v>
      </c>
      <c r="C463" s="8" t="s">
        <v>1033</v>
      </c>
      <c r="D463" s="1"/>
      <c r="E463" s="1"/>
      <c r="F463" s="1"/>
      <c r="G463" s="1">
        <v>20</v>
      </c>
      <c r="H463" s="1"/>
      <c r="I463" s="1"/>
      <c r="J463" s="1"/>
      <c r="K463" s="1"/>
      <c r="L463" s="1"/>
      <c r="M463" s="1"/>
      <c r="N463" s="1">
        <v>11</v>
      </c>
      <c r="O463" s="1">
        <v>10</v>
      </c>
      <c r="P463">
        <v>-10</v>
      </c>
    </row>
    <row r="464" spans="1:20" x14ac:dyDescent="0.25">
      <c r="A464" s="8" t="s">
        <v>173</v>
      </c>
      <c r="B464" s="8" t="s">
        <v>116</v>
      </c>
      <c r="C464" s="8" t="s">
        <v>1033</v>
      </c>
      <c r="D464" s="1"/>
      <c r="E464" s="1"/>
      <c r="F464" s="1"/>
      <c r="G464" s="1">
        <f>T464</f>
        <v>-43</v>
      </c>
      <c r="H464" s="1"/>
      <c r="I464" s="1"/>
      <c r="J464" s="1"/>
      <c r="K464" s="1"/>
      <c r="L464" s="1"/>
      <c r="M464" s="1"/>
      <c r="N464" s="1">
        <v>16</v>
      </c>
      <c r="O464" s="1">
        <v>75</v>
      </c>
      <c r="P464">
        <v>-10</v>
      </c>
      <c r="T464">
        <v>-43</v>
      </c>
    </row>
    <row r="465" spans="1:20" x14ac:dyDescent="0.25">
      <c r="A465" s="8" t="s">
        <v>173</v>
      </c>
      <c r="B465" s="8" t="s">
        <v>117</v>
      </c>
      <c r="C465" s="8" t="s">
        <v>1033</v>
      </c>
      <c r="D465" s="1"/>
      <c r="E465" s="1"/>
      <c r="F465" s="1"/>
      <c r="G465" s="1">
        <v>20</v>
      </c>
      <c r="H465" s="1"/>
      <c r="I465" s="1"/>
      <c r="J465" s="1"/>
      <c r="K465" s="1"/>
      <c r="L465" s="1"/>
      <c r="M465" s="1"/>
      <c r="N465" s="1">
        <v>10</v>
      </c>
      <c r="O465" s="1">
        <v>10</v>
      </c>
      <c r="P465">
        <v>-5</v>
      </c>
    </row>
    <row r="466" spans="1:20" x14ac:dyDescent="0.25">
      <c r="A466" s="8" t="s">
        <v>173</v>
      </c>
      <c r="B466" t="s">
        <v>622</v>
      </c>
      <c r="C466" s="8" t="s">
        <v>448</v>
      </c>
      <c r="D466" s="1"/>
      <c r="E466" s="1"/>
      <c r="F466" s="1"/>
      <c r="G466" s="1">
        <v>20</v>
      </c>
      <c r="H466" s="1"/>
      <c r="I466" s="1"/>
      <c r="J466" s="1"/>
      <c r="K466" s="1"/>
      <c r="L466" s="1"/>
      <c r="M466" s="1"/>
      <c r="N466" s="1">
        <v>8</v>
      </c>
      <c r="O466" s="1">
        <v>10</v>
      </c>
    </row>
    <row r="467" spans="1:20" x14ac:dyDescent="0.25">
      <c r="A467" s="8" t="s">
        <v>173</v>
      </c>
      <c r="B467" s="8" t="s">
        <v>118</v>
      </c>
      <c r="C467" s="8" t="s">
        <v>1033</v>
      </c>
      <c r="D467" s="1"/>
      <c r="E467" s="1"/>
      <c r="F467" s="1"/>
      <c r="G467" s="1">
        <v>20</v>
      </c>
      <c r="H467" s="1"/>
      <c r="I467" s="1"/>
      <c r="J467" s="1"/>
      <c r="K467" s="1"/>
      <c r="L467" s="1"/>
      <c r="M467" s="1"/>
      <c r="N467" s="1">
        <v>8</v>
      </c>
      <c r="O467" s="1">
        <v>10</v>
      </c>
      <c r="P467">
        <v>-5</v>
      </c>
    </row>
    <row r="468" spans="1:20" x14ac:dyDescent="0.25">
      <c r="A468" s="8" t="s">
        <v>173</v>
      </c>
      <c r="B468" s="8" t="s">
        <v>1130</v>
      </c>
      <c r="C468" s="8" t="s">
        <v>180</v>
      </c>
      <c r="D468" s="1"/>
      <c r="E468" s="1"/>
      <c r="F468" s="1"/>
      <c r="G468" s="1">
        <v>20</v>
      </c>
      <c r="H468" s="1"/>
      <c r="I468" s="1"/>
      <c r="J468" s="1"/>
      <c r="K468" s="1"/>
      <c r="L468" s="1"/>
      <c r="M468" s="1"/>
      <c r="N468" s="1">
        <v>9</v>
      </c>
      <c r="O468" s="1">
        <v>15</v>
      </c>
    </row>
    <row r="469" spans="1:20" x14ac:dyDescent="0.25">
      <c r="A469" s="8" t="s">
        <v>173</v>
      </c>
      <c r="B469" s="8" t="s">
        <v>1289</v>
      </c>
      <c r="C469" s="8" t="s">
        <v>180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20" x14ac:dyDescent="0.25">
      <c r="A470" s="8" t="s">
        <v>173</v>
      </c>
      <c r="B470" s="8" t="s">
        <v>119</v>
      </c>
      <c r="C470" s="8" t="s">
        <v>1033</v>
      </c>
      <c r="D470" s="1"/>
      <c r="E470" s="1"/>
      <c r="F470" s="1"/>
      <c r="G470" s="1">
        <v>20</v>
      </c>
      <c r="H470" s="1"/>
      <c r="I470" s="1"/>
      <c r="J470" s="1"/>
      <c r="K470" s="1"/>
      <c r="L470" s="1"/>
      <c r="M470" s="1"/>
      <c r="N470" s="1">
        <v>15</v>
      </c>
      <c r="O470" s="1">
        <v>10</v>
      </c>
      <c r="P470">
        <v>-10</v>
      </c>
    </row>
    <row r="471" spans="1:20" x14ac:dyDescent="0.25">
      <c r="A471" s="8" t="s">
        <v>173</v>
      </c>
      <c r="B471" s="8" t="s">
        <v>916</v>
      </c>
      <c r="C471" s="8" t="s">
        <v>1033</v>
      </c>
      <c r="D471" s="1"/>
      <c r="E471" s="1"/>
      <c r="F471" s="1"/>
      <c r="G471" s="1">
        <v>20</v>
      </c>
      <c r="H471" s="1"/>
      <c r="I471" s="1"/>
      <c r="J471" s="1"/>
      <c r="K471" s="1"/>
      <c r="L471" s="1"/>
      <c r="M471" s="1"/>
      <c r="N471" s="1">
        <v>10</v>
      </c>
      <c r="O471" s="1">
        <v>10</v>
      </c>
    </row>
    <row r="472" spans="1:20" x14ac:dyDescent="0.25">
      <c r="A472" s="8" t="s">
        <v>173</v>
      </c>
      <c r="B472" s="8" t="s">
        <v>120</v>
      </c>
      <c r="C472" s="8" t="s">
        <v>448</v>
      </c>
      <c r="D472" s="1"/>
      <c r="E472" s="1"/>
      <c r="F472" s="1"/>
      <c r="G472" s="1">
        <v>20</v>
      </c>
      <c r="H472" s="1"/>
      <c r="I472" s="1"/>
      <c r="J472" s="1"/>
      <c r="K472" s="1"/>
      <c r="L472" s="1"/>
      <c r="M472" s="1"/>
      <c r="N472" s="1">
        <v>11</v>
      </c>
      <c r="O472" s="1">
        <v>10</v>
      </c>
      <c r="P472">
        <v>-5</v>
      </c>
    </row>
    <row r="473" spans="1:20" x14ac:dyDescent="0.25">
      <c r="A473" s="8" t="s">
        <v>173</v>
      </c>
      <c r="B473" s="8" t="s">
        <v>121</v>
      </c>
      <c r="C473" s="8" t="s">
        <v>448</v>
      </c>
      <c r="D473" s="1"/>
      <c r="E473" s="1"/>
      <c r="F473" s="1"/>
      <c r="G473" s="1">
        <v>20</v>
      </c>
      <c r="H473" s="1"/>
      <c r="I473" s="1"/>
      <c r="J473" s="1"/>
      <c r="K473" s="1"/>
      <c r="L473" s="1"/>
      <c r="M473" s="1"/>
      <c r="N473" s="1">
        <v>8</v>
      </c>
      <c r="O473" s="1">
        <v>10</v>
      </c>
    </row>
    <row r="474" spans="1:20" x14ac:dyDescent="0.25">
      <c r="A474" s="8" t="s">
        <v>173</v>
      </c>
      <c r="B474" s="8" t="s">
        <v>122</v>
      </c>
      <c r="C474" s="8" t="s">
        <v>448</v>
      </c>
      <c r="D474" s="1"/>
      <c r="E474" s="1"/>
      <c r="F474" s="1"/>
      <c r="G474" s="1">
        <v>20</v>
      </c>
      <c r="H474" s="1"/>
      <c r="I474" s="1"/>
      <c r="J474" s="1"/>
      <c r="K474" s="1"/>
      <c r="L474" s="1"/>
      <c r="M474" s="1"/>
      <c r="N474" s="1">
        <v>8</v>
      </c>
      <c r="O474" s="1">
        <v>10</v>
      </c>
    </row>
    <row r="475" spans="1:20" x14ac:dyDescent="0.25">
      <c r="A475" s="8" t="s">
        <v>173</v>
      </c>
      <c r="B475" s="8" t="s">
        <v>123</v>
      </c>
      <c r="C475" s="8" t="s">
        <v>448</v>
      </c>
      <c r="D475" s="1"/>
      <c r="E475" s="1"/>
      <c r="F475" s="1"/>
      <c r="G475" s="1">
        <f>T475</f>
        <v>-10</v>
      </c>
      <c r="H475" s="1"/>
      <c r="I475" s="1"/>
      <c r="J475" s="1"/>
      <c r="K475" s="1"/>
      <c r="L475" s="1"/>
      <c r="M475" s="1"/>
      <c r="N475" s="1">
        <v>8</v>
      </c>
      <c r="O475" s="1">
        <v>40</v>
      </c>
      <c r="P475">
        <v>-5</v>
      </c>
      <c r="T475">
        <v>-10</v>
      </c>
    </row>
    <row r="476" spans="1:20" x14ac:dyDescent="0.25">
      <c r="A476" s="8" t="s">
        <v>173</v>
      </c>
      <c r="B476" s="8" t="s">
        <v>124</v>
      </c>
      <c r="C476" s="8" t="s">
        <v>448</v>
      </c>
      <c r="D476" s="1"/>
      <c r="E476" s="1"/>
      <c r="F476" s="1"/>
      <c r="G476" s="1">
        <f>T476</f>
        <v>10</v>
      </c>
      <c r="H476" s="1"/>
      <c r="I476" s="1"/>
      <c r="J476" s="1"/>
      <c r="K476" s="1"/>
      <c r="L476" s="1"/>
      <c r="M476" s="1"/>
      <c r="N476" s="1">
        <v>8</v>
      </c>
      <c r="O476" s="1">
        <v>20</v>
      </c>
      <c r="T476">
        <v>10</v>
      </c>
    </row>
    <row r="477" spans="1:20" x14ac:dyDescent="0.25">
      <c r="A477" s="8" t="s">
        <v>173</v>
      </c>
      <c r="B477" s="8" t="s">
        <v>125</v>
      </c>
      <c r="C477" s="8" t="s">
        <v>448</v>
      </c>
      <c r="D477" s="1"/>
      <c r="E477" s="1"/>
      <c r="F477" s="1"/>
      <c r="G477" s="1">
        <v>20</v>
      </c>
      <c r="H477" s="1"/>
      <c r="I477" s="1"/>
      <c r="J477" s="1"/>
      <c r="K477" s="1"/>
      <c r="L477" s="1"/>
      <c r="M477" s="1"/>
      <c r="N477" s="1">
        <v>8</v>
      </c>
      <c r="O477" s="1">
        <v>10</v>
      </c>
    </row>
    <row r="478" spans="1:20" x14ac:dyDescent="0.25">
      <c r="A478" s="8" t="s">
        <v>173</v>
      </c>
      <c r="B478" s="8" t="s">
        <v>126</v>
      </c>
      <c r="C478" s="8" t="s">
        <v>448</v>
      </c>
      <c r="D478" s="1"/>
      <c r="E478" s="1"/>
      <c r="F478" s="1"/>
      <c r="G478" s="1">
        <v>20</v>
      </c>
      <c r="H478" s="1"/>
      <c r="I478" s="1"/>
      <c r="J478" s="1"/>
      <c r="K478" s="1"/>
      <c r="L478" s="1"/>
      <c r="M478" s="1"/>
      <c r="N478" s="1">
        <v>8</v>
      </c>
      <c r="O478" s="1">
        <v>10</v>
      </c>
      <c r="P478">
        <v>-5</v>
      </c>
    </row>
    <row r="479" spans="1:20" x14ac:dyDescent="0.25">
      <c r="A479" s="8" t="s">
        <v>173</v>
      </c>
      <c r="B479" s="8" t="s">
        <v>127</v>
      </c>
      <c r="C479" s="8" t="s">
        <v>448</v>
      </c>
      <c r="D479" s="1"/>
      <c r="E479" s="1"/>
      <c r="F479" s="1"/>
      <c r="G479" s="1">
        <v>20</v>
      </c>
      <c r="H479" s="1"/>
      <c r="I479" s="1"/>
      <c r="J479" s="1"/>
      <c r="K479" s="1"/>
      <c r="L479" s="1"/>
      <c r="M479" s="1"/>
      <c r="N479" s="1">
        <v>8</v>
      </c>
      <c r="O479" s="1">
        <v>10</v>
      </c>
    </row>
    <row r="480" spans="1:20" x14ac:dyDescent="0.25">
      <c r="A480" s="8" t="s">
        <v>173</v>
      </c>
      <c r="B480" s="8" t="s">
        <v>128</v>
      </c>
      <c r="C480" s="8" t="s">
        <v>448</v>
      </c>
      <c r="D480" s="1"/>
      <c r="E480" s="1"/>
      <c r="F480" s="1"/>
      <c r="G480" s="1">
        <v>20</v>
      </c>
      <c r="H480" s="1"/>
      <c r="I480" s="1"/>
      <c r="J480" s="1"/>
      <c r="K480" s="1"/>
      <c r="L480" s="1"/>
      <c r="M480" s="1"/>
      <c r="N480" s="1">
        <v>8</v>
      </c>
      <c r="O480" s="1">
        <v>10</v>
      </c>
    </row>
    <row r="481" spans="1:20" x14ac:dyDescent="0.25">
      <c r="A481" s="8" t="s">
        <v>173</v>
      </c>
      <c r="B481" s="8" t="s">
        <v>129</v>
      </c>
      <c r="C481" s="8" t="s">
        <v>448</v>
      </c>
      <c r="D481" s="1"/>
      <c r="E481" s="1"/>
      <c r="F481" s="1"/>
      <c r="G481" s="1">
        <v>20</v>
      </c>
      <c r="H481" s="1"/>
      <c r="I481" s="1"/>
      <c r="J481" s="1"/>
      <c r="K481" s="1"/>
      <c r="L481" s="1"/>
      <c r="M481" s="1"/>
      <c r="N481" s="1">
        <v>8</v>
      </c>
      <c r="O481" s="1">
        <v>10</v>
      </c>
    </row>
    <row r="482" spans="1:20" x14ac:dyDescent="0.25">
      <c r="A482" s="8" t="s">
        <v>173</v>
      </c>
      <c r="B482" s="8" t="s">
        <v>130</v>
      </c>
      <c r="C482" s="8" t="s">
        <v>448</v>
      </c>
      <c r="D482" s="1"/>
      <c r="E482" s="1"/>
      <c r="F482" s="1"/>
      <c r="G482" s="1">
        <f>T482</f>
        <v>-4</v>
      </c>
      <c r="H482" s="1"/>
      <c r="I482" s="1"/>
      <c r="J482" s="1"/>
      <c r="K482" s="1"/>
      <c r="L482" s="1"/>
      <c r="M482" s="1"/>
      <c r="N482" s="1">
        <v>9</v>
      </c>
      <c r="O482" s="1">
        <v>35</v>
      </c>
      <c r="P482">
        <v>-5</v>
      </c>
      <c r="T482">
        <v>-4</v>
      </c>
    </row>
    <row r="483" spans="1:20" x14ac:dyDescent="0.25">
      <c r="A483" s="8" t="s">
        <v>173</v>
      </c>
      <c r="B483" s="8" t="s">
        <v>1220</v>
      </c>
      <c r="C483" s="8" t="s">
        <v>448</v>
      </c>
      <c r="D483" s="1"/>
      <c r="E483" s="1"/>
      <c r="F483" s="1"/>
      <c r="G483" s="1">
        <v>20</v>
      </c>
      <c r="H483" s="1"/>
      <c r="I483" s="1"/>
      <c r="J483" s="1"/>
      <c r="K483" s="1"/>
      <c r="L483" s="1"/>
      <c r="M483" s="1"/>
      <c r="N483" s="1">
        <v>15</v>
      </c>
      <c r="O483" s="1">
        <v>15</v>
      </c>
      <c r="P483">
        <v>-5</v>
      </c>
    </row>
    <row r="484" spans="1:20" x14ac:dyDescent="0.25">
      <c r="A484" s="8" t="s">
        <v>173</v>
      </c>
      <c r="B484" s="8" t="s">
        <v>131</v>
      </c>
      <c r="C484" s="8" t="s">
        <v>448</v>
      </c>
      <c r="D484" s="1"/>
      <c r="E484" s="1"/>
      <c r="F484" s="1"/>
      <c r="G484" s="1">
        <v>20</v>
      </c>
      <c r="H484" s="1"/>
      <c r="I484" s="1"/>
      <c r="J484" s="1"/>
      <c r="K484" s="1"/>
      <c r="L484" s="1"/>
      <c r="M484" s="1"/>
      <c r="N484" s="1">
        <v>8</v>
      </c>
      <c r="O484" s="1">
        <v>10</v>
      </c>
      <c r="P484">
        <v>-5</v>
      </c>
    </row>
    <row r="485" spans="1:20" x14ac:dyDescent="0.25">
      <c r="A485" s="8" t="s">
        <v>173</v>
      </c>
      <c r="B485" s="8" t="s">
        <v>132</v>
      </c>
      <c r="C485" s="8" t="s">
        <v>448</v>
      </c>
      <c r="D485" s="1"/>
      <c r="E485" s="1"/>
      <c r="F485" s="1"/>
      <c r="G485" s="1">
        <v>20</v>
      </c>
      <c r="H485" s="1"/>
      <c r="I485" s="1"/>
      <c r="J485" s="1"/>
      <c r="K485" s="1"/>
      <c r="L485" s="1"/>
      <c r="M485" s="1"/>
      <c r="N485" s="1">
        <v>8</v>
      </c>
      <c r="O485" s="1">
        <v>10</v>
      </c>
    </row>
    <row r="486" spans="1:20" x14ac:dyDescent="0.25">
      <c r="A486" s="8" t="s">
        <v>173</v>
      </c>
      <c r="B486" s="8" t="s">
        <v>133</v>
      </c>
      <c r="C486" s="8" t="s">
        <v>448</v>
      </c>
      <c r="D486" s="1"/>
      <c r="E486" s="1"/>
      <c r="F486" s="1"/>
      <c r="G486" s="1">
        <v>20</v>
      </c>
      <c r="H486" s="1"/>
      <c r="I486" s="1"/>
      <c r="J486" s="1"/>
      <c r="K486" s="1"/>
      <c r="L486" s="1"/>
      <c r="M486" s="1"/>
      <c r="N486" s="1">
        <v>9</v>
      </c>
      <c r="O486" s="1">
        <v>10</v>
      </c>
      <c r="P486">
        <v>-5</v>
      </c>
    </row>
    <row r="487" spans="1:20" x14ac:dyDescent="0.25">
      <c r="A487" s="8" t="s">
        <v>173</v>
      </c>
      <c r="B487" s="8" t="s">
        <v>134</v>
      </c>
      <c r="C487" s="8" t="s">
        <v>180</v>
      </c>
      <c r="D487" s="1"/>
      <c r="E487" s="1"/>
      <c r="F487" s="1"/>
      <c r="G487" s="1">
        <v>20</v>
      </c>
      <c r="H487" s="1"/>
      <c r="I487" s="1"/>
      <c r="J487" s="1"/>
      <c r="K487" s="1"/>
      <c r="L487" s="1"/>
      <c r="M487" s="1"/>
      <c r="N487" s="1">
        <v>9</v>
      </c>
      <c r="O487" s="1">
        <v>10</v>
      </c>
      <c r="P487">
        <v>-5</v>
      </c>
    </row>
    <row r="488" spans="1:20" x14ac:dyDescent="0.25">
      <c r="A488" s="8" t="s">
        <v>173</v>
      </c>
      <c r="B488" s="8" t="s">
        <v>1068</v>
      </c>
      <c r="C488" s="8" t="s">
        <v>180</v>
      </c>
      <c r="D488" s="1"/>
      <c r="E488" s="1"/>
      <c r="F488" s="1"/>
      <c r="G488" s="1">
        <v>20</v>
      </c>
      <c r="H488" s="1"/>
      <c r="I488" s="1"/>
      <c r="J488" s="1"/>
      <c r="K488" s="1"/>
      <c r="L488" s="1"/>
      <c r="M488" s="1"/>
      <c r="N488" s="1">
        <v>7</v>
      </c>
      <c r="O488" s="1">
        <v>10</v>
      </c>
      <c r="P488">
        <v>-5</v>
      </c>
    </row>
    <row r="489" spans="1:20" x14ac:dyDescent="0.25">
      <c r="A489" s="8" t="s">
        <v>173</v>
      </c>
      <c r="B489" s="8" t="s">
        <v>135</v>
      </c>
      <c r="C489" s="8" t="s">
        <v>448</v>
      </c>
      <c r="D489" s="1"/>
      <c r="E489" s="1"/>
      <c r="F489" s="1"/>
      <c r="G489" s="1">
        <v>20</v>
      </c>
      <c r="H489" s="1"/>
      <c r="I489" s="1"/>
      <c r="J489" s="1"/>
      <c r="K489" s="1"/>
      <c r="L489" s="1"/>
      <c r="M489" s="1"/>
      <c r="N489" s="1">
        <v>8</v>
      </c>
      <c r="O489" s="1">
        <v>10</v>
      </c>
    </row>
    <row r="490" spans="1:20" x14ac:dyDescent="0.25">
      <c r="A490" s="8" t="s">
        <v>173</v>
      </c>
      <c r="B490" s="8" t="s">
        <v>136</v>
      </c>
      <c r="C490" s="8" t="s">
        <v>448</v>
      </c>
      <c r="D490" s="1"/>
      <c r="E490" s="1"/>
      <c r="F490" s="1"/>
      <c r="G490" s="1">
        <v>20</v>
      </c>
      <c r="H490" s="1"/>
      <c r="I490" s="1"/>
      <c r="J490" s="1"/>
      <c r="K490" s="1"/>
      <c r="L490" s="1"/>
      <c r="M490" s="1"/>
      <c r="N490" s="1">
        <v>10</v>
      </c>
      <c r="O490" s="1">
        <v>10</v>
      </c>
      <c r="P490">
        <v>-5</v>
      </c>
    </row>
    <row r="491" spans="1:20" x14ac:dyDescent="0.25">
      <c r="A491" s="8" t="s">
        <v>173</v>
      </c>
      <c r="B491" s="8" t="s">
        <v>137</v>
      </c>
      <c r="C491" s="8" t="s">
        <v>448</v>
      </c>
      <c r="D491" s="1"/>
      <c r="E491" s="1"/>
      <c r="F491" s="1"/>
      <c r="G491" s="1">
        <v>20</v>
      </c>
      <c r="H491" s="1"/>
      <c r="I491" s="1"/>
      <c r="J491" s="1"/>
      <c r="K491" s="1"/>
      <c r="L491" s="1"/>
      <c r="M491" s="1"/>
      <c r="N491" s="1">
        <v>9</v>
      </c>
      <c r="O491" s="1">
        <v>10</v>
      </c>
      <c r="P491">
        <v>-5</v>
      </c>
    </row>
    <row r="492" spans="1:20" x14ac:dyDescent="0.25">
      <c r="A492" s="8" t="s">
        <v>173</v>
      </c>
      <c r="B492" s="8" t="s">
        <v>138</v>
      </c>
      <c r="C492" s="8" t="s">
        <v>448</v>
      </c>
      <c r="D492" s="1"/>
      <c r="E492" s="1"/>
      <c r="F492" s="1"/>
      <c r="G492" s="1">
        <v>20</v>
      </c>
      <c r="H492" s="1"/>
      <c r="I492" s="1"/>
      <c r="J492" s="1"/>
      <c r="K492" s="1"/>
      <c r="L492" s="1"/>
      <c r="M492" s="1"/>
      <c r="N492" s="1">
        <v>8</v>
      </c>
      <c r="O492" s="1">
        <v>10</v>
      </c>
    </row>
    <row r="493" spans="1:20" x14ac:dyDescent="0.25">
      <c r="A493" s="8" t="s">
        <v>173</v>
      </c>
      <c r="B493" s="8" t="s">
        <v>139</v>
      </c>
      <c r="C493" s="8" t="s">
        <v>448</v>
      </c>
      <c r="D493" s="1"/>
      <c r="E493" s="1"/>
      <c r="F493" s="1"/>
      <c r="G493" s="1">
        <v>20</v>
      </c>
      <c r="H493" s="1"/>
      <c r="I493" s="1"/>
      <c r="J493" s="1"/>
      <c r="K493" s="1"/>
      <c r="L493" s="1"/>
      <c r="M493" s="1"/>
      <c r="N493" s="1">
        <v>8</v>
      </c>
      <c r="O493" s="1">
        <v>10</v>
      </c>
    </row>
    <row r="494" spans="1:20" x14ac:dyDescent="0.25">
      <c r="A494" s="8" t="s">
        <v>173</v>
      </c>
      <c r="B494" s="8" t="s">
        <v>140</v>
      </c>
      <c r="C494" s="8" t="s">
        <v>448</v>
      </c>
      <c r="D494" s="1"/>
      <c r="E494" s="1"/>
      <c r="F494" s="1"/>
      <c r="G494" s="1">
        <v>20</v>
      </c>
      <c r="H494" s="1"/>
      <c r="I494" s="1"/>
      <c r="J494" s="1"/>
      <c r="K494" s="1"/>
      <c r="L494" s="1"/>
      <c r="M494" s="1"/>
      <c r="N494" s="1">
        <v>10</v>
      </c>
      <c r="O494" s="1">
        <v>10</v>
      </c>
    </row>
    <row r="495" spans="1:20" x14ac:dyDescent="0.25">
      <c r="A495" s="8" t="s">
        <v>173</v>
      </c>
      <c r="B495" s="8" t="s">
        <v>141</v>
      </c>
      <c r="C495" s="8" t="s">
        <v>448</v>
      </c>
      <c r="D495" s="1"/>
      <c r="E495" s="1"/>
      <c r="F495" s="1"/>
      <c r="G495" s="1">
        <v>20</v>
      </c>
      <c r="H495" s="1"/>
      <c r="I495" s="1"/>
      <c r="J495" s="1"/>
      <c r="K495" s="1"/>
      <c r="L495" s="1"/>
      <c r="M495" s="1"/>
      <c r="N495" s="1">
        <v>8</v>
      </c>
      <c r="O495" s="1">
        <v>10</v>
      </c>
      <c r="P495">
        <v>-5</v>
      </c>
    </row>
    <row r="496" spans="1:20" x14ac:dyDescent="0.25">
      <c r="A496" s="8" t="s">
        <v>173</v>
      </c>
      <c r="B496" s="8" t="s">
        <v>142</v>
      </c>
      <c r="C496" s="8" t="s">
        <v>448</v>
      </c>
      <c r="D496" s="1"/>
      <c r="E496" s="1"/>
      <c r="F496" s="1"/>
      <c r="G496" s="1">
        <v>20</v>
      </c>
      <c r="H496" s="1"/>
      <c r="I496" s="1"/>
      <c r="J496" s="1"/>
      <c r="K496" s="1"/>
      <c r="L496" s="1"/>
      <c r="M496" s="1"/>
      <c r="N496" s="1">
        <v>13</v>
      </c>
      <c r="O496" s="1">
        <v>10</v>
      </c>
    </row>
    <row r="497" spans="1:20" x14ac:dyDescent="0.25">
      <c r="A497" s="8" t="s">
        <v>173</v>
      </c>
      <c r="B497" s="8" t="s">
        <v>143</v>
      </c>
      <c r="C497" s="8" t="s">
        <v>448</v>
      </c>
      <c r="D497" s="1"/>
      <c r="E497" s="1"/>
      <c r="F497" s="1"/>
      <c r="G497" s="1">
        <v>20</v>
      </c>
      <c r="H497" s="1"/>
      <c r="I497" s="1"/>
      <c r="J497" s="1"/>
      <c r="K497" s="1"/>
      <c r="L497" s="1"/>
      <c r="M497" s="1"/>
      <c r="N497" s="1">
        <v>8</v>
      </c>
      <c r="O497" s="1">
        <v>10</v>
      </c>
    </row>
    <row r="498" spans="1:20" x14ac:dyDescent="0.25">
      <c r="A498" s="8" t="s">
        <v>173</v>
      </c>
      <c r="B498" s="8" t="s">
        <v>144</v>
      </c>
      <c r="C498" s="8" t="s">
        <v>448</v>
      </c>
      <c r="D498" s="1"/>
      <c r="E498" s="1"/>
      <c r="F498" s="1"/>
      <c r="G498" s="1">
        <v>20</v>
      </c>
      <c r="H498" s="1"/>
      <c r="I498" s="1"/>
      <c r="J498" s="1"/>
      <c r="K498" s="1"/>
      <c r="L498" s="1"/>
      <c r="M498" s="1"/>
      <c r="N498" s="1">
        <v>8</v>
      </c>
      <c r="O498" s="1">
        <v>10</v>
      </c>
      <c r="P498">
        <v>-5</v>
      </c>
    </row>
    <row r="499" spans="1:20" x14ac:dyDescent="0.25">
      <c r="A499" s="8" t="s">
        <v>173</v>
      </c>
      <c r="B499" s="8" t="s">
        <v>145</v>
      </c>
      <c r="C499" s="8" t="s">
        <v>448</v>
      </c>
      <c r="D499" s="1"/>
      <c r="E499" s="1"/>
      <c r="F499" s="1"/>
      <c r="G499" s="1">
        <v>20</v>
      </c>
      <c r="H499" s="1"/>
      <c r="I499" s="1"/>
      <c r="J499" s="1"/>
      <c r="K499" s="1"/>
      <c r="L499" s="1"/>
      <c r="M499" s="1"/>
      <c r="N499" s="1">
        <v>8</v>
      </c>
      <c r="O499" s="1">
        <v>10</v>
      </c>
    </row>
    <row r="500" spans="1:20" x14ac:dyDescent="0.25">
      <c r="A500" s="8" t="s">
        <v>173</v>
      </c>
      <c r="B500" s="8" t="s">
        <v>146</v>
      </c>
      <c r="C500" s="8" t="s">
        <v>448</v>
      </c>
      <c r="D500" s="1"/>
      <c r="E500" s="1"/>
      <c r="F500" s="1"/>
      <c r="G500" s="1">
        <v>20</v>
      </c>
      <c r="H500" s="1"/>
      <c r="I500" s="1"/>
      <c r="J500" s="1"/>
      <c r="K500" s="1"/>
      <c r="L500" s="1"/>
      <c r="M500" s="1"/>
      <c r="N500" s="1">
        <v>8</v>
      </c>
      <c r="O500" s="1">
        <v>10</v>
      </c>
      <c r="P500">
        <v>-5</v>
      </c>
    </row>
    <row r="501" spans="1:20" x14ac:dyDescent="0.25">
      <c r="A501" s="8" t="s">
        <v>173</v>
      </c>
      <c r="B501" s="8" t="s">
        <v>147</v>
      </c>
      <c r="C501" s="8" t="s">
        <v>448</v>
      </c>
      <c r="D501" s="1"/>
      <c r="E501" s="1"/>
      <c r="F501" s="1"/>
      <c r="G501" s="1">
        <v>20</v>
      </c>
      <c r="H501" s="1"/>
      <c r="I501" s="1"/>
      <c r="J501" s="1"/>
      <c r="K501" s="1"/>
      <c r="L501" s="1"/>
      <c r="M501" s="1"/>
      <c r="N501" s="1">
        <v>8</v>
      </c>
      <c r="O501" s="1">
        <v>10</v>
      </c>
      <c r="P501">
        <v>-5</v>
      </c>
    </row>
    <row r="502" spans="1:20" x14ac:dyDescent="0.25">
      <c r="A502" s="8" t="s">
        <v>173</v>
      </c>
      <c r="B502" s="8" t="s">
        <v>148</v>
      </c>
      <c r="C502" s="8" t="s">
        <v>448</v>
      </c>
      <c r="D502" s="1"/>
      <c r="E502" s="1"/>
      <c r="F502" s="1"/>
      <c r="G502" s="1">
        <f>T502</f>
        <v>15</v>
      </c>
      <c r="H502" s="1"/>
      <c r="I502" s="1"/>
      <c r="J502" s="1"/>
      <c r="K502" s="1"/>
      <c r="L502" s="1"/>
      <c r="M502" s="1"/>
      <c r="N502" s="1">
        <v>8</v>
      </c>
      <c r="O502" s="1">
        <v>10</v>
      </c>
      <c r="T502">
        <v>15</v>
      </c>
    </row>
    <row r="503" spans="1:20" x14ac:dyDescent="0.25">
      <c r="A503" s="8" t="s">
        <v>173</v>
      </c>
      <c r="B503" s="8" t="s">
        <v>149</v>
      </c>
      <c r="C503" s="8" t="s">
        <v>448</v>
      </c>
      <c r="D503" s="1"/>
      <c r="E503" s="1"/>
      <c r="F503" s="1"/>
      <c r="G503" s="1">
        <v>20</v>
      </c>
      <c r="H503" s="1"/>
      <c r="I503" s="1"/>
      <c r="J503" s="1"/>
      <c r="K503" s="1"/>
      <c r="L503" s="1"/>
      <c r="M503" s="1"/>
      <c r="N503" s="1">
        <v>8</v>
      </c>
      <c r="O503" s="1">
        <v>10</v>
      </c>
      <c r="P503">
        <v>-5</v>
      </c>
    </row>
    <row r="504" spans="1:20" x14ac:dyDescent="0.25">
      <c r="A504" s="8" t="s">
        <v>173</v>
      </c>
      <c r="B504" s="8" t="s">
        <v>150</v>
      </c>
      <c r="C504" s="8" t="s">
        <v>448</v>
      </c>
      <c r="D504" s="1"/>
      <c r="E504" s="1"/>
      <c r="F504" s="1"/>
      <c r="G504" s="1">
        <v>20</v>
      </c>
      <c r="H504" s="1"/>
      <c r="I504" s="1"/>
      <c r="J504" s="1"/>
      <c r="K504" s="1"/>
      <c r="L504" s="1"/>
      <c r="M504" s="1"/>
      <c r="N504" s="1">
        <v>8</v>
      </c>
      <c r="O504" s="1">
        <v>10</v>
      </c>
      <c r="P504">
        <v>-5</v>
      </c>
    </row>
    <row r="505" spans="1:20" x14ac:dyDescent="0.25">
      <c r="A505" s="8" t="s">
        <v>173</v>
      </c>
      <c r="B505" s="8" t="s">
        <v>151</v>
      </c>
      <c r="C505" s="8" t="s">
        <v>448</v>
      </c>
      <c r="D505" s="1"/>
      <c r="E505" s="1"/>
      <c r="F505" s="1"/>
      <c r="G505" s="1">
        <v>20</v>
      </c>
      <c r="H505" s="1"/>
      <c r="I505" s="1"/>
      <c r="J505" s="1"/>
      <c r="K505" s="1"/>
      <c r="L505" s="1"/>
      <c r="M505" s="1"/>
      <c r="N505" s="1">
        <v>9</v>
      </c>
      <c r="O505" s="1">
        <v>10</v>
      </c>
    </row>
    <row r="506" spans="1:20" x14ac:dyDescent="0.25">
      <c r="A506" s="8" t="s">
        <v>173</v>
      </c>
      <c r="B506" s="8" t="s">
        <v>152</v>
      </c>
      <c r="C506" s="8" t="s">
        <v>448</v>
      </c>
      <c r="D506" s="1"/>
      <c r="E506" s="1"/>
      <c r="F506" s="1"/>
      <c r="G506" s="1">
        <f>T506</f>
        <v>10</v>
      </c>
      <c r="H506" s="1"/>
      <c r="I506" s="1"/>
      <c r="J506" s="1"/>
      <c r="K506" s="1"/>
      <c r="L506" s="1"/>
      <c r="M506" s="1"/>
      <c r="N506" s="1">
        <v>9</v>
      </c>
      <c r="O506" s="1">
        <v>10</v>
      </c>
      <c r="T506">
        <v>10</v>
      </c>
    </row>
    <row r="507" spans="1:20" x14ac:dyDescent="0.25">
      <c r="A507" s="8" t="s">
        <v>173</v>
      </c>
      <c r="B507" s="8" t="s">
        <v>153</v>
      </c>
      <c r="C507" s="8" t="s">
        <v>448</v>
      </c>
      <c r="D507" s="1"/>
      <c r="E507" s="1"/>
      <c r="F507" s="1"/>
      <c r="G507" s="1">
        <v>20</v>
      </c>
      <c r="H507" s="1"/>
      <c r="I507" s="1"/>
      <c r="J507" s="1"/>
      <c r="K507" s="1"/>
      <c r="L507" s="1"/>
      <c r="M507" s="1"/>
      <c r="N507" s="1">
        <v>8</v>
      </c>
      <c r="O507" s="1">
        <v>10</v>
      </c>
    </row>
    <row r="508" spans="1:20" x14ac:dyDescent="0.25">
      <c r="A508" s="8" t="s">
        <v>173</v>
      </c>
      <c r="B508" s="8" t="s">
        <v>154</v>
      </c>
      <c r="C508" s="8" t="s">
        <v>448</v>
      </c>
      <c r="D508" s="1"/>
      <c r="E508" s="1"/>
      <c r="F508" s="1"/>
      <c r="G508" s="1">
        <f>T508</f>
        <v>-15</v>
      </c>
      <c r="H508" s="1"/>
      <c r="I508" s="1"/>
      <c r="J508" s="1"/>
      <c r="K508" s="1"/>
      <c r="L508" s="1"/>
      <c r="M508" s="1"/>
      <c r="N508" s="1">
        <v>11</v>
      </c>
      <c r="O508" s="1">
        <v>37</v>
      </c>
      <c r="P508">
        <v>-10</v>
      </c>
      <c r="T508">
        <v>-15</v>
      </c>
    </row>
    <row r="509" spans="1:20" x14ac:dyDescent="0.25">
      <c r="A509" s="8" t="s">
        <v>173</v>
      </c>
      <c r="B509" s="8" t="s">
        <v>155</v>
      </c>
      <c r="C509" s="8" t="s">
        <v>448</v>
      </c>
      <c r="D509" s="1"/>
      <c r="E509" s="1"/>
      <c r="F509" s="1"/>
      <c r="G509" s="1">
        <v>20</v>
      </c>
      <c r="H509" s="1"/>
      <c r="I509" s="1"/>
      <c r="J509" s="1"/>
      <c r="K509" s="1"/>
      <c r="L509" s="1"/>
      <c r="M509" s="1"/>
      <c r="N509" s="1">
        <v>12</v>
      </c>
      <c r="O509" s="1">
        <v>10</v>
      </c>
      <c r="P509">
        <v>-15</v>
      </c>
    </row>
    <row r="510" spans="1:20" x14ac:dyDescent="0.25">
      <c r="A510" s="8" t="s">
        <v>173</v>
      </c>
      <c r="B510" s="8" t="s">
        <v>156</v>
      </c>
      <c r="C510" s="8" t="s">
        <v>448</v>
      </c>
      <c r="D510" s="1"/>
      <c r="E510" s="1"/>
      <c r="F510" s="1"/>
      <c r="G510" s="1">
        <f>T510</f>
        <v>-20</v>
      </c>
      <c r="H510" s="1"/>
      <c r="I510" s="1"/>
      <c r="J510" s="1"/>
      <c r="K510" s="1"/>
      <c r="L510" s="1"/>
      <c r="M510" s="1"/>
      <c r="N510" s="1">
        <v>14</v>
      </c>
      <c r="O510" s="1">
        <v>40</v>
      </c>
      <c r="T510">
        <v>-20</v>
      </c>
    </row>
    <row r="511" spans="1:20" x14ac:dyDescent="0.25">
      <c r="A511" s="8" t="s">
        <v>173</v>
      </c>
      <c r="B511" s="8" t="s">
        <v>157</v>
      </c>
      <c r="C511" s="8" t="s">
        <v>448</v>
      </c>
      <c r="D511" s="1"/>
      <c r="E511" s="1"/>
      <c r="F511" s="1"/>
      <c r="G511" s="1">
        <f>T511</f>
        <v>-23</v>
      </c>
      <c r="H511" s="1"/>
      <c r="I511" s="1"/>
      <c r="J511" s="1"/>
      <c r="K511" s="1"/>
      <c r="L511" s="1"/>
      <c r="M511" s="1"/>
      <c r="N511" s="1">
        <v>14</v>
      </c>
      <c r="O511" s="1">
        <v>45</v>
      </c>
      <c r="P511">
        <v>-10</v>
      </c>
      <c r="T511">
        <v>-23</v>
      </c>
    </row>
    <row r="512" spans="1:20" x14ac:dyDescent="0.25">
      <c r="A512" s="8" t="s">
        <v>173</v>
      </c>
      <c r="B512" s="8" t="s">
        <v>158</v>
      </c>
      <c r="C512" s="8" t="s">
        <v>448</v>
      </c>
      <c r="D512" s="1"/>
      <c r="E512" s="1"/>
      <c r="F512" s="1"/>
      <c r="G512" s="1">
        <f>T512</f>
        <v>-8</v>
      </c>
      <c r="H512" s="1"/>
      <c r="I512" s="1"/>
      <c r="J512" s="1"/>
      <c r="K512" s="1"/>
      <c r="L512" s="1"/>
      <c r="M512" s="1"/>
      <c r="N512" s="1">
        <v>10</v>
      </c>
      <c r="O512" s="1">
        <v>30</v>
      </c>
      <c r="T512">
        <v>-8</v>
      </c>
    </row>
    <row r="513" spans="1:26" x14ac:dyDescent="0.25">
      <c r="A513" s="8" t="s">
        <v>173</v>
      </c>
      <c r="B513" s="8" t="s">
        <v>548</v>
      </c>
      <c r="C513" s="8"/>
      <c r="D513" s="1"/>
      <c r="E513" s="1">
        <f>R513</f>
        <v>15</v>
      </c>
      <c r="F513" s="1"/>
      <c r="G513" s="1"/>
      <c r="H513" s="1"/>
      <c r="I513" s="1"/>
      <c r="J513" s="1"/>
      <c r="K513" s="1"/>
      <c r="L513" s="1"/>
      <c r="M513" s="1"/>
      <c r="N513" s="1">
        <v>13</v>
      </c>
      <c r="O513" s="1">
        <v>15</v>
      </c>
      <c r="R513">
        <v>15</v>
      </c>
    </row>
    <row r="514" spans="1:26" x14ac:dyDescent="0.25">
      <c r="A514" s="8" t="s">
        <v>173</v>
      </c>
      <c r="B514" s="8" t="s">
        <v>159</v>
      </c>
      <c r="C514" s="8" t="s">
        <v>449</v>
      </c>
      <c r="D514" s="1"/>
      <c r="E514" s="1"/>
      <c r="F514" s="1"/>
      <c r="G514" s="1"/>
      <c r="H514" s="1"/>
      <c r="I514" s="1"/>
      <c r="J514" s="1"/>
      <c r="K514" s="1"/>
      <c r="L514" s="1"/>
      <c r="M514" s="1">
        <f>Z514</f>
        <v>51</v>
      </c>
      <c r="N514" s="1">
        <v>30</v>
      </c>
      <c r="O514" s="1">
        <v>20</v>
      </c>
      <c r="Z514">
        <v>51</v>
      </c>
    </row>
    <row r="515" spans="1:26" x14ac:dyDescent="0.25">
      <c r="A515" s="8" t="s">
        <v>173</v>
      </c>
      <c r="B515" s="8" t="s">
        <v>549</v>
      </c>
      <c r="C515" s="8" t="s">
        <v>449</v>
      </c>
      <c r="D515" s="1"/>
      <c r="E515" s="1"/>
      <c r="F515" s="1"/>
      <c r="G515" s="1"/>
      <c r="H515" s="1"/>
      <c r="I515" s="1"/>
      <c r="J515" s="1"/>
      <c r="K515" s="1"/>
      <c r="L515" s="1"/>
      <c r="M515" s="1">
        <f>Z515</f>
        <v>56</v>
      </c>
      <c r="N515" s="1">
        <v>30</v>
      </c>
      <c r="O515" s="1">
        <v>20</v>
      </c>
      <c r="Z515">
        <v>56</v>
      </c>
    </row>
    <row r="516" spans="1:26" x14ac:dyDescent="0.25">
      <c r="A516" s="8" t="s">
        <v>173</v>
      </c>
      <c r="B516" s="8" t="s">
        <v>160</v>
      </c>
      <c r="C516" s="8" t="s">
        <v>181</v>
      </c>
      <c r="D516" s="1"/>
      <c r="E516" s="1"/>
      <c r="F516" s="1"/>
      <c r="G516" s="1"/>
      <c r="H516" s="1">
        <f>U516</f>
        <v>16</v>
      </c>
      <c r="I516" s="1"/>
      <c r="J516" s="1"/>
      <c r="K516" s="1"/>
      <c r="L516" s="1"/>
      <c r="M516" s="1"/>
      <c r="N516" s="1">
        <v>8</v>
      </c>
      <c r="O516" s="1">
        <v>12</v>
      </c>
      <c r="U516">
        <v>16</v>
      </c>
    </row>
    <row r="517" spans="1:26" x14ac:dyDescent="0.25">
      <c r="A517" s="8" t="s">
        <v>173</v>
      </c>
      <c r="B517" s="8" t="s">
        <v>161</v>
      </c>
      <c r="C517" s="8" t="s">
        <v>181</v>
      </c>
      <c r="D517" s="1"/>
      <c r="E517" s="1"/>
      <c r="F517" s="1"/>
      <c r="G517" s="1"/>
      <c r="H517" s="1">
        <f t="shared" ref="H517:H528" si="22">U517</f>
        <v>16</v>
      </c>
      <c r="I517" s="1"/>
      <c r="J517" s="1"/>
      <c r="K517" s="1"/>
      <c r="L517" s="1"/>
      <c r="M517" s="1"/>
      <c r="N517" s="1">
        <v>8</v>
      </c>
      <c r="O517" s="1">
        <v>12</v>
      </c>
      <c r="U517">
        <v>16</v>
      </c>
    </row>
    <row r="518" spans="1:26" x14ac:dyDescent="0.25">
      <c r="A518" s="8" t="s">
        <v>173</v>
      </c>
      <c r="B518" s="8" t="s">
        <v>162</v>
      </c>
      <c r="C518" s="8" t="s">
        <v>181</v>
      </c>
      <c r="D518" s="1"/>
      <c r="E518" s="1"/>
      <c r="F518" s="1"/>
      <c r="G518" s="1"/>
      <c r="H518" s="1">
        <f t="shared" si="22"/>
        <v>16</v>
      </c>
      <c r="I518" s="1"/>
      <c r="J518" s="1"/>
      <c r="K518" s="1"/>
      <c r="L518" s="1"/>
      <c r="M518" s="1"/>
      <c r="N518" s="1">
        <v>8</v>
      </c>
      <c r="O518" s="1">
        <v>12</v>
      </c>
      <c r="U518">
        <v>16</v>
      </c>
    </row>
    <row r="519" spans="1:26" x14ac:dyDescent="0.25">
      <c r="A519" s="8" t="s">
        <v>173</v>
      </c>
      <c r="B519" s="8" t="s">
        <v>163</v>
      </c>
      <c r="C519" s="8" t="s">
        <v>181</v>
      </c>
      <c r="D519" s="1"/>
      <c r="E519" s="1"/>
      <c r="F519" s="1"/>
      <c r="G519" s="1"/>
      <c r="H519" s="1">
        <f t="shared" si="22"/>
        <v>16</v>
      </c>
      <c r="I519" s="1"/>
      <c r="J519" s="1"/>
      <c r="K519" s="1"/>
      <c r="L519" s="1"/>
      <c r="M519" s="1"/>
      <c r="N519" s="1">
        <v>8</v>
      </c>
      <c r="O519" s="1">
        <v>12</v>
      </c>
      <c r="U519">
        <v>16</v>
      </c>
    </row>
    <row r="520" spans="1:26" x14ac:dyDescent="0.25">
      <c r="A520" s="8" t="s">
        <v>173</v>
      </c>
      <c r="B520" s="8" t="s">
        <v>164</v>
      </c>
      <c r="C520" s="8" t="s">
        <v>181</v>
      </c>
      <c r="D520" s="1"/>
      <c r="E520" s="1"/>
      <c r="F520" s="1"/>
      <c r="G520" s="1"/>
      <c r="H520" s="1">
        <f t="shared" si="22"/>
        <v>16</v>
      </c>
      <c r="I520" s="1"/>
      <c r="J520" s="1"/>
      <c r="K520" s="1"/>
      <c r="L520" s="1"/>
      <c r="M520" s="1"/>
      <c r="N520" s="1">
        <v>8</v>
      </c>
      <c r="O520" s="1">
        <v>12</v>
      </c>
      <c r="U520">
        <v>16</v>
      </c>
    </row>
    <row r="521" spans="1:26" x14ac:dyDescent="0.25">
      <c r="A521" s="8" t="s">
        <v>173</v>
      </c>
      <c r="B521" s="8" t="s">
        <v>165</v>
      </c>
      <c r="C521" s="8" t="s">
        <v>181</v>
      </c>
      <c r="D521" s="1"/>
      <c r="E521" s="1"/>
      <c r="F521" s="1"/>
      <c r="G521" s="1"/>
      <c r="H521" s="1">
        <f t="shared" si="22"/>
        <v>16</v>
      </c>
      <c r="I521" s="1"/>
      <c r="J521" s="1"/>
      <c r="K521" s="1"/>
      <c r="L521" s="1"/>
      <c r="M521" s="1"/>
      <c r="N521" s="1">
        <v>8</v>
      </c>
      <c r="O521" s="1">
        <v>12</v>
      </c>
      <c r="U521">
        <v>16</v>
      </c>
    </row>
    <row r="522" spans="1:26" x14ac:dyDescent="0.25">
      <c r="A522" s="8" t="s">
        <v>173</v>
      </c>
      <c r="B522" s="8" t="s">
        <v>166</v>
      </c>
      <c r="C522" s="8" t="s">
        <v>181</v>
      </c>
      <c r="D522" s="1"/>
      <c r="E522" s="1"/>
      <c r="F522" s="1"/>
      <c r="G522" s="1"/>
      <c r="H522" s="1">
        <f t="shared" si="22"/>
        <v>16</v>
      </c>
      <c r="I522" s="1"/>
      <c r="J522" s="1"/>
      <c r="K522" s="1"/>
      <c r="L522" s="1"/>
      <c r="M522" s="1"/>
      <c r="N522" s="1">
        <v>8</v>
      </c>
      <c r="O522" s="1">
        <v>12</v>
      </c>
      <c r="U522">
        <v>16</v>
      </c>
    </row>
    <row r="523" spans="1:26" x14ac:dyDescent="0.25">
      <c r="A523" s="8" t="s">
        <v>173</v>
      </c>
      <c r="B523" s="8" t="s">
        <v>550</v>
      </c>
      <c r="C523" s="8" t="s">
        <v>181</v>
      </c>
      <c r="D523" s="1"/>
      <c r="E523" s="1"/>
      <c r="F523" s="1"/>
      <c r="G523" s="1"/>
      <c r="H523" s="1">
        <f t="shared" si="22"/>
        <v>16</v>
      </c>
      <c r="I523" s="1"/>
      <c r="J523" s="1"/>
      <c r="K523" s="1"/>
      <c r="L523" s="1"/>
      <c r="M523" s="1"/>
      <c r="N523" s="1">
        <v>13</v>
      </c>
      <c r="O523" s="1">
        <v>12</v>
      </c>
      <c r="U523">
        <v>16</v>
      </c>
    </row>
    <row r="524" spans="1:26" x14ac:dyDescent="0.25">
      <c r="A524" s="8" t="s">
        <v>173</v>
      </c>
      <c r="B524" s="8" t="s">
        <v>167</v>
      </c>
      <c r="C524" s="8" t="s">
        <v>181</v>
      </c>
      <c r="D524" s="1"/>
      <c r="E524" s="1"/>
      <c r="F524" s="1"/>
      <c r="G524" s="1"/>
      <c r="H524" s="1">
        <f t="shared" si="22"/>
        <v>16</v>
      </c>
      <c r="I524" s="1"/>
      <c r="J524" s="1"/>
      <c r="K524" s="1"/>
      <c r="L524" s="1"/>
      <c r="M524" s="1"/>
      <c r="N524" s="1">
        <v>13</v>
      </c>
      <c r="O524" s="1">
        <v>12</v>
      </c>
      <c r="U524">
        <v>16</v>
      </c>
    </row>
    <row r="525" spans="1:26" x14ac:dyDescent="0.25">
      <c r="A525" s="8" t="s">
        <v>173</v>
      </c>
      <c r="B525" s="8" t="s">
        <v>168</v>
      </c>
      <c r="C525" s="8" t="s">
        <v>181</v>
      </c>
      <c r="D525" s="1"/>
      <c r="E525" s="1"/>
      <c r="F525" s="1"/>
      <c r="G525" s="1"/>
      <c r="H525" s="1">
        <f t="shared" si="22"/>
        <v>16</v>
      </c>
      <c r="I525" s="1"/>
      <c r="J525" s="1"/>
      <c r="K525" s="1"/>
      <c r="L525" s="1"/>
      <c r="M525" s="1"/>
      <c r="N525" s="1">
        <v>11</v>
      </c>
      <c r="O525" s="1">
        <v>12</v>
      </c>
      <c r="U525">
        <v>16</v>
      </c>
    </row>
    <row r="526" spans="1:26" x14ac:dyDescent="0.25">
      <c r="A526" s="8" t="s">
        <v>173</v>
      </c>
      <c r="B526" s="8" t="s">
        <v>551</v>
      </c>
      <c r="C526" s="8" t="s">
        <v>181</v>
      </c>
      <c r="D526" s="1"/>
      <c r="E526" s="1"/>
      <c r="F526" s="1"/>
      <c r="G526" s="1"/>
      <c r="H526" s="1">
        <f t="shared" si="22"/>
        <v>16</v>
      </c>
      <c r="I526" s="1"/>
      <c r="J526" s="1"/>
      <c r="K526" s="1"/>
      <c r="L526" s="1"/>
      <c r="M526" s="1"/>
      <c r="N526" s="1">
        <v>11</v>
      </c>
      <c r="O526" s="1">
        <v>12</v>
      </c>
      <c r="U526">
        <v>16</v>
      </c>
    </row>
    <row r="527" spans="1:26" x14ac:dyDescent="0.25">
      <c r="A527" s="8" t="s">
        <v>173</v>
      </c>
      <c r="B527" s="8" t="s">
        <v>169</v>
      </c>
      <c r="C527" s="8" t="s">
        <v>181</v>
      </c>
      <c r="D527" s="1"/>
      <c r="E527" s="1"/>
      <c r="F527" s="1"/>
      <c r="G527" s="1"/>
      <c r="H527" s="1">
        <f t="shared" si="22"/>
        <v>16</v>
      </c>
      <c r="I527" s="1"/>
      <c r="J527" s="1"/>
      <c r="K527" s="1"/>
      <c r="L527" s="1"/>
      <c r="M527" s="1"/>
      <c r="N527" s="1">
        <v>16</v>
      </c>
      <c r="O527" s="1">
        <v>12</v>
      </c>
      <c r="U527">
        <v>16</v>
      </c>
    </row>
    <row r="528" spans="1:26" x14ac:dyDescent="0.25">
      <c r="A528" s="8" t="s">
        <v>173</v>
      </c>
      <c r="B528" s="8" t="s">
        <v>1221</v>
      </c>
      <c r="C528" s="8" t="s">
        <v>181</v>
      </c>
      <c r="D528" s="1"/>
      <c r="E528" s="1"/>
      <c r="F528" s="1"/>
      <c r="G528" s="1"/>
      <c r="H528" s="1">
        <f t="shared" si="22"/>
        <v>16</v>
      </c>
      <c r="I528" s="1"/>
      <c r="J528" s="1"/>
      <c r="K528" s="1"/>
      <c r="L528" s="1"/>
      <c r="M528" s="1"/>
      <c r="N528" s="1">
        <v>16</v>
      </c>
      <c r="O528" s="1">
        <v>12</v>
      </c>
      <c r="U528">
        <v>16</v>
      </c>
    </row>
    <row r="529" spans="1:25" x14ac:dyDescent="0.25">
      <c r="A529" s="8" t="s">
        <v>688</v>
      </c>
      <c r="B529" s="8"/>
      <c r="C529" s="8" t="s">
        <v>688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25" x14ac:dyDescent="0.25">
      <c r="A530" s="8" t="s">
        <v>688</v>
      </c>
      <c r="B530" s="8"/>
      <c r="C530" s="8" t="s">
        <v>688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25" x14ac:dyDescent="0.25">
      <c r="A531" s="8" t="s">
        <v>688</v>
      </c>
      <c r="B531" s="8"/>
      <c r="C531" s="8" t="s">
        <v>688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25" x14ac:dyDescent="0.25">
      <c r="A532" s="8" t="s">
        <v>688</v>
      </c>
      <c r="B532" s="8"/>
      <c r="C532" s="8" t="s">
        <v>688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25" x14ac:dyDescent="0.25">
      <c r="A533" s="8" t="s">
        <v>423</v>
      </c>
      <c r="B533" s="3" t="s">
        <v>623</v>
      </c>
      <c r="C533" s="8" t="s">
        <v>180</v>
      </c>
      <c r="D533" s="1"/>
      <c r="E533" s="1"/>
      <c r="F533" s="1"/>
      <c r="G533" s="1">
        <v>20</v>
      </c>
      <c r="H533" s="1"/>
      <c r="I533" s="1"/>
      <c r="J533" s="1"/>
      <c r="K533" s="1"/>
      <c r="L533" s="1"/>
      <c r="M533" s="1"/>
      <c r="N533" s="1">
        <v>18</v>
      </c>
      <c r="O533" s="1">
        <v>10</v>
      </c>
      <c r="P533">
        <v>-25</v>
      </c>
    </row>
    <row r="534" spans="1:25" x14ac:dyDescent="0.25">
      <c r="A534" s="8" t="s">
        <v>423</v>
      </c>
      <c r="B534" s="9" t="s">
        <v>238</v>
      </c>
      <c r="C534" s="8" t="s">
        <v>179</v>
      </c>
      <c r="D534" s="1"/>
      <c r="E534" s="1"/>
      <c r="F534" s="1">
        <f>S534</f>
        <v>20</v>
      </c>
      <c r="G534" s="1"/>
      <c r="H534" s="1"/>
      <c r="I534" s="1"/>
      <c r="J534" s="1"/>
      <c r="K534" s="1"/>
      <c r="L534" s="1"/>
      <c r="M534" s="1"/>
      <c r="N534" s="1">
        <v>10</v>
      </c>
      <c r="O534" s="1">
        <v>15</v>
      </c>
      <c r="R534" s="1"/>
      <c r="S534" s="1">
        <v>20</v>
      </c>
      <c r="T534" s="1"/>
      <c r="U534" s="1"/>
      <c r="V534" s="1"/>
      <c r="W534" s="1"/>
      <c r="X534" s="1"/>
      <c r="Y534" s="1"/>
    </row>
    <row r="535" spans="1:25" x14ac:dyDescent="0.25">
      <c r="A535" s="8" t="s">
        <v>423</v>
      </c>
      <c r="B535" s="9" t="s">
        <v>239</v>
      </c>
      <c r="C535" s="8" t="s">
        <v>179</v>
      </c>
      <c r="D535" s="1"/>
      <c r="E535" s="1"/>
      <c r="F535" s="1">
        <f>S535</f>
        <v>20</v>
      </c>
      <c r="G535" s="1"/>
      <c r="H535" s="1"/>
      <c r="I535" s="1"/>
      <c r="J535" s="1"/>
      <c r="K535" s="1"/>
      <c r="L535" s="1"/>
      <c r="M535" s="1"/>
      <c r="N535" s="1">
        <v>10</v>
      </c>
      <c r="O535" s="1">
        <v>15</v>
      </c>
      <c r="R535" s="1"/>
      <c r="S535" s="1">
        <v>20</v>
      </c>
      <c r="T535" s="1"/>
      <c r="U535" s="1"/>
      <c r="V535" s="1"/>
      <c r="W535" s="1"/>
      <c r="X535" s="1"/>
      <c r="Y535" s="1"/>
    </row>
    <row r="536" spans="1:25" x14ac:dyDescent="0.25">
      <c r="A536" s="8" t="s">
        <v>423</v>
      </c>
      <c r="B536" s="9" t="s">
        <v>240</v>
      </c>
      <c r="C536" s="8" t="s">
        <v>179</v>
      </c>
      <c r="D536" s="1"/>
      <c r="E536" s="1"/>
      <c r="F536" s="1">
        <f t="shared" ref="F536:F537" si="23">S536</f>
        <v>20</v>
      </c>
      <c r="G536" s="1"/>
      <c r="H536" s="1"/>
      <c r="I536" s="1"/>
      <c r="J536" s="1"/>
      <c r="K536" s="1"/>
      <c r="L536" s="1"/>
      <c r="M536" s="1"/>
      <c r="N536" s="1">
        <v>18</v>
      </c>
      <c r="O536" s="1">
        <v>15</v>
      </c>
      <c r="R536" s="1"/>
      <c r="S536" s="1">
        <v>20</v>
      </c>
      <c r="T536" s="1"/>
      <c r="U536" s="1"/>
      <c r="V536" s="1"/>
      <c r="W536" s="1"/>
      <c r="X536" s="1"/>
      <c r="Y536" s="1"/>
    </row>
    <row r="537" spans="1:25" x14ac:dyDescent="0.25">
      <c r="A537" s="8" t="s">
        <v>423</v>
      </c>
      <c r="B537" s="3" t="s">
        <v>624</v>
      </c>
      <c r="C537" s="8" t="s">
        <v>179</v>
      </c>
      <c r="D537" s="1"/>
      <c r="E537" s="1"/>
      <c r="F537" s="1">
        <f t="shared" si="23"/>
        <v>20</v>
      </c>
      <c r="G537" s="1"/>
      <c r="H537" s="1"/>
      <c r="I537" s="1"/>
      <c r="J537" s="1"/>
      <c r="K537" s="1"/>
      <c r="L537" s="1"/>
      <c r="M537" s="1"/>
      <c r="N537" s="1">
        <v>16</v>
      </c>
      <c r="O537" s="1">
        <v>15</v>
      </c>
      <c r="R537" s="1"/>
      <c r="S537" s="1">
        <v>20</v>
      </c>
      <c r="T537" s="1"/>
      <c r="U537" s="1"/>
      <c r="V537" s="1"/>
      <c r="W537" s="1"/>
      <c r="X537" s="1"/>
      <c r="Y537" s="1"/>
    </row>
    <row r="538" spans="1:25" x14ac:dyDescent="0.25">
      <c r="A538" s="8" t="s">
        <v>854</v>
      </c>
      <c r="B538" s="5">
        <v>103061</v>
      </c>
      <c r="C538" s="8" t="s">
        <v>919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>
        <v>6</v>
      </c>
      <c r="O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8" t="s">
        <v>424</v>
      </c>
      <c r="B539" s="5" t="s">
        <v>1241</v>
      </c>
      <c r="C539" s="8" t="s">
        <v>178</v>
      </c>
      <c r="D539" s="1"/>
      <c r="E539" s="1">
        <v>20</v>
      </c>
      <c r="F539" s="1"/>
      <c r="G539" s="1"/>
      <c r="H539" s="1"/>
      <c r="I539" s="1"/>
      <c r="J539" s="1"/>
      <c r="K539" s="1"/>
      <c r="L539" s="1"/>
      <c r="M539" s="1"/>
      <c r="N539" s="1">
        <v>25</v>
      </c>
      <c r="O539" s="1">
        <v>20</v>
      </c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8" t="s">
        <v>424</v>
      </c>
      <c r="B540" s="9" t="s">
        <v>241</v>
      </c>
      <c r="C540" s="8" t="s">
        <v>178</v>
      </c>
      <c r="D540" s="1"/>
      <c r="E540" s="1">
        <v>15</v>
      </c>
      <c r="F540" s="1"/>
      <c r="G540" s="1"/>
      <c r="H540" s="1"/>
      <c r="I540" s="1"/>
      <c r="J540" s="1"/>
      <c r="K540" s="1"/>
      <c r="L540" s="1"/>
      <c r="M540" s="1"/>
      <c r="N540" s="1">
        <v>19</v>
      </c>
      <c r="O540" s="1">
        <v>15</v>
      </c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8" t="s">
        <v>424</v>
      </c>
      <c r="B541" s="9" t="s">
        <v>242</v>
      </c>
      <c r="C541" s="8" t="s">
        <v>180</v>
      </c>
      <c r="D541" s="1"/>
      <c r="E541" s="1"/>
      <c r="F541" s="1"/>
      <c r="G541" s="1">
        <v>20</v>
      </c>
      <c r="H541" s="1"/>
      <c r="I541" s="1"/>
      <c r="J541" s="1"/>
      <c r="K541" s="1"/>
      <c r="L541" s="1"/>
      <c r="M541" s="1"/>
      <c r="N541" s="1">
        <v>12</v>
      </c>
      <c r="O541" s="1">
        <v>15</v>
      </c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8" t="s">
        <v>424</v>
      </c>
      <c r="B542" s="9" t="s">
        <v>243</v>
      </c>
      <c r="C542" s="8" t="s">
        <v>475</v>
      </c>
      <c r="D542" s="1"/>
      <c r="E542" s="1"/>
      <c r="F542" s="1"/>
      <c r="G542" s="1"/>
      <c r="H542" s="1"/>
      <c r="I542" s="1"/>
      <c r="J542" s="1"/>
      <c r="K542" s="1"/>
      <c r="L542" s="1">
        <f>Y542</f>
        <v>25</v>
      </c>
      <c r="M542" s="1"/>
      <c r="N542" s="1">
        <v>23</v>
      </c>
      <c r="O542" s="1">
        <v>15</v>
      </c>
      <c r="R542" s="1"/>
      <c r="S542" s="1"/>
      <c r="T542" s="1"/>
      <c r="U542" s="1"/>
      <c r="V542" s="1"/>
      <c r="W542" s="1"/>
      <c r="X542" s="1"/>
      <c r="Y542" s="1">
        <v>25</v>
      </c>
    </row>
    <row r="543" spans="1:25" x14ac:dyDescent="0.25">
      <c r="A543" s="8" t="s">
        <v>424</v>
      </c>
      <c r="B543" s="9" t="s">
        <v>244</v>
      </c>
      <c r="C543" s="8" t="s">
        <v>476</v>
      </c>
      <c r="D543" s="1"/>
      <c r="E543" s="1">
        <f>R543</f>
        <v>15</v>
      </c>
      <c r="F543" s="1"/>
      <c r="G543" s="1"/>
      <c r="H543" s="1"/>
      <c r="I543" s="1"/>
      <c r="J543" s="1"/>
      <c r="K543" s="1"/>
      <c r="L543" s="1"/>
      <c r="M543" s="1"/>
      <c r="N543" s="1">
        <v>11</v>
      </c>
      <c r="O543" s="1">
        <v>20</v>
      </c>
      <c r="R543" s="1">
        <v>15</v>
      </c>
      <c r="S543" s="1"/>
      <c r="T543" s="1"/>
      <c r="U543" s="1"/>
      <c r="V543" s="1"/>
      <c r="W543" s="1"/>
      <c r="X543" s="1"/>
      <c r="Y543" s="1"/>
    </row>
    <row r="544" spans="1:25" x14ac:dyDescent="0.25">
      <c r="A544" s="8" t="s">
        <v>424</v>
      </c>
      <c r="B544" s="9" t="s">
        <v>1274</v>
      </c>
      <c r="C544" s="8" t="s">
        <v>179</v>
      </c>
      <c r="D544" s="1"/>
      <c r="E544" s="1"/>
      <c r="F544" s="1">
        <f>S544</f>
        <v>25</v>
      </c>
      <c r="G544" s="1"/>
      <c r="H544" s="1"/>
      <c r="I544" s="1"/>
      <c r="J544" s="1"/>
      <c r="K544" s="1"/>
      <c r="L544" s="1"/>
      <c r="M544" s="1"/>
      <c r="N544" s="1">
        <v>17</v>
      </c>
      <c r="O544" s="1">
        <v>20</v>
      </c>
      <c r="R544" s="1"/>
      <c r="S544" s="1">
        <v>25</v>
      </c>
      <c r="T544" s="1"/>
      <c r="U544" s="1"/>
      <c r="V544" s="1"/>
      <c r="W544" s="1"/>
      <c r="X544" s="1"/>
      <c r="Y544" s="1"/>
    </row>
    <row r="545" spans="1:25" x14ac:dyDescent="0.25">
      <c r="A545" s="8" t="s">
        <v>424</v>
      </c>
      <c r="B545" s="9" t="s">
        <v>245</v>
      </c>
      <c r="C545" s="8" t="s">
        <v>179</v>
      </c>
      <c r="D545" s="1"/>
      <c r="E545" s="1"/>
      <c r="F545" s="1">
        <f>S545</f>
        <v>22</v>
      </c>
      <c r="G545" s="1"/>
      <c r="H545" s="1"/>
      <c r="I545" s="1"/>
      <c r="J545" s="1"/>
      <c r="K545" s="1"/>
      <c r="L545" s="1"/>
      <c r="M545" s="1"/>
      <c r="N545" s="1">
        <v>22</v>
      </c>
      <c r="O545" s="1">
        <v>15</v>
      </c>
      <c r="R545" s="1"/>
      <c r="S545" s="1">
        <v>22</v>
      </c>
      <c r="T545" s="1"/>
      <c r="U545" s="1"/>
      <c r="V545" s="1"/>
      <c r="W545" s="1"/>
      <c r="X545" s="1"/>
      <c r="Y545" s="1"/>
    </row>
    <row r="546" spans="1:25" x14ac:dyDescent="0.25">
      <c r="A546" s="8" t="s">
        <v>424</v>
      </c>
      <c r="B546" s="9" t="s">
        <v>246</v>
      </c>
      <c r="C546" s="8" t="s">
        <v>178</v>
      </c>
      <c r="D546" s="1"/>
      <c r="E546" s="1">
        <v>15</v>
      </c>
      <c r="F546" s="1"/>
      <c r="G546" s="1"/>
      <c r="H546" s="1"/>
      <c r="I546" s="1"/>
      <c r="J546" s="1"/>
      <c r="K546" s="1"/>
      <c r="L546" s="1"/>
      <c r="M546" s="1"/>
      <c r="N546" s="1">
        <v>18</v>
      </c>
      <c r="O546" s="1">
        <v>15</v>
      </c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8" t="s">
        <v>424</v>
      </c>
      <c r="B547" s="9" t="s">
        <v>247</v>
      </c>
      <c r="C547" s="8" t="s">
        <v>180</v>
      </c>
      <c r="D547" s="1"/>
      <c r="E547" s="1"/>
      <c r="F547" s="1"/>
      <c r="G547" s="1">
        <v>20</v>
      </c>
      <c r="H547" s="1"/>
      <c r="I547" s="1"/>
      <c r="J547" s="1"/>
      <c r="K547" s="1"/>
      <c r="L547" s="1"/>
      <c r="M547" s="1"/>
      <c r="N547" s="1">
        <v>17</v>
      </c>
      <c r="O547" s="1">
        <v>15</v>
      </c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8" t="s">
        <v>424</v>
      </c>
      <c r="B548" s="9" t="s">
        <v>1242</v>
      </c>
      <c r="C548" s="8" t="s">
        <v>180</v>
      </c>
      <c r="D548" s="1"/>
      <c r="E548" s="1"/>
      <c r="F548" s="1"/>
      <c r="G548" s="1">
        <v>20</v>
      </c>
      <c r="H548" s="1"/>
      <c r="I548" s="1"/>
      <c r="J548" s="1"/>
      <c r="K548" s="1"/>
      <c r="L548" s="1"/>
      <c r="M548" s="1"/>
      <c r="N548" s="1">
        <v>20</v>
      </c>
      <c r="O548" s="1">
        <v>15</v>
      </c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8" t="s">
        <v>424</v>
      </c>
      <c r="B549" s="9" t="s">
        <v>248</v>
      </c>
      <c r="C549" s="8" t="s">
        <v>176</v>
      </c>
      <c r="D549" s="1">
        <f>Q549</f>
        <v>20</v>
      </c>
      <c r="E549" s="1"/>
      <c r="F549" s="1"/>
      <c r="G549" s="1"/>
      <c r="H549" s="1"/>
      <c r="I549" s="1"/>
      <c r="J549" s="1"/>
      <c r="K549" s="1"/>
      <c r="L549" s="1"/>
      <c r="M549" s="1"/>
      <c r="N549" s="1">
        <v>15</v>
      </c>
      <c r="O549" s="1">
        <v>15</v>
      </c>
      <c r="Q549" s="1">
        <v>20</v>
      </c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8" t="s">
        <v>424</v>
      </c>
      <c r="B550" s="9" t="s">
        <v>249</v>
      </c>
      <c r="C550" s="8" t="s">
        <v>1031</v>
      </c>
      <c r="D550" s="1"/>
      <c r="E550" s="1"/>
      <c r="F550" s="1">
        <f>S550</f>
        <v>20</v>
      </c>
      <c r="G550" s="1"/>
      <c r="H550" s="1"/>
      <c r="I550" s="1"/>
      <c r="J550" s="1"/>
      <c r="K550" s="1"/>
      <c r="L550" s="1"/>
      <c r="M550" s="1"/>
      <c r="N550" s="1">
        <v>19</v>
      </c>
      <c r="O550" s="1">
        <v>15</v>
      </c>
      <c r="R550" s="1"/>
      <c r="S550" s="1">
        <v>20</v>
      </c>
      <c r="T550" s="1"/>
      <c r="U550" s="1"/>
      <c r="V550" s="1"/>
      <c r="W550" s="1"/>
      <c r="X550" s="1"/>
      <c r="Y550" s="1"/>
    </row>
    <row r="551" spans="1:25" x14ac:dyDescent="0.25">
      <c r="A551" s="8" t="s">
        <v>424</v>
      </c>
      <c r="B551" s="9" t="s">
        <v>250</v>
      </c>
      <c r="C551" s="8" t="s">
        <v>1032</v>
      </c>
      <c r="D551" s="1"/>
      <c r="E551" s="1">
        <v>15</v>
      </c>
      <c r="F551" s="1"/>
      <c r="G551" s="1"/>
      <c r="H551" s="1"/>
      <c r="I551" s="1"/>
      <c r="J551" s="1"/>
      <c r="K551" s="1"/>
      <c r="L551" s="1"/>
      <c r="M551" s="1"/>
      <c r="N551" s="1">
        <v>17</v>
      </c>
      <c r="O551" s="1">
        <v>15</v>
      </c>
      <c r="P551">
        <v>-10</v>
      </c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8" t="s">
        <v>424</v>
      </c>
      <c r="B552" s="9" t="s">
        <v>251</v>
      </c>
      <c r="C552" s="8" t="s">
        <v>477</v>
      </c>
      <c r="D552" s="1"/>
      <c r="E552" s="1"/>
      <c r="F552" s="1"/>
      <c r="G552" s="1"/>
      <c r="H552" s="1"/>
      <c r="I552" s="1"/>
      <c r="J552" s="1"/>
      <c r="K552" s="1"/>
      <c r="L552" s="1">
        <f>Y552</f>
        <v>25</v>
      </c>
      <c r="M552" s="1"/>
      <c r="N552" s="1">
        <v>14</v>
      </c>
      <c r="O552" s="1">
        <v>10</v>
      </c>
      <c r="R552" s="1"/>
      <c r="S552" s="1"/>
      <c r="T552" s="1"/>
      <c r="U552" s="1"/>
      <c r="V552" s="1"/>
      <c r="W552" s="1"/>
      <c r="X552" s="1"/>
      <c r="Y552" s="1">
        <v>25</v>
      </c>
    </row>
    <row r="553" spans="1:25" x14ac:dyDescent="0.25">
      <c r="A553" s="8" t="s">
        <v>424</v>
      </c>
      <c r="B553" s="9" t="s">
        <v>252</v>
      </c>
      <c r="C553" s="8" t="s">
        <v>451</v>
      </c>
      <c r="D553" s="1"/>
      <c r="E553" s="1"/>
      <c r="F553" s="1"/>
      <c r="G553" s="1"/>
      <c r="H553" s="1"/>
      <c r="I553" s="1"/>
      <c r="J553" s="1"/>
      <c r="K553" s="1"/>
      <c r="L553" s="1">
        <f>Y553</f>
        <v>13</v>
      </c>
      <c r="M553" s="1"/>
      <c r="N553" s="1">
        <v>13</v>
      </c>
      <c r="O553" s="1">
        <v>0</v>
      </c>
      <c r="R553" s="1"/>
      <c r="S553" s="1"/>
      <c r="T553" s="1"/>
      <c r="U553" s="1"/>
      <c r="V553" s="1"/>
      <c r="W553" s="1"/>
      <c r="X553" s="1"/>
      <c r="Y553" s="1">
        <v>13</v>
      </c>
    </row>
    <row r="554" spans="1:25" x14ac:dyDescent="0.25">
      <c r="A554" s="8" t="s">
        <v>424</v>
      </c>
      <c r="B554" s="9" t="s">
        <v>253</v>
      </c>
      <c r="C554" s="8" t="s">
        <v>1033</v>
      </c>
      <c r="D554" s="1"/>
      <c r="E554" s="1"/>
      <c r="F554" s="1"/>
      <c r="G554" s="1">
        <v>20</v>
      </c>
      <c r="H554" s="1"/>
      <c r="I554" s="1"/>
      <c r="J554" s="1"/>
      <c r="K554" s="1"/>
      <c r="L554" s="1"/>
      <c r="M554" s="1"/>
      <c r="N554" s="1">
        <v>18</v>
      </c>
      <c r="O554" s="1">
        <v>15</v>
      </c>
      <c r="P554">
        <v>-25</v>
      </c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8" t="s">
        <v>424</v>
      </c>
      <c r="B555" s="9" t="s">
        <v>254</v>
      </c>
      <c r="C555" s="8" t="s">
        <v>1033</v>
      </c>
      <c r="D555" s="1"/>
      <c r="E555" s="1"/>
      <c r="F555" s="1"/>
      <c r="G555" s="1">
        <v>20</v>
      </c>
      <c r="H555" s="1"/>
      <c r="I555" s="1"/>
      <c r="J555" s="1"/>
      <c r="K555" s="1"/>
      <c r="L555" s="1"/>
      <c r="M555" s="1"/>
      <c r="N555" s="1">
        <v>21</v>
      </c>
      <c r="O555" s="1">
        <v>15</v>
      </c>
      <c r="P555">
        <v>-25</v>
      </c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8" t="s">
        <v>424</v>
      </c>
      <c r="B556" s="9" t="s">
        <v>255</v>
      </c>
      <c r="C556" s="8" t="s">
        <v>467</v>
      </c>
      <c r="D556" s="1"/>
      <c r="E556" s="1"/>
      <c r="F556" s="1"/>
      <c r="G556" s="1"/>
      <c r="H556" s="1"/>
      <c r="I556" s="1"/>
      <c r="J556" s="1"/>
      <c r="K556" s="1"/>
      <c r="L556" s="1">
        <f>Y556</f>
        <v>25</v>
      </c>
      <c r="M556" s="1"/>
      <c r="N556" s="1">
        <v>14</v>
      </c>
      <c r="O556" s="1">
        <v>15</v>
      </c>
      <c r="R556" s="1"/>
      <c r="S556" s="1"/>
      <c r="T556" s="1"/>
      <c r="U556" s="1"/>
      <c r="V556" s="1"/>
      <c r="W556" s="1"/>
      <c r="X556" s="1"/>
      <c r="Y556" s="1">
        <v>25</v>
      </c>
    </row>
    <row r="557" spans="1:25" x14ac:dyDescent="0.25">
      <c r="A557" s="8" t="s">
        <v>424</v>
      </c>
      <c r="B557" s="9" t="s">
        <v>256</v>
      </c>
      <c r="C557" s="8" t="s">
        <v>1034</v>
      </c>
      <c r="D557" s="1"/>
      <c r="E557" s="1">
        <v>15</v>
      </c>
      <c r="F557" s="1"/>
      <c r="G557" s="1"/>
      <c r="H557" s="1"/>
      <c r="I557" s="1"/>
      <c r="J557" s="1"/>
      <c r="K557" s="1"/>
      <c r="L557" s="1"/>
      <c r="M557" s="1"/>
      <c r="N557" s="1">
        <v>19</v>
      </c>
      <c r="O557" s="1">
        <v>15</v>
      </c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8" t="s">
        <v>424</v>
      </c>
      <c r="B558" s="9" t="s">
        <v>1156</v>
      </c>
      <c r="C558" s="8" t="s">
        <v>179</v>
      </c>
      <c r="D558" s="1"/>
      <c r="E558" s="1"/>
      <c r="F558" s="1">
        <f>S558</f>
        <v>25</v>
      </c>
      <c r="G558" s="1"/>
      <c r="H558" s="1"/>
      <c r="I558" s="1"/>
      <c r="J558" s="1"/>
      <c r="K558" s="1"/>
      <c r="L558" s="1"/>
      <c r="M558" s="1"/>
      <c r="N558" s="1">
        <v>16</v>
      </c>
      <c r="O558" s="1">
        <v>15</v>
      </c>
      <c r="R558" s="1"/>
      <c r="S558" s="1">
        <v>25</v>
      </c>
      <c r="T558" s="1"/>
      <c r="U558" s="1"/>
      <c r="V558" s="1"/>
      <c r="W558" s="1"/>
      <c r="X558" s="1"/>
      <c r="Y558" s="1"/>
    </row>
    <row r="559" spans="1:25" x14ac:dyDescent="0.25">
      <c r="A559" s="8" t="s">
        <v>424</v>
      </c>
      <c r="B559" s="9" t="s">
        <v>257</v>
      </c>
      <c r="C559" s="8" t="s">
        <v>478</v>
      </c>
      <c r="D559" s="1"/>
      <c r="E559" s="1">
        <v>15</v>
      </c>
      <c r="F559" s="1"/>
      <c r="G559" s="1"/>
      <c r="H559" s="1"/>
      <c r="I559" s="1"/>
      <c r="J559" s="1"/>
      <c r="K559" s="1"/>
      <c r="L559" s="1"/>
      <c r="M559" s="1"/>
      <c r="N559" s="1">
        <v>23</v>
      </c>
      <c r="O559" s="1">
        <v>16</v>
      </c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8" t="s">
        <v>424</v>
      </c>
      <c r="B560" s="9" t="s">
        <v>1157</v>
      </c>
      <c r="C560" s="8" t="s">
        <v>179</v>
      </c>
      <c r="D560" s="1"/>
      <c r="E560" s="1"/>
      <c r="F560" s="1">
        <f>S560</f>
        <v>25</v>
      </c>
      <c r="G560" s="1"/>
      <c r="H560" s="1"/>
      <c r="I560" s="1"/>
      <c r="J560" s="1"/>
      <c r="K560" s="1"/>
      <c r="L560" s="1"/>
      <c r="M560" s="1"/>
      <c r="N560" s="1">
        <v>23</v>
      </c>
      <c r="O560" s="1">
        <v>15</v>
      </c>
      <c r="R560" s="1"/>
      <c r="S560" s="1">
        <v>25</v>
      </c>
      <c r="T560" s="1"/>
      <c r="U560" s="1"/>
      <c r="V560" s="1"/>
      <c r="W560" s="1"/>
      <c r="X560" s="1"/>
      <c r="Y560" s="1"/>
    </row>
    <row r="561" spans="1:25" x14ac:dyDescent="0.25">
      <c r="A561" s="8" t="s">
        <v>424</v>
      </c>
      <c r="B561" s="9" t="s">
        <v>258</v>
      </c>
      <c r="C561" s="8" t="s">
        <v>1035</v>
      </c>
      <c r="D561" s="1"/>
      <c r="E561" s="1"/>
      <c r="F561" s="1"/>
      <c r="G561" s="1">
        <v>20</v>
      </c>
      <c r="H561" s="1"/>
      <c r="I561" s="1"/>
      <c r="J561" s="1"/>
      <c r="K561" s="1"/>
      <c r="L561" s="1"/>
      <c r="M561" s="1"/>
      <c r="N561" s="1">
        <v>16</v>
      </c>
      <c r="O561" s="1">
        <v>15</v>
      </c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8" t="s">
        <v>425</v>
      </c>
      <c r="B562" s="9" t="s">
        <v>1123</v>
      </c>
      <c r="C562" s="8" t="s">
        <v>179</v>
      </c>
      <c r="D562" s="1"/>
      <c r="E562" s="1"/>
      <c r="F562" s="1">
        <f>S562</f>
        <v>20</v>
      </c>
      <c r="G562" s="1"/>
      <c r="H562" s="1"/>
      <c r="I562" s="1"/>
      <c r="J562" s="1"/>
      <c r="K562" s="1"/>
      <c r="L562" s="1"/>
      <c r="M562" s="1"/>
      <c r="N562" s="1">
        <v>14</v>
      </c>
      <c r="O562" s="1">
        <v>15</v>
      </c>
      <c r="R562" s="1"/>
      <c r="S562" s="1">
        <v>20</v>
      </c>
      <c r="T562" s="1"/>
      <c r="U562" s="1"/>
      <c r="V562" s="1"/>
      <c r="W562" s="1"/>
      <c r="X562" s="1"/>
      <c r="Y562" s="1"/>
    </row>
    <row r="563" spans="1:25" x14ac:dyDescent="0.25">
      <c r="A563" s="8" t="s">
        <v>425</v>
      </c>
      <c r="B563" s="9" t="s">
        <v>259</v>
      </c>
      <c r="C563" s="8" t="s">
        <v>1035</v>
      </c>
      <c r="D563" s="1"/>
      <c r="E563" s="1"/>
      <c r="F563" s="1"/>
      <c r="G563" s="1">
        <v>20</v>
      </c>
      <c r="H563" s="1"/>
      <c r="I563" s="1"/>
      <c r="J563" s="1"/>
      <c r="K563" s="1"/>
      <c r="L563" s="1"/>
      <c r="M563" s="1"/>
      <c r="N563" s="1">
        <v>14</v>
      </c>
      <c r="O563" s="1">
        <v>20</v>
      </c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8" t="s">
        <v>425</v>
      </c>
      <c r="B564" s="9" t="s">
        <v>260</v>
      </c>
      <c r="C564" s="8" t="s">
        <v>1032</v>
      </c>
      <c r="D564" s="1"/>
      <c r="E564" s="1">
        <v>20</v>
      </c>
      <c r="F564" s="1"/>
      <c r="G564" s="1"/>
      <c r="H564" s="1"/>
      <c r="I564" s="1"/>
      <c r="J564" s="1"/>
      <c r="K564" s="1"/>
      <c r="L564" s="1"/>
      <c r="M564" s="1"/>
      <c r="N564" s="1">
        <v>13</v>
      </c>
      <c r="O564" s="1">
        <v>15</v>
      </c>
    </row>
    <row r="565" spans="1:25" x14ac:dyDescent="0.25">
      <c r="A565" s="8" t="s">
        <v>425</v>
      </c>
      <c r="B565" s="3" t="s">
        <v>844</v>
      </c>
      <c r="C565" s="8" t="s">
        <v>180</v>
      </c>
      <c r="D565" s="1"/>
      <c r="E565" s="1"/>
      <c r="F565" s="1"/>
      <c r="G565" s="1">
        <v>20</v>
      </c>
      <c r="H565" s="1"/>
      <c r="I565" s="1"/>
      <c r="J565" s="1"/>
      <c r="K565" s="1"/>
      <c r="L565" s="1"/>
      <c r="M565" s="1"/>
      <c r="N565" s="1">
        <v>13</v>
      </c>
      <c r="O565" s="1">
        <v>15</v>
      </c>
    </row>
    <row r="566" spans="1:25" x14ac:dyDescent="0.25">
      <c r="A566" s="8" t="s">
        <v>425</v>
      </c>
      <c r="B566" s="3" t="s">
        <v>1122</v>
      </c>
      <c r="C566" s="8" t="s">
        <v>178</v>
      </c>
      <c r="D566" s="1"/>
      <c r="E566" s="1"/>
      <c r="F566" s="1">
        <f>R566</f>
        <v>20</v>
      </c>
      <c r="G566" s="1"/>
      <c r="H566" s="1"/>
      <c r="I566" s="1"/>
      <c r="J566" s="1"/>
      <c r="K566" s="1"/>
      <c r="L566" s="1"/>
      <c r="M566" s="1"/>
      <c r="N566" s="1">
        <v>15</v>
      </c>
      <c r="O566" s="1">
        <v>15</v>
      </c>
      <c r="R566">
        <v>20</v>
      </c>
    </row>
    <row r="567" spans="1:25" x14ac:dyDescent="0.25">
      <c r="A567" s="8" t="s">
        <v>431</v>
      </c>
      <c r="B567" s="9" t="s">
        <v>261</v>
      </c>
      <c r="C567" s="8" t="s">
        <v>479</v>
      </c>
      <c r="D567" s="1"/>
      <c r="E567" s="1"/>
      <c r="F567" s="1"/>
      <c r="G567" s="1">
        <f>T567</f>
        <v>20</v>
      </c>
      <c r="H567" s="1"/>
      <c r="I567" s="1"/>
      <c r="J567" s="1"/>
      <c r="K567" s="1"/>
      <c r="L567" s="1"/>
      <c r="M567" s="1"/>
      <c r="N567" s="1">
        <v>11</v>
      </c>
      <c r="O567" s="1">
        <v>10</v>
      </c>
      <c r="T567">
        <v>20</v>
      </c>
    </row>
    <row r="568" spans="1:25" x14ac:dyDescent="0.25">
      <c r="A568" s="8" t="s">
        <v>426</v>
      </c>
      <c r="B568" s="11">
        <v>20704613</v>
      </c>
      <c r="C568" s="8" t="s">
        <v>178</v>
      </c>
      <c r="D568" s="1"/>
      <c r="E568" s="1">
        <v>15</v>
      </c>
      <c r="F568" s="1"/>
      <c r="G568" s="1"/>
      <c r="H568" s="1"/>
      <c r="I568" s="1"/>
      <c r="J568" s="1"/>
      <c r="K568" s="1"/>
      <c r="L568" s="1"/>
      <c r="M568" s="1"/>
      <c r="N568" s="1">
        <v>12</v>
      </c>
      <c r="O568" s="1">
        <v>15</v>
      </c>
    </row>
    <row r="569" spans="1:25" x14ac:dyDescent="0.25">
      <c r="A569" s="8" t="s">
        <v>426</v>
      </c>
      <c r="B569" s="10">
        <v>20704772</v>
      </c>
      <c r="C569" s="8" t="s">
        <v>480</v>
      </c>
      <c r="D569" s="1"/>
      <c r="E569" s="1"/>
      <c r="F569" s="1"/>
      <c r="G569" s="1"/>
      <c r="H569" s="1"/>
      <c r="I569" s="1"/>
      <c r="J569" s="1"/>
      <c r="K569" s="1"/>
      <c r="L569" s="1">
        <f>Y569</f>
        <v>3</v>
      </c>
      <c r="M569" s="1"/>
      <c r="N569" s="1">
        <v>7</v>
      </c>
      <c r="O569" s="1">
        <v>0</v>
      </c>
      <c r="Y569">
        <v>3</v>
      </c>
    </row>
    <row r="570" spans="1:25" x14ac:dyDescent="0.25">
      <c r="A570" s="8" t="s">
        <v>426</v>
      </c>
      <c r="B570" s="10">
        <v>20704867</v>
      </c>
      <c r="C570" s="8" t="s">
        <v>178</v>
      </c>
      <c r="D570" s="1"/>
      <c r="E570" s="1">
        <v>15</v>
      </c>
      <c r="F570" s="1"/>
      <c r="G570" s="1"/>
      <c r="H570" s="1"/>
      <c r="I570" s="1"/>
      <c r="J570" s="1"/>
      <c r="K570" s="1"/>
      <c r="L570" s="1"/>
      <c r="M570" s="1"/>
      <c r="N570" s="1">
        <v>8</v>
      </c>
      <c r="O570" s="1">
        <v>15</v>
      </c>
    </row>
    <row r="571" spans="1:25" x14ac:dyDescent="0.25">
      <c r="A571" s="8" t="s">
        <v>426</v>
      </c>
      <c r="B571" s="10">
        <v>20706140</v>
      </c>
      <c r="C571" s="8" t="s">
        <v>451</v>
      </c>
      <c r="D571" s="1"/>
      <c r="E571" s="1"/>
      <c r="F571" s="1"/>
      <c r="G571" s="1"/>
      <c r="H571" s="1"/>
      <c r="I571" s="1"/>
      <c r="J571" s="1"/>
      <c r="K571" s="1"/>
      <c r="L571" s="1">
        <f>Y571</f>
        <v>10</v>
      </c>
      <c r="M571" s="1"/>
      <c r="N571" s="1">
        <v>9</v>
      </c>
      <c r="O571" s="1">
        <v>5</v>
      </c>
      <c r="Y571">
        <v>10</v>
      </c>
    </row>
    <row r="572" spans="1:25" x14ac:dyDescent="0.25">
      <c r="A572" s="8" t="s">
        <v>426</v>
      </c>
      <c r="B572" s="10">
        <v>20972295</v>
      </c>
      <c r="C572" s="8" t="s">
        <v>1034</v>
      </c>
      <c r="D572" s="1"/>
      <c r="E572" s="1">
        <v>15</v>
      </c>
      <c r="F572" s="1"/>
      <c r="G572" s="1"/>
      <c r="H572" s="1"/>
      <c r="I572" s="1"/>
      <c r="J572" s="1"/>
      <c r="K572" s="1"/>
      <c r="L572" s="1"/>
      <c r="M572" s="1"/>
      <c r="N572" s="1">
        <v>16</v>
      </c>
      <c r="O572" s="1">
        <v>15</v>
      </c>
      <c r="P572">
        <v>-15</v>
      </c>
    </row>
    <row r="573" spans="1:25" x14ac:dyDescent="0.25">
      <c r="A573" s="8" t="s">
        <v>426</v>
      </c>
      <c r="B573" s="10">
        <v>21074769</v>
      </c>
      <c r="C573" s="8" t="s">
        <v>1042</v>
      </c>
      <c r="D573" s="1"/>
      <c r="E573" s="1"/>
      <c r="F573" s="1"/>
      <c r="G573" s="1"/>
      <c r="H573" s="1"/>
      <c r="I573" s="1"/>
      <c r="J573" s="1"/>
      <c r="K573" s="1"/>
      <c r="L573" s="1">
        <f>Y573</f>
        <v>50</v>
      </c>
      <c r="M573" s="1"/>
      <c r="N573" s="1">
        <v>30</v>
      </c>
      <c r="O573" s="1">
        <v>10</v>
      </c>
      <c r="Y573">
        <v>50</v>
      </c>
    </row>
    <row r="574" spans="1:25" x14ac:dyDescent="0.25">
      <c r="A574" s="8" t="s">
        <v>426</v>
      </c>
      <c r="B574" s="10">
        <v>21075041</v>
      </c>
      <c r="C574" s="8" t="s">
        <v>176</v>
      </c>
      <c r="D574" s="1">
        <f>Q574</f>
        <v>20</v>
      </c>
      <c r="E574" s="1"/>
      <c r="F574" s="1"/>
      <c r="G574" s="1" t="s">
        <v>184</v>
      </c>
      <c r="H574" s="1"/>
      <c r="I574" s="1"/>
      <c r="J574" s="1"/>
      <c r="K574" s="1"/>
      <c r="L574" s="1"/>
      <c r="M574" s="1"/>
      <c r="N574" s="1">
        <v>13</v>
      </c>
      <c r="O574" s="1">
        <v>15</v>
      </c>
      <c r="Q574">
        <v>20</v>
      </c>
    </row>
    <row r="575" spans="1:25" x14ac:dyDescent="0.25">
      <c r="A575" s="8" t="s">
        <v>426</v>
      </c>
      <c r="B575" s="10">
        <v>21380521</v>
      </c>
      <c r="C575" s="8" t="s">
        <v>1031</v>
      </c>
      <c r="D575" s="1"/>
      <c r="E575" s="1"/>
      <c r="F575" s="1">
        <f>S575</f>
        <v>15</v>
      </c>
      <c r="G575" s="1"/>
      <c r="H575" s="1"/>
      <c r="I575" s="1"/>
      <c r="J575" s="1"/>
      <c r="K575" s="1"/>
      <c r="L575" s="1"/>
      <c r="M575" s="1"/>
      <c r="N575" s="1">
        <v>13</v>
      </c>
      <c r="O575" s="1">
        <v>15</v>
      </c>
      <c r="S575">
        <v>15</v>
      </c>
    </row>
    <row r="576" spans="1:25" x14ac:dyDescent="0.25">
      <c r="A576" s="8" t="s">
        <v>426</v>
      </c>
      <c r="B576" s="10">
        <v>21707135</v>
      </c>
      <c r="C576" s="8" t="s">
        <v>1034</v>
      </c>
      <c r="D576" s="1"/>
      <c r="E576" s="1">
        <v>15</v>
      </c>
      <c r="F576" s="1"/>
      <c r="G576" s="1"/>
      <c r="H576" s="1"/>
      <c r="I576" s="1"/>
      <c r="J576" s="1"/>
      <c r="K576" s="1"/>
      <c r="L576" s="1"/>
      <c r="M576" s="1"/>
      <c r="N576" s="1">
        <v>13</v>
      </c>
      <c r="O576" s="1">
        <v>15</v>
      </c>
      <c r="P576">
        <v>-10</v>
      </c>
    </row>
    <row r="577" spans="1:25" x14ac:dyDescent="0.25">
      <c r="A577" s="8" t="s">
        <v>426</v>
      </c>
      <c r="B577" s="10">
        <v>21737481</v>
      </c>
      <c r="C577" s="8" t="s">
        <v>1034</v>
      </c>
      <c r="D577" s="1"/>
      <c r="E577" s="1"/>
      <c r="F577" s="1">
        <f>S577</f>
        <v>20</v>
      </c>
      <c r="G577" s="1"/>
      <c r="H577" s="1"/>
      <c r="I577" s="1"/>
      <c r="J577" s="1"/>
      <c r="K577" s="1"/>
      <c r="L577" s="1"/>
      <c r="M577" s="1"/>
      <c r="N577" s="1">
        <v>18</v>
      </c>
      <c r="O577" s="1">
        <v>15</v>
      </c>
      <c r="S577">
        <v>20</v>
      </c>
    </row>
    <row r="578" spans="1:25" x14ac:dyDescent="0.25">
      <c r="A578" s="8" t="s">
        <v>426</v>
      </c>
      <c r="B578" s="10">
        <v>21937298</v>
      </c>
      <c r="C578" s="8" t="s">
        <v>1036</v>
      </c>
      <c r="D578" s="1"/>
      <c r="E578" s="1"/>
      <c r="F578" s="1"/>
      <c r="G578" s="1"/>
      <c r="H578" s="1">
        <f>U578</f>
        <v>20</v>
      </c>
      <c r="I578" s="1"/>
      <c r="J578" s="1"/>
      <c r="K578" s="1"/>
      <c r="L578" s="1"/>
      <c r="M578" s="1"/>
      <c r="N578" s="1">
        <v>7</v>
      </c>
      <c r="O578" s="1">
        <v>15</v>
      </c>
      <c r="U578">
        <v>20</v>
      </c>
    </row>
    <row r="579" spans="1:25" x14ac:dyDescent="0.25">
      <c r="A579" s="8" t="s">
        <v>426</v>
      </c>
      <c r="B579" s="10">
        <v>21939298</v>
      </c>
      <c r="C579" s="8" t="s">
        <v>1035</v>
      </c>
      <c r="D579" s="1"/>
      <c r="E579" s="1"/>
      <c r="F579" s="1"/>
      <c r="G579" s="1">
        <v>20</v>
      </c>
      <c r="H579" s="1"/>
      <c r="I579" s="1"/>
      <c r="J579" s="1"/>
      <c r="K579" s="1"/>
      <c r="L579" s="1"/>
      <c r="M579" s="1"/>
      <c r="N579" s="1">
        <v>8</v>
      </c>
      <c r="O579" s="1">
        <v>15</v>
      </c>
      <c r="P579">
        <v>-5</v>
      </c>
    </row>
    <row r="580" spans="1:25" x14ac:dyDescent="0.25">
      <c r="A580" s="8" t="s">
        <v>426</v>
      </c>
      <c r="B580" s="10">
        <v>22094987</v>
      </c>
      <c r="C580" s="8" t="s">
        <v>1031</v>
      </c>
      <c r="D580" s="1"/>
      <c r="E580" s="1"/>
      <c r="F580" s="1">
        <f>S580</f>
        <v>20</v>
      </c>
      <c r="G580" s="1"/>
      <c r="H580" s="1"/>
      <c r="I580" s="1"/>
      <c r="J580" s="1"/>
      <c r="K580" s="1"/>
      <c r="L580" s="1"/>
      <c r="M580" s="1"/>
      <c r="N580" s="1">
        <v>16</v>
      </c>
      <c r="O580" s="1">
        <v>15</v>
      </c>
      <c r="S580">
        <v>20</v>
      </c>
    </row>
    <row r="581" spans="1:25" x14ac:dyDescent="0.25">
      <c r="A581" s="8" t="s">
        <v>426</v>
      </c>
      <c r="B581" s="10">
        <v>23155587</v>
      </c>
      <c r="C581" s="8" t="s">
        <v>1034</v>
      </c>
      <c r="D581" s="1"/>
      <c r="E581" s="1">
        <v>15</v>
      </c>
      <c r="F581" s="1"/>
      <c r="G581" s="1"/>
      <c r="H581" s="1"/>
      <c r="I581" s="1"/>
      <c r="J581" s="1"/>
      <c r="K581" s="1"/>
      <c r="L581" s="1"/>
      <c r="M581" s="1"/>
      <c r="N581" s="1">
        <v>8</v>
      </c>
      <c r="O581" s="1">
        <v>15</v>
      </c>
      <c r="P581">
        <v>-5</v>
      </c>
    </row>
    <row r="582" spans="1:25" x14ac:dyDescent="0.25">
      <c r="A582" s="8" t="s">
        <v>426</v>
      </c>
      <c r="B582" s="10">
        <v>23658111</v>
      </c>
      <c r="C582" s="8" t="s">
        <v>1035</v>
      </c>
      <c r="D582" s="1"/>
      <c r="E582" s="1"/>
      <c r="F582" s="1"/>
      <c r="G582" s="1">
        <v>20</v>
      </c>
      <c r="H582" s="1"/>
      <c r="I582" s="1"/>
      <c r="J582" s="1"/>
      <c r="K582" s="1"/>
      <c r="L582" s="1"/>
      <c r="M582" s="1"/>
      <c r="N582" s="1">
        <v>10</v>
      </c>
      <c r="O582" s="1">
        <v>15</v>
      </c>
      <c r="P582">
        <v>-5</v>
      </c>
    </row>
    <row r="583" spans="1:25" x14ac:dyDescent="0.25">
      <c r="A583" s="8" t="s">
        <v>426</v>
      </c>
      <c r="B583" s="10">
        <v>23856895</v>
      </c>
      <c r="C583" s="8" t="s">
        <v>1034</v>
      </c>
      <c r="D583" s="1"/>
      <c r="E583" s="1">
        <v>15</v>
      </c>
      <c r="F583" s="1"/>
      <c r="G583" s="1"/>
      <c r="H583" s="1"/>
      <c r="I583" s="1"/>
      <c r="J583" s="1"/>
      <c r="K583" s="1"/>
      <c r="L583" s="1"/>
      <c r="M583" s="1"/>
      <c r="N583" s="1">
        <v>15</v>
      </c>
      <c r="O583" s="1">
        <v>15</v>
      </c>
      <c r="P583">
        <v>-15</v>
      </c>
    </row>
    <row r="584" spans="1:25" x14ac:dyDescent="0.25">
      <c r="A584" s="8" t="s">
        <v>426</v>
      </c>
      <c r="B584" s="10">
        <v>23879508</v>
      </c>
      <c r="C584" s="8" t="s">
        <v>1031</v>
      </c>
      <c r="D584" s="1"/>
      <c r="E584" s="1"/>
      <c r="F584" s="1">
        <f>S584</f>
        <v>20</v>
      </c>
      <c r="G584" s="1"/>
      <c r="H584" s="1"/>
      <c r="I584" s="1"/>
      <c r="J584" s="1"/>
      <c r="K584" s="1"/>
      <c r="L584" s="1"/>
      <c r="M584" s="1"/>
      <c r="N584" s="1">
        <v>17</v>
      </c>
      <c r="O584" s="1">
        <v>15</v>
      </c>
      <c r="S584">
        <v>20</v>
      </c>
    </row>
    <row r="585" spans="1:25" x14ac:dyDescent="0.25">
      <c r="A585" s="8" t="s">
        <v>426</v>
      </c>
      <c r="B585" s="10">
        <v>23920471</v>
      </c>
      <c r="C585" s="8" t="s">
        <v>1034</v>
      </c>
      <c r="D585" s="1"/>
      <c r="E585" s="1">
        <v>15</v>
      </c>
      <c r="F585" s="1"/>
      <c r="G585" s="1"/>
      <c r="H585" s="1"/>
      <c r="I585" s="1"/>
      <c r="J585" s="1"/>
      <c r="K585" s="1"/>
      <c r="L585" s="1"/>
      <c r="M585" s="1"/>
      <c r="N585" s="1">
        <v>14</v>
      </c>
      <c r="O585" s="1">
        <v>15</v>
      </c>
      <c r="P585">
        <v>-10</v>
      </c>
    </row>
    <row r="586" spans="1:25" x14ac:dyDescent="0.25">
      <c r="A586" s="8" t="s">
        <v>426</v>
      </c>
      <c r="B586" s="10">
        <v>24225156</v>
      </c>
      <c r="C586" s="8" t="s">
        <v>1031</v>
      </c>
      <c r="D586" s="1"/>
      <c r="E586" s="1"/>
      <c r="F586" s="1">
        <f>S586</f>
        <v>20</v>
      </c>
      <c r="G586" s="1"/>
      <c r="H586" s="1"/>
      <c r="I586" s="1"/>
      <c r="J586" s="1"/>
      <c r="K586" s="1"/>
      <c r="L586" s="1"/>
      <c r="M586" s="1"/>
      <c r="N586" s="1">
        <v>17</v>
      </c>
      <c r="O586" s="1">
        <v>15</v>
      </c>
      <c r="S586">
        <v>20</v>
      </c>
    </row>
    <row r="587" spans="1:25" x14ac:dyDescent="0.25">
      <c r="A587" s="8" t="s">
        <v>426</v>
      </c>
      <c r="B587" s="320">
        <v>25089409</v>
      </c>
      <c r="C587" s="8" t="s">
        <v>481</v>
      </c>
      <c r="D587" s="1"/>
      <c r="E587" s="1"/>
      <c r="F587" s="1"/>
      <c r="G587" s="1"/>
      <c r="H587" s="1"/>
      <c r="I587" s="1"/>
      <c r="J587" s="1"/>
      <c r="K587" s="1"/>
      <c r="L587" s="1">
        <f>Y587</f>
        <v>25</v>
      </c>
      <c r="M587" s="1"/>
      <c r="N587" s="1">
        <v>21</v>
      </c>
      <c r="O587" s="1">
        <v>15</v>
      </c>
      <c r="Y587">
        <v>25</v>
      </c>
    </row>
    <row r="588" spans="1:25" x14ac:dyDescent="0.25">
      <c r="A588" s="8" t="s">
        <v>426</v>
      </c>
      <c r="B588" s="10">
        <v>25100073</v>
      </c>
      <c r="C588" s="8" t="s">
        <v>1034</v>
      </c>
      <c r="D588" s="1"/>
      <c r="E588" s="1">
        <v>15</v>
      </c>
      <c r="F588" s="1"/>
      <c r="G588" s="1"/>
      <c r="H588" s="1"/>
      <c r="I588" s="1"/>
      <c r="J588" s="1"/>
      <c r="K588" s="1"/>
      <c r="L588" s="1"/>
      <c r="M588" s="1"/>
      <c r="N588" s="1">
        <v>10</v>
      </c>
      <c r="O588" s="1">
        <v>15</v>
      </c>
      <c r="P588">
        <v>-5</v>
      </c>
    </row>
    <row r="589" spans="1:25" x14ac:dyDescent="0.25">
      <c r="A589" s="8" t="s">
        <v>426</v>
      </c>
      <c r="B589" s="320">
        <v>25126202</v>
      </c>
      <c r="C589" s="8" t="s">
        <v>1107</v>
      </c>
      <c r="D589" s="1"/>
      <c r="E589" s="1"/>
      <c r="F589" s="1"/>
      <c r="G589" s="1"/>
      <c r="H589" s="1"/>
      <c r="I589" s="1"/>
      <c r="J589" s="1"/>
      <c r="K589" s="1"/>
      <c r="L589" s="1">
        <f>Y589</f>
        <v>25</v>
      </c>
      <c r="M589" s="1"/>
      <c r="N589" s="1">
        <v>25</v>
      </c>
      <c r="O589" s="1">
        <v>0</v>
      </c>
      <c r="Y589">
        <v>25</v>
      </c>
    </row>
    <row r="590" spans="1:25" x14ac:dyDescent="0.25">
      <c r="A590" s="8" t="s">
        <v>426</v>
      </c>
      <c r="B590" s="320" t="s">
        <v>845</v>
      </c>
      <c r="C590" s="8" t="s">
        <v>1108</v>
      </c>
      <c r="D590" s="1"/>
      <c r="E590" s="1"/>
      <c r="F590" s="1"/>
      <c r="G590" s="1"/>
      <c r="H590" s="1"/>
      <c r="I590" s="1"/>
      <c r="J590" s="1"/>
      <c r="K590" s="1"/>
      <c r="L590" s="1">
        <f>Y590</f>
        <v>16</v>
      </c>
      <c r="M590" s="1"/>
      <c r="N590" s="1">
        <v>16</v>
      </c>
      <c r="O590" s="1">
        <v>0</v>
      </c>
      <c r="Y590">
        <v>16</v>
      </c>
    </row>
    <row r="591" spans="1:25" x14ac:dyDescent="0.25">
      <c r="A591" s="8" t="s">
        <v>426</v>
      </c>
      <c r="B591" s="10">
        <v>25127839</v>
      </c>
      <c r="C591" s="8" t="s">
        <v>176</v>
      </c>
      <c r="D591" s="1">
        <f>Q591</f>
        <v>20</v>
      </c>
      <c r="E591" s="1"/>
      <c r="F591" s="1"/>
      <c r="G591" s="1"/>
      <c r="H591" s="1"/>
      <c r="I591" s="1"/>
      <c r="J591" s="1"/>
      <c r="K591" s="1"/>
      <c r="L591" s="1"/>
      <c r="M591" s="1"/>
      <c r="N591" s="1">
        <v>13</v>
      </c>
      <c r="O591" s="1">
        <v>15</v>
      </c>
      <c r="Q591">
        <v>20</v>
      </c>
    </row>
    <row r="592" spans="1:25" x14ac:dyDescent="0.25">
      <c r="A592" s="8" t="s">
        <v>426</v>
      </c>
      <c r="B592" s="10">
        <v>25168319</v>
      </c>
      <c r="C592" s="8" t="s">
        <v>178</v>
      </c>
      <c r="D592" s="1">
        <v>20</v>
      </c>
      <c r="E592" s="1"/>
      <c r="F592" s="1"/>
      <c r="G592" s="1"/>
      <c r="H592" s="1"/>
      <c r="I592" s="1"/>
      <c r="J592" s="1"/>
      <c r="K592" s="1"/>
      <c r="L592" s="1"/>
      <c r="M592" s="1"/>
      <c r="N592" s="1">
        <v>16</v>
      </c>
      <c r="O592" s="1">
        <v>15</v>
      </c>
    </row>
    <row r="593" spans="1:25" x14ac:dyDescent="0.25">
      <c r="A593" s="8" t="s">
        <v>426</v>
      </c>
      <c r="B593" s="10">
        <v>25501624</v>
      </c>
      <c r="C593" s="8" t="s">
        <v>1034</v>
      </c>
      <c r="D593" s="1"/>
      <c r="E593" s="1">
        <v>15</v>
      </c>
      <c r="F593" s="1"/>
      <c r="G593" s="1"/>
      <c r="H593" s="1"/>
      <c r="I593" s="1"/>
      <c r="J593" s="1"/>
      <c r="K593" s="1"/>
      <c r="L593" s="1"/>
      <c r="M593" s="1"/>
      <c r="N593" s="1">
        <v>9</v>
      </c>
      <c r="O593" s="1">
        <v>15</v>
      </c>
      <c r="P593">
        <v>-5</v>
      </c>
    </row>
    <row r="594" spans="1:25" x14ac:dyDescent="0.25">
      <c r="A594" s="8" t="s">
        <v>426</v>
      </c>
      <c r="B594" s="10">
        <v>25502421</v>
      </c>
      <c r="C594" s="8" t="s">
        <v>1034</v>
      </c>
      <c r="D594" s="1"/>
      <c r="E594" s="1">
        <v>15</v>
      </c>
      <c r="F594" s="1"/>
      <c r="G594" s="1"/>
      <c r="H594" s="1"/>
      <c r="I594" s="1"/>
      <c r="J594" s="1"/>
      <c r="K594" s="1"/>
      <c r="L594" s="1"/>
      <c r="M594" s="1"/>
      <c r="N594" s="1">
        <v>9</v>
      </c>
      <c r="O594" s="1">
        <v>15</v>
      </c>
      <c r="P594">
        <v>-5</v>
      </c>
    </row>
    <row r="595" spans="1:25" x14ac:dyDescent="0.25">
      <c r="A595" s="8" t="s">
        <v>426</v>
      </c>
      <c r="B595" s="10">
        <v>25502422</v>
      </c>
      <c r="C595" s="8" t="s">
        <v>1034</v>
      </c>
      <c r="D595" s="1"/>
      <c r="E595" s="1">
        <v>15</v>
      </c>
      <c r="F595" s="1"/>
      <c r="G595" s="1"/>
      <c r="H595" s="1"/>
      <c r="I595" s="1"/>
      <c r="J595" s="1"/>
      <c r="K595" s="1"/>
      <c r="L595" s="1"/>
      <c r="M595" s="1"/>
      <c r="N595" s="1">
        <v>9</v>
      </c>
      <c r="O595" s="1">
        <v>15</v>
      </c>
      <c r="P595">
        <v>-5</v>
      </c>
    </row>
    <row r="596" spans="1:25" x14ac:dyDescent="0.25">
      <c r="A596" s="8" t="s">
        <v>426</v>
      </c>
      <c r="B596" s="10">
        <v>25502423</v>
      </c>
      <c r="C596" s="8" t="s">
        <v>178</v>
      </c>
      <c r="D596" s="1"/>
      <c r="E596" s="1">
        <v>15</v>
      </c>
      <c r="F596" s="1"/>
      <c r="G596" s="1"/>
      <c r="H596" s="1"/>
      <c r="I596" s="1"/>
      <c r="J596" s="1"/>
      <c r="K596" s="1"/>
      <c r="L596" s="1"/>
      <c r="M596" s="1"/>
      <c r="N596" s="1">
        <v>16</v>
      </c>
      <c r="O596" s="1">
        <v>15</v>
      </c>
    </row>
    <row r="597" spans="1:25" x14ac:dyDescent="0.25">
      <c r="A597" s="8" t="s">
        <v>426</v>
      </c>
      <c r="B597" s="10">
        <v>25503129</v>
      </c>
      <c r="C597" s="8" t="s">
        <v>846</v>
      </c>
      <c r="D597" s="1"/>
      <c r="E597" s="1"/>
      <c r="F597" s="1"/>
      <c r="G597" s="1"/>
      <c r="H597" s="1"/>
      <c r="I597" s="1"/>
      <c r="J597" s="1"/>
      <c r="K597" s="1"/>
      <c r="L597" s="1">
        <f>Y597</f>
        <v>25</v>
      </c>
      <c r="M597" s="1"/>
      <c r="N597" s="1">
        <v>25</v>
      </c>
      <c r="O597" s="1"/>
      <c r="Y597">
        <v>25</v>
      </c>
    </row>
    <row r="598" spans="1:25" x14ac:dyDescent="0.25">
      <c r="A598" s="8" t="s">
        <v>426</v>
      </c>
      <c r="B598" s="10" t="s">
        <v>1106</v>
      </c>
      <c r="C598" s="8" t="s">
        <v>847</v>
      </c>
      <c r="D598" s="1"/>
      <c r="E598" s="1"/>
      <c r="F598" s="1"/>
      <c r="G598" s="1"/>
      <c r="H598" s="1"/>
      <c r="I598" s="1"/>
      <c r="J598" s="1"/>
      <c r="K598" s="1"/>
      <c r="L598" s="1">
        <f>Y598</f>
        <v>16</v>
      </c>
      <c r="M598" s="1"/>
      <c r="N598" s="1">
        <v>16</v>
      </c>
      <c r="O598" s="1"/>
      <c r="Y598">
        <v>16</v>
      </c>
    </row>
    <row r="599" spans="1:25" x14ac:dyDescent="0.25">
      <c r="A599" s="8" t="s">
        <v>426</v>
      </c>
      <c r="B599" s="10">
        <v>25503228</v>
      </c>
      <c r="C599" s="8" t="s">
        <v>176</v>
      </c>
      <c r="D599" s="1">
        <f>Q599</f>
        <v>20</v>
      </c>
      <c r="E599" s="1"/>
      <c r="F599" s="1"/>
      <c r="G599" s="1"/>
      <c r="H599" s="1"/>
      <c r="I599" s="1"/>
      <c r="J599" s="1"/>
      <c r="K599" s="1"/>
      <c r="L599" s="1"/>
      <c r="M599" s="1"/>
      <c r="N599" s="1">
        <v>11</v>
      </c>
      <c r="O599" s="1">
        <v>15</v>
      </c>
      <c r="Q599">
        <v>20</v>
      </c>
    </row>
    <row r="600" spans="1:25" x14ac:dyDescent="0.25">
      <c r="A600" s="8" t="s">
        <v>426</v>
      </c>
      <c r="B600" s="11" t="s">
        <v>262</v>
      </c>
      <c r="C600" s="8" t="s">
        <v>482</v>
      </c>
      <c r="D600" s="1"/>
      <c r="E600" s="1"/>
      <c r="F600" s="1"/>
      <c r="G600" s="1"/>
      <c r="H600" s="1"/>
      <c r="I600" s="1"/>
      <c r="J600" s="1"/>
      <c r="K600" s="1"/>
      <c r="L600" s="1">
        <f>Y600</f>
        <v>18</v>
      </c>
      <c r="M600" s="1"/>
      <c r="N600" s="1">
        <v>18</v>
      </c>
      <c r="O600" s="1">
        <v>0</v>
      </c>
      <c r="Y600">
        <v>18</v>
      </c>
    </row>
    <row r="601" spans="1:25" x14ac:dyDescent="0.25">
      <c r="A601" s="8" t="s">
        <v>426</v>
      </c>
      <c r="B601" s="11" t="s">
        <v>263</v>
      </c>
      <c r="C601" s="8" t="s">
        <v>451</v>
      </c>
      <c r="D601" s="1"/>
      <c r="E601" s="1"/>
      <c r="F601" s="1"/>
      <c r="G601" s="1"/>
      <c r="H601" s="1"/>
      <c r="I601" s="1"/>
      <c r="J601" s="1"/>
      <c r="K601" s="1"/>
      <c r="L601" s="1">
        <f>Y601</f>
        <v>10</v>
      </c>
      <c r="M601" s="1"/>
      <c r="N601" s="1">
        <v>8</v>
      </c>
      <c r="O601" s="1">
        <v>0</v>
      </c>
      <c r="Y601">
        <v>10</v>
      </c>
    </row>
    <row r="602" spans="1:25" x14ac:dyDescent="0.25">
      <c r="A602" s="8" t="s">
        <v>426</v>
      </c>
      <c r="B602" s="11" t="s">
        <v>264</v>
      </c>
      <c r="C602" s="8" t="s">
        <v>480</v>
      </c>
      <c r="D602" s="1"/>
      <c r="E602" s="1"/>
      <c r="F602" s="1"/>
      <c r="G602" s="1"/>
      <c r="H602" s="1"/>
      <c r="I602" s="1"/>
      <c r="J602" s="1"/>
      <c r="K602" s="1"/>
      <c r="L602" s="1">
        <f>Y602</f>
        <v>3</v>
      </c>
      <c r="M602" s="1"/>
      <c r="N602" s="1">
        <v>7</v>
      </c>
      <c r="O602" s="1">
        <v>0</v>
      </c>
      <c r="Y602">
        <v>3</v>
      </c>
    </row>
    <row r="603" spans="1:25" x14ac:dyDescent="0.25">
      <c r="A603" s="8" t="s">
        <v>426</v>
      </c>
      <c r="B603" s="11" t="s">
        <v>265</v>
      </c>
      <c r="C603" s="8" t="s">
        <v>480</v>
      </c>
      <c r="D603" s="1"/>
      <c r="E603" s="1"/>
      <c r="F603" s="1"/>
      <c r="G603" s="1"/>
      <c r="H603" s="1"/>
      <c r="I603" s="1"/>
      <c r="J603" s="1"/>
      <c r="K603" s="1"/>
      <c r="L603" s="1">
        <f>Y603</f>
        <v>3</v>
      </c>
      <c r="M603" s="1"/>
      <c r="N603" s="1">
        <v>7</v>
      </c>
      <c r="O603" s="1">
        <v>0</v>
      </c>
      <c r="Y603">
        <v>3</v>
      </c>
    </row>
    <row r="604" spans="1:25" x14ac:dyDescent="0.25">
      <c r="A604" s="8" t="s">
        <v>426</v>
      </c>
      <c r="B604" s="11" t="s">
        <v>553</v>
      </c>
      <c r="C604" s="8" t="s">
        <v>1034</v>
      </c>
      <c r="D604" s="1">
        <v>15</v>
      </c>
      <c r="E604" s="1"/>
      <c r="F604" s="1"/>
      <c r="G604" s="1"/>
      <c r="H604" s="1"/>
      <c r="I604" s="1"/>
      <c r="J604" s="1"/>
      <c r="K604" s="1"/>
      <c r="L604" s="1"/>
      <c r="M604" s="1"/>
      <c r="N604" s="1">
        <v>9</v>
      </c>
      <c r="O604" s="1">
        <v>15</v>
      </c>
    </row>
    <row r="605" spans="1:25" x14ac:dyDescent="0.25">
      <c r="A605" s="8" t="s">
        <v>426</v>
      </c>
      <c r="B605" s="11" t="s">
        <v>554</v>
      </c>
      <c r="C605" s="8" t="s">
        <v>1034</v>
      </c>
      <c r="D605" s="1">
        <v>15</v>
      </c>
      <c r="E605" s="1"/>
      <c r="F605" s="1"/>
      <c r="G605" s="1"/>
      <c r="H605" s="1"/>
      <c r="I605" s="1"/>
      <c r="J605" s="1"/>
      <c r="K605" s="1"/>
      <c r="L605" s="1"/>
      <c r="M605" s="1"/>
      <c r="N605" s="1">
        <v>8</v>
      </c>
      <c r="O605" s="1">
        <v>15</v>
      </c>
    </row>
    <row r="606" spans="1:25" x14ac:dyDescent="0.25">
      <c r="A606" s="8" t="s">
        <v>426</v>
      </c>
      <c r="B606" s="11" t="s">
        <v>555</v>
      </c>
      <c r="C606" s="8" t="s">
        <v>179</v>
      </c>
      <c r="D606" s="1">
        <f>S606</f>
        <v>20</v>
      </c>
      <c r="E606" s="1"/>
      <c r="F606" s="1"/>
      <c r="G606" s="1"/>
      <c r="H606" s="1"/>
      <c r="I606" s="1"/>
      <c r="J606" s="1"/>
      <c r="K606" s="1"/>
      <c r="L606" s="1"/>
      <c r="M606" s="1"/>
      <c r="N606" s="1">
        <v>11</v>
      </c>
      <c r="O606" s="1">
        <v>15</v>
      </c>
      <c r="S606">
        <v>20</v>
      </c>
    </row>
    <row r="607" spans="1:25" x14ac:dyDescent="0.25">
      <c r="A607" s="8" t="s">
        <v>426</v>
      </c>
      <c r="B607" s="11" t="s">
        <v>556</v>
      </c>
      <c r="C607" s="8" t="s">
        <v>1034</v>
      </c>
      <c r="D607" s="1">
        <v>15</v>
      </c>
      <c r="E607" s="1"/>
      <c r="F607" s="1"/>
      <c r="G607" s="1"/>
      <c r="H607" s="1"/>
      <c r="I607" s="1"/>
      <c r="J607" s="1"/>
      <c r="K607" s="1"/>
      <c r="L607" s="1"/>
      <c r="M607" s="1"/>
      <c r="N607" s="1">
        <v>9</v>
      </c>
      <c r="O607" s="1">
        <v>15</v>
      </c>
    </row>
    <row r="608" spans="1:25" x14ac:dyDescent="0.25">
      <c r="A608" s="8" t="s">
        <v>426</v>
      </c>
      <c r="B608" s="11" t="s">
        <v>557</v>
      </c>
      <c r="C608" s="8" t="s">
        <v>1034</v>
      </c>
      <c r="D608" s="1">
        <v>15</v>
      </c>
      <c r="E608" s="1"/>
      <c r="F608" s="1"/>
      <c r="G608" s="1"/>
      <c r="H608" s="1"/>
      <c r="I608" s="1"/>
      <c r="J608" s="1"/>
      <c r="K608" s="1"/>
      <c r="L608" s="1"/>
      <c r="M608" s="1"/>
      <c r="N608" s="1">
        <v>9</v>
      </c>
      <c r="O608" s="1">
        <v>15</v>
      </c>
    </row>
    <row r="609" spans="1:25" x14ac:dyDescent="0.25">
      <c r="A609" s="8" t="s">
        <v>426</v>
      </c>
      <c r="B609" s="11" t="s">
        <v>558</v>
      </c>
      <c r="C609" s="8" t="s">
        <v>1042</v>
      </c>
      <c r="D609" s="1"/>
      <c r="E609" s="1"/>
      <c r="F609" s="1"/>
      <c r="G609" s="1"/>
      <c r="H609" s="1"/>
      <c r="I609" s="1"/>
      <c r="J609" s="1"/>
      <c r="K609" s="1"/>
      <c r="L609" s="1">
        <f>Y609</f>
        <v>50</v>
      </c>
      <c r="M609" s="1"/>
      <c r="N609" s="1">
        <v>30</v>
      </c>
      <c r="O609" s="1">
        <v>10</v>
      </c>
      <c r="Y609">
        <v>50</v>
      </c>
    </row>
    <row r="610" spans="1:25" x14ac:dyDescent="0.25">
      <c r="A610" s="8" t="s">
        <v>426</v>
      </c>
      <c r="B610" s="10">
        <v>5001858091</v>
      </c>
      <c r="C610" s="8" t="s">
        <v>178</v>
      </c>
      <c r="D610" s="1"/>
      <c r="E610" s="1">
        <v>15</v>
      </c>
      <c r="F610" s="1"/>
      <c r="G610" s="1"/>
      <c r="H610" s="1"/>
      <c r="I610" s="1"/>
      <c r="J610" s="1"/>
      <c r="K610" s="1"/>
      <c r="L610" s="1"/>
      <c r="M610" s="1"/>
      <c r="N610" s="1">
        <v>13</v>
      </c>
      <c r="O610" s="1">
        <v>15</v>
      </c>
    </row>
    <row r="611" spans="1:25" x14ac:dyDescent="0.25">
      <c r="A611" s="8" t="s">
        <v>426</v>
      </c>
      <c r="B611" s="10" t="s">
        <v>559</v>
      </c>
      <c r="C611" s="8" t="s">
        <v>176</v>
      </c>
      <c r="D611" s="1">
        <f>Q611</f>
        <v>20</v>
      </c>
      <c r="E611" s="1"/>
      <c r="F611" s="1"/>
      <c r="G611" s="1"/>
      <c r="H611" s="1"/>
      <c r="I611" s="1"/>
      <c r="J611" s="1"/>
      <c r="K611" s="1"/>
      <c r="L611" s="1"/>
      <c r="M611" s="1"/>
      <c r="N611" s="1">
        <v>11</v>
      </c>
      <c r="O611" s="1">
        <v>15</v>
      </c>
      <c r="Q611">
        <v>20</v>
      </c>
    </row>
    <row r="612" spans="1:25" x14ac:dyDescent="0.25">
      <c r="A612" s="8" t="s">
        <v>426</v>
      </c>
      <c r="B612" s="10" t="s">
        <v>560</v>
      </c>
      <c r="C612" s="8" t="s">
        <v>176</v>
      </c>
      <c r="D612" s="1">
        <f>Q612</f>
        <v>20</v>
      </c>
      <c r="E612" s="1"/>
      <c r="F612" s="1"/>
      <c r="G612" s="1"/>
      <c r="H612" s="1"/>
      <c r="I612" s="1"/>
      <c r="J612" s="1"/>
      <c r="K612" s="1"/>
      <c r="L612" s="1"/>
      <c r="M612" s="1"/>
      <c r="N612" s="1">
        <v>12</v>
      </c>
      <c r="O612" s="1">
        <v>15</v>
      </c>
      <c r="Q612">
        <v>20</v>
      </c>
    </row>
    <row r="613" spans="1:25" x14ac:dyDescent="0.25">
      <c r="A613" s="8" t="s">
        <v>426</v>
      </c>
      <c r="B613" s="10">
        <v>6650559370</v>
      </c>
      <c r="C613" s="8" t="s">
        <v>1034</v>
      </c>
      <c r="D613" s="1"/>
      <c r="E613" s="1">
        <v>15</v>
      </c>
      <c r="F613" s="1"/>
      <c r="G613" s="1"/>
      <c r="H613" s="1"/>
      <c r="I613" s="1"/>
      <c r="J613" s="1"/>
      <c r="K613" s="1"/>
      <c r="L613" s="1"/>
      <c r="M613" s="1"/>
      <c r="N613" s="1">
        <v>9</v>
      </c>
      <c r="O613" s="1">
        <v>15</v>
      </c>
    </row>
    <row r="614" spans="1:25" x14ac:dyDescent="0.25">
      <c r="A614" s="8" t="s">
        <v>426</v>
      </c>
      <c r="B614" s="11" t="s">
        <v>266</v>
      </c>
      <c r="C614" s="8" t="s">
        <v>483</v>
      </c>
      <c r="D614" s="1"/>
      <c r="E614" s="1"/>
      <c r="F614" s="1"/>
      <c r="G614" s="1"/>
      <c r="H614" s="1"/>
      <c r="I614" s="1"/>
      <c r="J614" s="1"/>
      <c r="K614" s="1"/>
      <c r="L614" s="1">
        <f>Y614</f>
        <v>10</v>
      </c>
      <c r="M614" s="1"/>
      <c r="N614" s="1">
        <v>8</v>
      </c>
      <c r="O614" s="1">
        <v>5</v>
      </c>
      <c r="Y614">
        <v>10</v>
      </c>
    </row>
    <row r="615" spans="1:25" x14ac:dyDescent="0.25">
      <c r="A615" s="8" t="s">
        <v>426</v>
      </c>
      <c r="B615" s="10">
        <v>85136709</v>
      </c>
      <c r="C615" s="8" t="s">
        <v>176</v>
      </c>
      <c r="D615" s="1">
        <f>Q615</f>
        <v>20</v>
      </c>
      <c r="E615" s="1"/>
      <c r="F615" s="1"/>
      <c r="G615" s="1"/>
      <c r="H615" s="1"/>
      <c r="I615" s="1"/>
      <c r="J615" s="1"/>
      <c r="K615" s="1"/>
      <c r="L615" s="1"/>
      <c r="M615" s="1"/>
      <c r="N615" s="1">
        <v>10</v>
      </c>
      <c r="O615" s="1">
        <v>15</v>
      </c>
      <c r="Q615">
        <v>20</v>
      </c>
    </row>
    <row r="616" spans="1:25" x14ac:dyDescent="0.25">
      <c r="A616" s="8" t="s">
        <v>426</v>
      </c>
      <c r="B616" s="10">
        <v>85145616</v>
      </c>
      <c r="C616" s="8" t="s">
        <v>451</v>
      </c>
      <c r="D616" s="1"/>
      <c r="E616" s="1"/>
      <c r="F616" s="1"/>
      <c r="G616" s="1"/>
      <c r="H616" s="1"/>
      <c r="I616" s="1"/>
      <c r="J616" s="1"/>
      <c r="K616" s="1"/>
      <c r="L616" s="1">
        <f>Y616</f>
        <v>10</v>
      </c>
      <c r="M616" s="1"/>
      <c r="N616" s="1">
        <v>10</v>
      </c>
      <c r="O616" s="1">
        <v>5</v>
      </c>
      <c r="Y616">
        <v>10</v>
      </c>
    </row>
    <row r="617" spans="1:25" x14ac:dyDescent="0.25">
      <c r="A617" s="8" t="s">
        <v>426</v>
      </c>
      <c r="B617" s="10">
        <v>85152246</v>
      </c>
      <c r="C617" s="8" t="s">
        <v>484</v>
      </c>
      <c r="D617" s="1"/>
      <c r="E617" s="1">
        <v>10</v>
      </c>
      <c r="F617" s="1">
        <v>10</v>
      </c>
      <c r="G617" s="1">
        <v>20</v>
      </c>
      <c r="H617" s="1"/>
      <c r="I617" s="1"/>
      <c r="J617" s="1"/>
      <c r="K617" s="1"/>
      <c r="L617" s="1"/>
      <c r="M617" s="1"/>
      <c r="N617" s="1">
        <v>23</v>
      </c>
      <c r="O617" s="1">
        <v>15</v>
      </c>
    </row>
    <row r="618" spans="1:25" x14ac:dyDescent="0.25">
      <c r="A618" s="8" t="s">
        <v>427</v>
      </c>
      <c r="B618" s="11" t="s">
        <v>586</v>
      </c>
      <c r="C618" s="8" t="s">
        <v>1032</v>
      </c>
      <c r="D618" s="1"/>
      <c r="E618" s="1">
        <v>10</v>
      </c>
      <c r="F618" s="1"/>
      <c r="G618" s="1"/>
      <c r="H618" s="1"/>
      <c r="I618" s="1"/>
      <c r="J618" s="1"/>
      <c r="K618" s="1"/>
      <c r="L618" s="1"/>
      <c r="M618" s="1"/>
      <c r="N618" s="1">
        <v>11</v>
      </c>
      <c r="O618" s="1">
        <v>15</v>
      </c>
      <c r="P618">
        <v>-10</v>
      </c>
    </row>
    <row r="619" spans="1:25" x14ac:dyDescent="0.25">
      <c r="A619" s="8" t="s">
        <v>427</v>
      </c>
      <c r="B619" s="11" t="s">
        <v>587</v>
      </c>
      <c r="C619" s="8" t="s">
        <v>1033</v>
      </c>
      <c r="D619" s="1"/>
      <c r="E619" s="1"/>
      <c r="F619" s="1"/>
      <c r="G619" s="1">
        <v>10</v>
      </c>
      <c r="H619" s="1"/>
      <c r="I619" s="1"/>
      <c r="J619" s="1"/>
      <c r="K619" s="1"/>
      <c r="L619" s="1"/>
      <c r="M619" s="1"/>
      <c r="N619" s="1">
        <v>9</v>
      </c>
      <c r="O619" s="1">
        <v>15</v>
      </c>
    </row>
    <row r="620" spans="1:25" x14ac:dyDescent="0.25">
      <c r="A620" s="8" t="s">
        <v>427</v>
      </c>
      <c r="B620" s="11" t="s">
        <v>588</v>
      </c>
      <c r="C620" s="8" t="s">
        <v>1033</v>
      </c>
      <c r="D620" s="1"/>
      <c r="E620" s="1"/>
      <c r="F620" s="1"/>
      <c r="G620" s="1">
        <v>10</v>
      </c>
      <c r="H620" s="1"/>
      <c r="I620" s="1"/>
      <c r="J620" s="1"/>
      <c r="K620" s="1"/>
      <c r="L620" s="1"/>
      <c r="M620" s="1"/>
      <c r="N620" s="1">
        <v>12</v>
      </c>
      <c r="O620" s="1">
        <v>15</v>
      </c>
      <c r="P620">
        <v>-10</v>
      </c>
    </row>
    <row r="621" spans="1:25" x14ac:dyDescent="0.25">
      <c r="A621" s="8" t="s">
        <v>427</v>
      </c>
      <c r="B621" s="11" t="s">
        <v>267</v>
      </c>
      <c r="C621" s="8" t="s">
        <v>485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>
        <v>13</v>
      </c>
      <c r="O621" s="1">
        <v>15</v>
      </c>
    </row>
    <row r="622" spans="1:25" x14ac:dyDescent="0.25">
      <c r="A622" s="8" t="s">
        <v>427</v>
      </c>
      <c r="B622" s="10">
        <v>23535927</v>
      </c>
      <c r="C622" s="8" t="s">
        <v>486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>
        <v>18</v>
      </c>
      <c r="O622" s="1">
        <v>15</v>
      </c>
    </row>
    <row r="623" spans="1:25" x14ac:dyDescent="0.25">
      <c r="A623" s="8" t="s">
        <v>427</v>
      </c>
      <c r="B623" s="10">
        <v>3282266</v>
      </c>
      <c r="C623" s="8" t="s">
        <v>451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>
        <v>8</v>
      </c>
      <c r="O623" s="1">
        <v>15</v>
      </c>
    </row>
    <row r="624" spans="1:25" x14ac:dyDescent="0.25">
      <c r="A624" s="8" t="s">
        <v>427</v>
      </c>
      <c r="B624" s="10">
        <v>3287561</v>
      </c>
      <c r="C624" s="8" t="s">
        <v>480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>
        <v>7</v>
      </c>
      <c r="O624" s="1">
        <v>15</v>
      </c>
    </row>
    <row r="625" spans="1:25" x14ac:dyDescent="0.25">
      <c r="A625" s="8" t="s">
        <v>427</v>
      </c>
      <c r="B625" s="10" t="s">
        <v>589</v>
      </c>
      <c r="C625" s="8" t="s">
        <v>1032</v>
      </c>
      <c r="D625" s="1"/>
      <c r="E625" s="1">
        <v>10</v>
      </c>
      <c r="F625" s="1"/>
      <c r="G625" s="1"/>
      <c r="H625" s="1"/>
      <c r="I625" s="1"/>
      <c r="J625" s="1"/>
      <c r="K625" s="1"/>
      <c r="L625" s="1"/>
      <c r="M625" s="1"/>
      <c r="N625" s="1">
        <v>11</v>
      </c>
      <c r="O625" s="1">
        <v>15</v>
      </c>
      <c r="P625">
        <v>-10</v>
      </c>
    </row>
    <row r="626" spans="1:25" x14ac:dyDescent="0.25">
      <c r="A626" s="8" t="s">
        <v>427</v>
      </c>
      <c r="B626" s="10" t="s">
        <v>590</v>
      </c>
      <c r="C626" s="8" t="s">
        <v>176</v>
      </c>
      <c r="D626" s="1">
        <f>Q626</f>
        <v>20</v>
      </c>
      <c r="E626" s="1"/>
      <c r="F626" s="1"/>
      <c r="G626" s="1"/>
      <c r="H626" s="1"/>
      <c r="I626" s="1"/>
      <c r="J626" s="1"/>
      <c r="K626" s="1"/>
      <c r="L626" s="1"/>
      <c r="M626" s="1"/>
      <c r="N626" s="1">
        <v>16</v>
      </c>
      <c r="O626" s="1">
        <v>15</v>
      </c>
      <c r="Q626">
        <v>20</v>
      </c>
    </row>
    <row r="627" spans="1:25" x14ac:dyDescent="0.25">
      <c r="A627" s="8" t="s">
        <v>427</v>
      </c>
      <c r="B627" s="11" t="s">
        <v>268</v>
      </c>
      <c r="C627" s="8" t="s">
        <v>487</v>
      </c>
      <c r="D627" s="1"/>
      <c r="E627" s="1">
        <f>R627</f>
        <v>15</v>
      </c>
      <c r="F627" s="1"/>
      <c r="G627" s="1"/>
      <c r="H627" s="1"/>
      <c r="I627" s="1"/>
      <c r="J627" s="1"/>
      <c r="K627" s="1"/>
      <c r="L627" s="1"/>
      <c r="M627" s="1"/>
      <c r="N627" s="1">
        <v>10</v>
      </c>
      <c r="O627" s="1">
        <v>15</v>
      </c>
      <c r="R627">
        <v>15</v>
      </c>
    </row>
    <row r="628" spans="1:25" x14ac:dyDescent="0.25">
      <c r="A628" s="8" t="s">
        <v>427</v>
      </c>
      <c r="B628" s="11" t="s">
        <v>269</v>
      </c>
      <c r="C628" s="8" t="s">
        <v>488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>
        <v>11</v>
      </c>
      <c r="O628" s="1">
        <v>15</v>
      </c>
    </row>
    <row r="629" spans="1:25" x14ac:dyDescent="0.25">
      <c r="A629" s="8" t="s">
        <v>427</v>
      </c>
      <c r="B629" s="11" t="s">
        <v>270</v>
      </c>
      <c r="C629" s="8" t="s">
        <v>489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>
        <v>11</v>
      </c>
      <c r="O629" s="1">
        <v>15</v>
      </c>
    </row>
    <row r="630" spans="1:25" x14ac:dyDescent="0.25">
      <c r="A630" s="8" t="s">
        <v>427</v>
      </c>
      <c r="B630" s="11" t="s">
        <v>271</v>
      </c>
      <c r="C630" s="8" t="s">
        <v>451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>
        <v>13</v>
      </c>
      <c r="O630" s="1">
        <v>15</v>
      </c>
    </row>
    <row r="631" spans="1:25" x14ac:dyDescent="0.25">
      <c r="A631" s="8" t="s">
        <v>427</v>
      </c>
      <c r="B631" s="11" t="s">
        <v>272</v>
      </c>
      <c r="C631" s="8" t="s">
        <v>490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>
        <v>40</v>
      </c>
      <c r="O631" s="1"/>
    </row>
    <row r="632" spans="1:25" x14ac:dyDescent="0.25">
      <c r="A632" s="8" t="s">
        <v>427</v>
      </c>
      <c r="B632" s="11" t="s">
        <v>273</v>
      </c>
      <c r="C632" s="8" t="s">
        <v>1033</v>
      </c>
      <c r="D632" s="1"/>
      <c r="E632" s="1"/>
      <c r="F632" s="1"/>
      <c r="G632" s="1">
        <v>15</v>
      </c>
      <c r="H632" s="1"/>
      <c r="I632" s="1"/>
      <c r="J632" s="1"/>
      <c r="K632" s="1"/>
      <c r="L632" s="1"/>
      <c r="M632" s="1"/>
      <c r="N632" s="1">
        <v>10</v>
      </c>
      <c r="O632" s="1">
        <v>15</v>
      </c>
      <c r="P632">
        <v>-5</v>
      </c>
    </row>
    <row r="633" spans="1:25" x14ac:dyDescent="0.25">
      <c r="A633" s="8" t="s">
        <v>427</v>
      </c>
      <c r="B633" s="11" t="s">
        <v>274</v>
      </c>
      <c r="C633" s="8" t="s">
        <v>491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>
        <v>50</v>
      </c>
      <c r="O633" s="1"/>
    </row>
    <row r="634" spans="1:25" x14ac:dyDescent="0.25">
      <c r="A634" s="8" t="s">
        <v>427</v>
      </c>
      <c r="B634" s="11" t="s">
        <v>275</v>
      </c>
      <c r="C634" s="8" t="s">
        <v>1032</v>
      </c>
      <c r="D634" s="1"/>
      <c r="E634" s="1">
        <v>15</v>
      </c>
      <c r="F634" s="1"/>
      <c r="G634" s="1"/>
      <c r="H634" s="1"/>
      <c r="I634" s="1"/>
      <c r="J634" s="1"/>
      <c r="K634" s="1"/>
      <c r="L634" s="1"/>
      <c r="M634" s="1"/>
      <c r="N634" s="1">
        <v>11</v>
      </c>
      <c r="O634" s="1">
        <v>15</v>
      </c>
      <c r="P634">
        <v>-10</v>
      </c>
    </row>
    <row r="635" spans="1:25" x14ac:dyDescent="0.25">
      <c r="A635" s="8" t="s">
        <v>427</v>
      </c>
      <c r="B635" s="11" t="s">
        <v>276</v>
      </c>
      <c r="C635" s="8" t="s">
        <v>1032</v>
      </c>
      <c r="D635" s="1"/>
      <c r="E635" s="1">
        <v>15</v>
      </c>
      <c r="F635" s="1"/>
      <c r="G635" s="1"/>
      <c r="H635" s="1"/>
      <c r="I635" s="1"/>
      <c r="J635" s="1"/>
      <c r="K635" s="1"/>
      <c r="L635" s="1"/>
      <c r="M635" s="1"/>
      <c r="N635" s="1">
        <v>13</v>
      </c>
      <c r="O635" s="1">
        <v>15</v>
      </c>
      <c r="P635">
        <v>-10</v>
      </c>
    </row>
    <row r="636" spans="1:25" x14ac:dyDescent="0.25">
      <c r="A636" s="8" t="s">
        <v>427</v>
      </c>
      <c r="B636" s="11" t="s">
        <v>277</v>
      </c>
      <c r="C636" s="8" t="s">
        <v>480</v>
      </c>
      <c r="D636" s="1"/>
      <c r="E636" s="1"/>
      <c r="F636" s="1"/>
      <c r="G636" s="1"/>
      <c r="H636" s="1"/>
      <c r="I636" s="1"/>
      <c r="J636" s="1"/>
      <c r="K636" s="1"/>
      <c r="L636" s="1">
        <f>Y636</f>
        <v>2</v>
      </c>
      <c r="M636" s="1"/>
      <c r="N636" s="1">
        <v>2</v>
      </c>
      <c r="O636" s="1"/>
      <c r="Y636">
        <v>2</v>
      </c>
    </row>
    <row r="637" spans="1:25" x14ac:dyDescent="0.25">
      <c r="A637" s="8" t="s">
        <v>427</v>
      </c>
      <c r="B637" s="11" t="s">
        <v>278</v>
      </c>
      <c r="C637" s="8" t="s">
        <v>480</v>
      </c>
      <c r="D637" s="1"/>
      <c r="E637" s="1"/>
      <c r="F637" s="1"/>
      <c r="G637" s="1"/>
      <c r="H637" s="1"/>
      <c r="I637" s="1"/>
      <c r="J637" s="1"/>
      <c r="K637" s="1"/>
      <c r="L637" s="1">
        <f>Y637</f>
        <v>2</v>
      </c>
      <c r="M637" s="1"/>
      <c r="N637" s="1">
        <v>2</v>
      </c>
      <c r="O637" s="1"/>
      <c r="Y637">
        <v>2</v>
      </c>
    </row>
    <row r="638" spans="1:25" x14ac:dyDescent="0.25">
      <c r="A638" s="8" t="s">
        <v>427</v>
      </c>
      <c r="B638" s="11" t="s">
        <v>279</v>
      </c>
      <c r="C638" s="8" t="s">
        <v>451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>
        <v>7</v>
      </c>
      <c r="O638" s="1"/>
    </row>
    <row r="639" spans="1:25" x14ac:dyDescent="0.25">
      <c r="A639" s="8" t="s">
        <v>427</v>
      </c>
      <c r="B639" s="11" t="s">
        <v>280</v>
      </c>
      <c r="C639" s="8" t="s">
        <v>492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>
        <v>7</v>
      </c>
      <c r="O639" s="1"/>
    </row>
    <row r="640" spans="1:25" x14ac:dyDescent="0.25">
      <c r="A640" s="8" t="s">
        <v>427</v>
      </c>
      <c r="B640" s="11" t="s">
        <v>281</v>
      </c>
      <c r="C640" s="8" t="s">
        <v>480</v>
      </c>
      <c r="D640" s="1"/>
      <c r="E640" s="1"/>
      <c r="F640" s="1"/>
      <c r="G640" s="1"/>
      <c r="H640" s="1"/>
      <c r="I640" s="1"/>
      <c r="J640" s="1"/>
      <c r="K640" s="1"/>
      <c r="L640" s="1">
        <v>2</v>
      </c>
      <c r="M640" s="1"/>
      <c r="N640" s="1">
        <v>2</v>
      </c>
      <c r="O640" s="1"/>
      <c r="Y640">
        <v>2</v>
      </c>
    </row>
    <row r="641" spans="1:25" x14ac:dyDescent="0.25">
      <c r="A641" s="8" t="s">
        <v>427</v>
      </c>
      <c r="B641" s="11" t="s">
        <v>282</v>
      </c>
      <c r="C641" s="8" t="s">
        <v>480</v>
      </c>
      <c r="D641" s="1"/>
      <c r="E641" s="1"/>
      <c r="F641" s="1"/>
      <c r="G641" s="1"/>
      <c r="H641" s="1"/>
      <c r="I641" s="1"/>
      <c r="J641" s="1"/>
      <c r="K641" s="1"/>
      <c r="L641" s="1">
        <f>Y641</f>
        <v>2</v>
      </c>
      <c r="M641" s="1"/>
      <c r="N641" s="1">
        <v>2</v>
      </c>
      <c r="O641" s="1"/>
      <c r="Y641">
        <v>2</v>
      </c>
    </row>
    <row r="642" spans="1:25" x14ac:dyDescent="0.25">
      <c r="A642" s="8" t="s">
        <v>427</v>
      </c>
      <c r="B642" s="11" t="s">
        <v>283</v>
      </c>
      <c r="C642" s="8" t="s">
        <v>480</v>
      </c>
      <c r="D642" s="1"/>
      <c r="E642" s="1"/>
      <c r="F642" s="1"/>
      <c r="G642" s="1"/>
      <c r="H642" s="1"/>
      <c r="I642" s="1"/>
      <c r="J642" s="1"/>
      <c r="K642" s="1"/>
      <c r="L642" s="1">
        <f>Y642</f>
        <v>2.5</v>
      </c>
      <c r="M642" s="1"/>
      <c r="N642" s="1">
        <v>2.5</v>
      </c>
      <c r="O642" s="1"/>
      <c r="Y642">
        <v>2.5</v>
      </c>
    </row>
    <row r="643" spans="1:25" x14ac:dyDescent="0.25">
      <c r="A643" s="8" t="s">
        <v>427</v>
      </c>
      <c r="B643" s="11" t="s">
        <v>284</v>
      </c>
      <c r="C643" s="8" t="s">
        <v>451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>
        <v>7</v>
      </c>
      <c r="O643" s="1">
        <v>15</v>
      </c>
    </row>
    <row r="644" spans="1:25" x14ac:dyDescent="0.25">
      <c r="A644" s="8" t="s">
        <v>427</v>
      </c>
      <c r="B644" s="11" t="s">
        <v>285</v>
      </c>
      <c r="C644" s="8" t="s">
        <v>1035</v>
      </c>
      <c r="D644" s="1"/>
      <c r="E644" s="1"/>
      <c r="F644" s="1"/>
      <c r="G644" s="1">
        <v>20</v>
      </c>
      <c r="H644" s="1"/>
      <c r="I644" s="1"/>
      <c r="J644" s="1"/>
      <c r="K644" s="1"/>
      <c r="L644" s="1"/>
      <c r="M644" s="1"/>
      <c r="N644" s="1">
        <v>12</v>
      </c>
      <c r="O644" s="1">
        <v>15</v>
      </c>
      <c r="P644">
        <v>-5</v>
      </c>
    </row>
    <row r="645" spans="1:25" x14ac:dyDescent="0.25">
      <c r="A645" s="8" t="s">
        <v>970</v>
      </c>
      <c r="B645" s="5">
        <v>10002</v>
      </c>
      <c r="C645" s="8" t="s">
        <v>972</v>
      </c>
      <c r="D645" s="1"/>
      <c r="E645" s="1"/>
      <c r="F645" s="1"/>
      <c r="G645" s="1"/>
      <c r="H645" s="1"/>
      <c r="I645" s="1"/>
      <c r="J645" s="1"/>
      <c r="K645" s="1"/>
      <c r="L645" s="1">
        <f t="shared" ref="L645:L651" si="24">Y645</f>
        <v>10</v>
      </c>
      <c r="M645" s="1"/>
      <c r="N645" s="1">
        <v>10</v>
      </c>
      <c r="O645" s="1"/>
      <c r="Y645" s="1">
        <v>10</v>
      </c>
    </row>
    <row r="646" spans="1:25" x14ac:dyDescent="0.25">
      <c r="A646" s="8" t="s">
        <v>970</v>
      </c>
      <c r="B646" s="5">
        <v>10013</v>
      </c>
      <c r="C646" s="8" t="s">
        <v>974</v>
      </c>
      <c r="D646" s="1"/>
      <c r="E646" s="1"/>
      <c r="F646" s="1"/>
      <c r="G646" s="1"/>
      <c r="H646" s="1"/>
      <c r="I646" s="1"/>
      <c r="J646" s="1"/>
      <c r="K646" s="1"/>
      <c r="L646" s="1">
        <f t="shared" si="24"/>
        <v>11</v>
      </c>
      <c r="M646" s="1"/>
      <c r="N646" s="1">
        <f>Y646</f>
        <v>11</v>
      </c>
      <c r="O646" s="1"/>
      <c r="Y646" s="1">
        <v>11</v>
      </c>
    </row>
    <row r="647" spans="1:25" x14ac:dyDescent="0.25">
      <c r="A647" s="8" t="s">
        <v>970</v>
      </c>
      <c r="B647" s="5">
        <v>10015</v>
      </c>
      <c r="C647" s="8" t="s">
        <v>973</v>
      </c>
      <c r="D647" s="1"/>
      <c r="E647" s="1"/>
      <c r="F647" s="1"/>
      <c r="G647" s="1"/>
      <c r="H647" s="1"/>
      <c r="I647" s="1"/>
      <c r="J647" s="1"/>
      <c r="K647" s="1"/>
      <c r="L647" s="1">
        <f t="shared" si="24"/>
        <v>11.99</v>
      </c>
      <c r="M647" s="1"/>
      <c r="N647" s="1">
        <v>11.99</v>
      </c>
      <c r="O647" s="1"/>
      <c r="Y647" s="1">
        <v>11.99</v>
      </c>
    </row>
    <row r="648" spans="1:25" x14ac:dyDescent="0.25">
      <c r="A648" s="8" t="s">
        <v>970</v>
      </c>
      <c r="B648" s="5">
        <v>10031</v>
      </c>
      <c r="C648" s="8" t="s">
        <v>975</v>
      </c>
      <c r="D648" s="1"/>
      <c r="E648" s="1"/>
      <c r="F648" s="1"/>
      <c r="G648" s="1"/>
      <c r="H648" s="1"/>
      <c r="I648" s="1"/>
      <c r="J648" s="1"/>
      <c r="K648" s="1"/>
      <c r="L648" s="1">
        <f t="shared" si="24"/>
        <v>12</v>
      </c>
      <c r="M648" s="1"/>
      <c r="N648" s="1">
        <v>12</v>
      </c>
      <c r="O648" s="1"/>
      <c r="Y648" s="1">
        <v>12</v>
      </c>
    </row>
    <row r="649" spans="1:25" x14ac:dyDescent="0.25">
      <c r="A649" s="8" t="s">
        <v>970</v>
      </c>
      <c r="B649" s="5">
        <v>20131</v>
      </c>
      <c r="C649" s="8" t="s">
        <v>976</v>
      </c>
      <c r="D649" s="1"/>
      <c r="E649" s="1"/>
      <c r="F649" s="1"/>
      <c r="G649" s="1"/>
      <c r="H649" s="1"/>
      <c r="I649" s="1"/>
      <c r="J649" s="1"/>
      <c r="K649" s="1"/>
      <c r="L649" s="1">
        <f t="shared" si="24"/>
        <v>10</v>
      </c>
      <c r="M649" s="1"/>
      <c r="N649" s="1">
        <v>10</v>
      </c>
      <c r="O649" s="1"/>
      <c r="Y649" s="1">
        <v>10</v>
      </c>
    </row>
    <row r="650" spans="1:25" x14ac:dyDescent="0.25">
      <c r="A650" s="8" t="s">
        <v>970</v>
      </c>
      <c r="B650" s="5">
        <v>20279</v>
      </c>
      <c r="C650" s="8" t="s">
        <v>1074</v>
      </c>
      <c r="D650" s="1"/>
      <c r="E650" s="1"/>
      <c r="F650" s="1"/>
      <c r="G650" s="1"/>
      <c r="H650" s="1"/>
      <c r="I650" s="1"/>
      <c r="J650" s="1"/>
      <c r="K650" s="1"/>
      <c r="L650" s="1">
        <f t="shared" si="24"/>
        <v>22</v>
      </c>
      <c r="M650" s="1"/>
      <c r="N650" s="1">
        <v>22</v>
      </c>
      <c r="O650" s="1"/>
      <c r="Y650" s="1">
        <v>22</v>
      </c>
    </row>
    <row r="651" spans="1:25" x14ac:dyDescent="0.25">
      <c r="A651" s="8" t="s">
        <v>630</v>
      </c>
      <c r="B651" s="5">
        <v>908959</v>
      </c>
      <c r="C651" t="s">
        <v>1014</v>
      </c>
      <c r="D651" s="1"/>
      <c r="E651" s="1"/>
      <c r="F651" s="1"/>
      <c r="G651" s="1"/>
      <c r="H651" s="1"/>
      <c r="I651" s="1"/>
      <c r="J651" s="1"/>
      <c r="K651" s="1"/>
      <c r="L651" s="1">
        <f t="shared" si="24"/>
        <v>5</v>
      </c>
      <c r="M651" s="1"/>
      <c r="N651" s="1">
        <v>5</v>
      </c>
      <c r="O651" s="1"/>
      <c r="Y651" s="1">
        <v>5</v>
      </c>
    </row>
    <row r="652" spans="1:25" x14ac:dyDescent="0.25">
      <c r="A652" s="8"/>
      <c r="B652" s="11" t="s">
        <v>977</v>
      </c>
      <c r="C652" s="8" t="s">
        <v>980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Y652" s="1"/>
    </row>
    <row r="653" spans="1:25" x14ac:dyDescent="0.25">
      <c r="A653" s="8"/>
      <c r="B653" s="11">
        <v>43143530</v>
      </c>
      <c r="C653" s="8" t="s">
        <v>981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25" x14ac:dyDescent="0.25">
      <c r="A654" s="8"/>
      <c r="B654" s="11" t="s">
        <v>978</v>
      </c>
      <c r="C654" s="8" t="s">
        <v>982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25" x14ac:dyDescent="0.25">
      <c r="A655" s="8"/>
      <c r="B655" s="11" t="s">
        <v>979</v>
      </c>
      <c r="C655" s="8" t="s">
        <v>983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>
        <v>25</v>
      </c>
      <c r="O655" s="1"/>
    </row>
    <row r="656" spans="1:25" x14ac:dyDescent="0.25">
      <c r="A656" s="8" t="s">
        <v>996</v>
      </c>
      <c r="B656" s="11">
        <v>908916</v>
      </c>
      <c r="C656" s="8" t="s">
        <v>1013</v>
      </c>
      <c r="D656" s="1"/>
      <c r="E656" s="1"/>
      <c r="F656" s="1"/>
      <c r="G656" s="1"/>
      <c r="H656" s="1"/>
      <c r="I656" s="1"/>
      <c r="J656" s="1"/>
      <c r="K656" s="1"/>
      <c r="L656" s="1">
        <f>Y656</f>
        <v>20</v>
      </c>
      <c r="M656" s="1"/>
      <c r="N656" s="1">
        <v>20</v>
      </c>
      <c r="O656" s="1"/>
      <c r="Y656">
        <v>20</v>
      </c>
    </row>
    <row r="657" spans="1:25" x14ac:dyDescent="0.25">
      <c r="A657" s="8" t="s">
        <v>996</v>
      </c>
      <c r="B657" s="11">
        <v>219194</v>
      </c>
      <c r="C657" s="8" t="s">
        <v>991</v>
      </c>
      <c r="D657" s="1"/>
      <c r="E657" s="1"/>
      <c r="F657" s="1"/>
      <c r="G657" s="1"/>
      <c r="H657" s="1"/>
      <c r="I657" s="1"/>
      <c r="J657" s="1"/>
      <c r="K657" s="1"/>
      <c r="L657" s="1">
        <f t="shared" ref="L657:L673" si="25">Y657</f>
        <v>10</v>
      </c>
      <c r="M657" s="1"/>
      <c r="N657" s="1">
        <v>10</v>
      </c>
      <c r="O657" s="1"/>
      <c r="Y657">
        <v>10</v>
      </c>
    </row>
    <row r="658" spans="1:25" x14ac:dyDescent="0.25">
      <c r="A658" s="8" t="s">
        <v>996</v>
      </c>
      <c r="B658" s="11">
        <v>219196</v>
      </c>
      <c r="C658" s="8" t="s">
        <v>992</v>
      </c>
      <c r="D658" s="1"/>
      <c r="E658" s="1"/>
      <c r="F658" s="1"/>
      <c r="G658" s="1"/>
      <c r="H658" s="1"/>
      <c r="I658" s="1"/>
      <c r="J658" s="1"/>
      <c r="K658" s="1"/>
      <c r="L658" s="1">
        <f t="shared" si="25"/>
        <v>11</v>
      </c>
      <c r="M658" s="1"/>
      <c r="N658" s="1">
        <v>10</v>
      </c>
      <c r="O658" s="1"/>
      <c r="Y658">
        <v>11</v>
      </c>
    </row>
    <row r="659" spans="1:25" x14ac:dyDescent="0.25">
      <c r="A659" s="8" t="s">
        <v>996</v>
      </c>
      <c r="B659" s="11" t="s">
        <v>1222</v>
      </c>
      <c r="C659" s="8" t="s">
        <v>993</v>
      </c>
      <c r="D659" s="1"/>
      <c r="E659" s="1"/>
      <c r="F659" s="1"/>
      <c r="G659" s="1"/>
      <c r="H659" s="1"/>
      <c r="I659" s="1"/>
      <c r="J659" s="1"/>
      <c r="K659" s="1"/>
      <c r="L659" s="1">
        <f t="shared" si="25"/>
        <v>10</v>
      </c>
      <c r="M659" s="1"/>
      <c r="N659" s="1">
        <v>10</v>
      </c>
      <c r="O659" s="1"/>
      <c r="Y659">
        <v>10</v>
      </c>
    </row>
    <row r="660" spans="1:25" x14ac:dyDescent="0.25">
      <c r="A660" s="8" t="s">
        <v>996</v>
      </c>
      <c r="B660" s="11" t="s">
        <v>779</v>
      </c>
      <c r="C660" s="8" t="s">
        <v>994</v>
      </c>
      <c r="D660" s="1"/>
      <c r="E660" s="1"/>
      <c r="F660" s="1"/>
      <c r="G660" s="1"/>
      <c r="H660" s="1"/>
      <c r="I660" s="1"/>
      <c r="J660" s="1"/>
      <c r="K660" s="1"/>
      <c r="L660" s="1">
        <f t="shared" si="25"/>
        <v>11</v>
      </c>
      <c r="M660" s="1"/>
      <c r="N660" s="1">
        <v>10</v>
      </c>
      <c r="O660" s="1"/>
      <c r="Y660">
        <v>11</v>
      </c>
    </row>
    <row r="661" spans="1:25" x14ac:dyDescent="0.25">
      <c r="A661" s="8" t="s">
        <v>996</v>
      </c>
      <c r="B661" s="11" t="s">
        <v>784</v>
      </c>
      <c r="C661" s="8" t="s">
        <v>984</v>
      </c>
      <c r="D661" s="1"/>
      <c r="E661" s="1"/>
      <c r="F661" s="1"/>
      <c r="G661" s="1"/>
      <c r="H661" s="1"/>
      <c r="I661" s="1"/>
      <c r="J661" s="1"/>
      <c r="K661" s="1"/>
      <c r="L661" s="1">
        <f t="shared" si="25"/>
        <v>12</v>
      </c>
      <c r="M661" s="1"/>
      <c r="N661" s="1">
        <v>12</v>
      </c>
      <c r="O661" s="1"/>
      <c r="Y661">
        <v>12</v>
      </c>
    </row>
    <row r="662" spans="1:25" x14ac:dyDescent="0.25">
      <c r="A662" s="8" t="s">
        <v>996</v>
      </c>
      <c r="B662" s="11" t="s">
        <v>785</v>
      </c>
      <c r="C662" s="8" t="s">
        <v>1009</v>
      </c>
      <c r="D662" s="1"/>
      <c r="E662" s="1"/>
      <c r="F662" s="1"/>
      <c r="G662" s="1"/>
      <c r="H662" s="1"/>
      <c r="I662" s="1"/>
      <c r="J662" s="1"/>
      <c r="K662" s="1"/>
      <c r="L662" s="1">
        <f t="shared" si="25"/>
        <v>12</v>
      </c>
      <c r="M662" s="1"/>
      <c r="N662" s="1">
        <v>12</v>
      </c>
      <c r="O662" s="1"/>
      <c r="Y662">
        <v>12</v>
      </c>
    </row>
    <row r="663" spans="1:25" x14ac:dyDescent="0.25">
      <c r="A663" s="8" t="s">
        <v>996</v>
      </c>
      <c r="B663" s="11">
        <v>50252558</v>
      </c>
      <c r="C663" s="8" t="s">
        <v>985</v>
      </c>
      <c r="D663" s="1"/>
      <c r="E663" s="1"/>
      <c r="F663" s="1"/>
      <c r="G663" s="1"/>
      <c r="H663" s="1"/>
      <c r="I663" s="1"/>
      <c r="J663" s="1"/>
      <c r="K663" s="1"/>
      <c r="L663" s="1">
        <f t="shared" si="25"/>
        <v>10</v>
      </c>
      <c r="M663" s="1"/>
      <c r="N663" s="1">
        <v>10</v>
      </c>
      <c r="O663" s="1"/>
      <c r="Y663">
        <v>10</v>
      </c>
    </row>
    <row r="664" spans="1:25" x14ac:dyDescent="0.25">
      <c r="A664" s="8" t="s">
        <v>996</v>
      </c>
      <c r="B664" s="11">
        <v>50252847</v>
      </c>
      <c r="C664" s="8" t="s">
        <v>995</v>
      </c>
      <c r="D664" s="1"/>
      <c r="E664" s="1"/>
      <c r="F664" s="1"/>
      <c r="G664" s="1"/>
      <c r="H664" s="1"/>
      <c r="I664" s="1"/>
      <c r="J664" s="1"/>
      <c r="K664" s="1"/>
      <c r="L664" s="1">
        <f t="shared" si="25"/>
        <v>11</v>
      </c>
      <c r="M664" s="1"/>
      <c r="N664" s="1">
        <v>10</v>
      </c>
      <c r="O664" s="1"/>
      <c r="Y664">
        <v>11</v>
      </c>
    </row>
    <row r="665" spans="1:25" x14ac:dyDescent="0.25">
      <c r="A665" s="8" t="s">
        <v>996</v>
      </c>
      <c r="B665" s="11">
        <v>550045018</v>
      </c>
      <c r="C665" s="8" t="s">
        <v>986</v>
      </c>
      <c r="D665" s="1"/>
      <c r="E665" s="1"/>
      <c r="F665" s="1"/>
      <c r="G665" s="1"/>
      <c r="H665" s="1"/>
      <c r="I665" s="1"/>
      <c r="J665" s="1"/>
      <c r="K665" s="1"/>
      <c r="L665" s="1">
        <f t="shared" si="25"/>
        <v>11</v>
      </c>
      <c r="M665" s="1"/>
      <c r="N665" s="1">
        <v>10</v>
      </c>
      <c r="O665" s="1"/>
      <c r="Y665">
        <v>11</v>
      </c>
    </row>
    <row r="666" spans="1:25" x14ac:dyDescent="0.25">
      <c r="A666" s="8" t="s">
        <v>996</v>
      </c>
      <c r="B666" s="11">
        <v>550045135</v>
      </c>
      <c r="C666" s="8" t="s">
        <v>987</v>
      </c>
      <c r="D666" s="1"/>
      <c r="E666" s="1"/>
      <c r="F666" s="1"/>
      <c r="G666" s="1"/>
      <c r="H666" s="1"/>
      <c r="I666" s="1"/>
      <c r="J666" s="1"/>
      <c r="K666" s="1"/>
      <c r="L666" s="1">
        <f t="shared" si="25"/>
        <v>10</v>
      </c>
      <c r="M666" s="1"/>
      <c r="N666" s="1">
        <v>10</v>
      </c>
      <c r="O666" s="1"/>
      <c r="Y666">
        <v>10</v>
      </c>
    </row>
    <row r="667" spans="1:25" x14ac:dyDescent="0.25">
      <c r="A667" s="8" t="s">
        <v>996</v>
      </c>
      <c r="B667" s="11">
        <v>550046252</v>
      </c>
      <c r="C667" s="8" t="s">
        <v>988</v>
      </c>
      <c r="D667" s="1"/>
      <c r="E667" s="1"/>
      <c r="F667" s="1"/>
      <c r="G667" s="1"/>
      <c r="H667" s="1"/>
      <c r="I667" s="1"/>
      <c r="J667" s="1"/>
      <c r="K667" s="1"/>
      <c r="L667" s="1">
        <f t="shared" si="25"/>
        <v>12</v>
      </c>
      <c r="M667" s="1"/>
      <c r="N667" s="1">
        <v>12</v>
      </c>
      <c r="O667" s="1"/>
      <c r="Y667">
        <v>12</v>
      </c>
    </row>
    <row r="668" spans="1:25" x14ac:dyDescent="0.25">
      <c r="A668" s="8" t="s">
        <v>996</v>
      </c>
      <c r="B668" s="11">
        <v>550045390</v>
      </c>
      <c r="C668" s="8" t="s">
        <v>989</v>
      </c>
      <c r="D668" s="1"/>
      <c r="E668" s="1"/>
      <c r="F668" s="1"/>
      <c r="G668" s="1"/>
      <c r="H668" s="1"/>
      <c r="I668" s="1"/>
      <c r="J668" s="1"/>
      <c r="K668" s="1"/>
      <c r="L668" s="1">
        <f t="shared" si="25"/>
        <v>12</v>
      </c>
      <c r="M668" s="1"/>
      <c r="N668" s="1">
        <v>12</v>
      </c>
      <c r="O668" s="1"/>
      <c r="Y668">
        <v>12</v>
      </c>
    </row>
    <row r="669" spans="1:25" x14ac:dyDescent="0.25">
      <c r="A669" s="8" t="s">
        <v>996</v>
      </c>
      <c r="B669" s="11">
        <v>550046250</v>
      </c>
      <c r="C669" s="8" t="s">
        <v>990</v>
      </c>
      <c r="D669" s="1"/>
      <c r="E669" s="1"/>
      <c r="F669" s="1"/>
      <c r="G669" s="1"/>
      <c r="H669" s="1"/>
      <c r="I669" s="1"/>
      <c r="J669" s="1"/>
      <c r="K669" s="1"/>
      <c r="L669" s="1">
        <f t="shared" si="25"/>
        <v>11</v>
      </c>
      <c r="M669" s="1"/>
      <c r="N669" s="1">
        <v>12</v>
      </c>
      <c r="O669" s="1"/>
      <c r="Y669">
        <v>11</v>
      </c>
    </row>
    <row r="670" spans="1:25" x14ac:dyDescent="0.25">
      <c r="A670" s="8"/>
      <c r="B670" s="11" t="s">
        <v>1003</v>
      </c>
      <c r="C670" s="8" t="s">
        <v>997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25" x14ac:dyDescent="0.25">
      <c r="A671" s="8" t="s">
        <v>1012</v>
      </c>
      <c r="B671" s="11" t="s">
        <v>1000</v>
      </c>
      <c r="C671" s="8" t="s">
        <v>998</v>
      </c>
      <c r="D671" s="1"/>
      <c r="E671" s="1"/>
      <c r="F671" s="1"/>
      <c r="G671" s="1"/>
      <c r="H671" s="1"/>
      <c r="I671" s="1"/>
      <c r="J671" s="1"/>
      <c r="K671" s="1"/>
      <c r="L671" s="1">
        <f t="shared" si="25"/>
        <v>6</v>
      </c>
      <c r="M671" s="1"/>
      <c r="N671" s="1">
        <v>6</v>
      </c>
      <c r="O671" s="1"/>
      <c r="Y671">
        <v>6</v>
      </c>
    </row>
    <row r="672" spans="1:25" x14ac:dyDescent="0.25">
      <c r="A672" s="8" t="s">
        <v>1012</v>
      </c>
      <c r="B672" s="11" t="s">
        <v>1223</v>
      </c>
      <c r="C672" s="8" t="s">
        <v>999</v>
      </c>
      <c r="D672" s="1"/>
      <c r="E672" s="1"/>
      <c r="F672" s="1"/>
      <c r="G672" s="1"/>
      <c r="H672" s="1"/>
      <c r="I672" s="1"/>
      <c r="J672" s="1"/>
      <c r="K672" s="1"/>
      <c r="L672" s="1">
        <f t="shared" si="25"/>
        <v>9</v>
      </c>
      <c r="M672" s="1"/>
      <c r="N672" s="1">
        <v>9</v>
      </c>
      <c r="O672" s="1"/>
      <c r="Y672">
        <v>9</v>
      </c>
    </row>
    <row r="673" spans="1:25" x14ac:dyDescent="0.25">
      <c r="A673" s="8" t="s">
        <v>1012</v>
      </c>
      <c r="B673" s="11" t="s">
        <v>1001</v>
      </c>
      <c r="C673" s="8" t="s">
        <v>1002</v>
      </c>
      <c r="D673" s="1"/>
      <c r="E673" s="1"/>
      <c r="F673" s="1"/>
      <c r="G673" s="1"/>
      <c r="H673" s="1"/>
      <c r="I673" s="1"/>
      <c r="J673" s="1"/>
      <c r="K673" s="1"/>
      <c r="L673" s="1">
        <f t="shared" si="25"/>
        <v>6</v>
      </c>
      <c r="M673" s="1"/>
      <c r="N673" s="1">
        <v>6</v>
      </c>
      <c r="O673" s="1"/>
      <c r="Y673">
        <v>6</v>
      </c>
    </row>
    <row r="674" spans="1:25" x14ac:dyDescent="0.25">
      <c r="A674" s="8" t="s">
        <v>428</v>
      </c>
      <c r="B674" s="9" t="s">
        <v>286</v>
      </c>
      <c r="C674" s="8" t="s">
        <v>493</v>
      </c>
      <c r="D674" s="1"/>
      <c r="E674" s="1"/>
      <c r="F674" s="1"/>
      <c r="G674" s="1"/>
      <c r="H674" s="1"/>
      <c r="I674" s="1"/>
      <c r="J674" s="1"/>
      <c r="K674" s="1"/>
      <c r="L674" s="1">
        <f>Y674</f>
        <v>3</v>
      </c>
      <c r="M674" s="1"/>
      <c r="N674" s="1">
        <v>7</v>
      </c>
      <c r="O674" s="1">
        <v>0</v>
      </c>
      <c r="Y674">
        <v>3</v>
      </c>
    </row>
    <row r="675" spans="1:25" x14ac:dyDescent="0.25">
      <c r="A675" s="8" t="s">
        <v>428</v>
      </c>
      <c r="B675" s="9" t="s">
        <v>287</v>
      </c>
      <c r="C675" s="8" t="s">
        <v>452</v>
      </c>
      <c r="D675" s="1"/>
      <c r="E675" s="1"/>
      <c r="F675" s="1"/>
      <c r="G675" s="1"/>
      <c r="H675" s="1"/>
      <c r="I675" s="1"/>
      <c r="J675" s="1"/>
      <c r="K675" s="1"/>
      <c r="L675" s="1">
        <f>Y675</f>
        <v>3</v>
      </c>
      <c r="M675" s="1"/>
      <c r="N675" s="1">
        <v>7</v>
      </c>
      <c r="O675" s="1">
        <v>0</v>
      </c>
      <c r="Y675">
        <v>3</v>
      </c>
    </row>
    <row r="676" spans="1:25" x14ac:dyDescent="0.25">
      <c r="A676" s="8" t="s">
        <v>428</v>
      </c>
      <c r="B676" s="9" t="s">
        <v>288</v>
      </c>
      <c r="C676" s="8" t="s">
        <v>451</v>
      </c>
      <c r="D676" s="1"/>
      <c r="E676" s="1"/>
      <c r="F676" s="1"/>
      <c r="G676" s="1"/>
      <c r="H676" s="1"/>
      <c r="I676" s="1"/>
      <c r="J676" s="1"/>
      <c r="K676" s="1"/>
      <c r="L676" s="1">
        <f>Y676</f>
        <v>10</v>
      </c>
      <c r="M676" s="1"/>
      <c r="N676" s="1">
        <v>7</v>
      </c>
      <c r="O676" s="1">
        <v>5</v>
      </c>
      <c r="Y676">
        <v>10</v>
      </c>
    </row>
    <row r="677" spans="1:25" x14ac:dyDescent="0.25">
      <c r="A677" s="8" t="s">
        <v>428</v>
      </c>
      <c r="B677" s="9" t="s">
        <v>289</v>
      </c>
      <c r="C677" s="8" t="s">
        <v>451</v>
      </c>
      <c r="D677" s="1"/>
      <c r="E677" s="1"/>
      <c r="F677" s="1"/>
      <c r="G677" s="1"/>
      <c r="H677" s="1"/>
      <c r="I677" s="1"/>
      <c r="J677" s="1"/>
      <c r="K677" s="1"/>
      <c r="L677" s="1">
        <f>Y677</f>
        <v>10</v>
      </c>
      <c r="M677" s="1"/>
      <c r="N677" s="1">
        <v>7</v>
      </c>
      <c r="O677" s="1">
        <v>5</v>
      </c>
      <c r="Y677">
        <v>10</v>
      </c>
    </row>
    <row r="678" spans="1:25" x14ac:dyDescent="0.25">
      <c r="A678" s="8" t="s">
        <v>428</v>
      </c>
      <c r="B678" s="9" t="s">
        <v>290</v>
      </c>
      <c r="C678" s="8" t="s">
        <v>1034</v>
      </c>
      <c r="D678" s="1"/>
      <c r="E678" s="1">
        <v>15</v>
      </c>
      <c r="F678" s="1"/>
      <c r="G678" s="1"/>
      <c r="H678" s="1"/>
      <c r="I678" s="1"/>
      <c r="J678" s="1"/>
      <c r="K678" s="1"/>
      <c r="L678" s="1"/>
      <c r="M678" s="1"/>
      <c r="N678" s="1">
        <v>18</v>
      </c>
      <c r="O678" s="1">
        <v>15</v>
      </c>
      <c r="P678">
        <v>-20</v>
      </c>
    </row>
    <row r="679" spans="1:25" x14ac:dyDescent="0.25">
      <c r="A679" s="8" t="s">
        <v>428</v>
      </c>
      <c r="B679" s="9" t="s">
        <v>291</v>
      </c>
      <c r="C679" s="8" t="s">
        <v>1036</v>
      </c>
      <c r="D679" s="1"/>
      <c r="E679" s="1"/>
      <c r="F679" s="1"/>
      <c r="G679" s="1"/>
      <c r="H679" s="1">
        <f>U679</f>
        <v>20</v>
      </c>
      <c r="I679" s="1"/>
      <c r="J679" s="1"/>
      <c r="K679" s="1"/>
      <c r="L679" s="1"/>
      <c r="M679" s="1"/>
      <c r="N679" s="1">
        <v>17</v>
      </c>
      <c r="O679" s="1">
        <v>15</v>
      </c>
      <c r="U679">
        <v>20</v>
      </c>
    </row>
    <row r="680" spans="1:25" x14ac:dyDescent="0.25">
      <c r="A680" s="8" t="s">
        <v>428</v>
      </c>
      <c r="B680" s="9" t="s">
        <v>292</v>
      </c>
      <c r="C680" s="8" t="s">
        <v>494</v>
      </c>
      <c r="D680" s="1"/>
      <c r="E680" s="1"/>
      <c r="F680" s="1"/>
      <c r="G680" s="1"/>
      <c r="H680" s="1"/>
      <c r="I680" s="1"/>
      <c r="J680" s="1"/>
      <c r="K680" s="1"/>
      <c r="L680" s="1">
        <f>Y680</f>
        <v>5</v>
      </c>
      <c r="M680" s="1"/>
      <c r="N680" s="1">
        <v>7</v>
      </c>
      <c r="O680" s="1">
        <v>5</v>
      </c>
      <c r="Y680">
        <v>5</v>
      </c>
    </row>
    <row r="681" spans="1:25" x14ac:dyDescent="0.25">
      <c r="A681" s="8" t="s">
        <v>428</v>
      </c>
      <c r="B681" s="9" t="s">
        <v>293</v>
      </c>
      <c r="C681" s="8" t="s">
        <v>495</v>
      </c>
      <c r="D681" s="1"/>
      <c r="E681" s="1"/>
      <c r="F681" s="1"/>
      <c r="G681" s="1"/>
      <c r="H681" s="1"/>
      <c r="I681" s="1"/>
      <c r="J681" s="1"/>
      <c r="K681" s="1"/>
      <c r="L681" s="1">
        <f>Y681</f>
        <v>3</v>
      </c>
      <c r="M681" s="1"/>
      <c r="N681" s="1">
        <v>7</v>
      </c>
      <c r="O681" s="1">
        <v>2</v>
      </c>
      <c r="Y681">
        <v>3</v>
      </c>
    </row>
    <row r="682" spans="1:25" x14ac:dyDescent="0.25">
      <c r="A682" s="8" t="s">
        <v>428</v>
      </c>
      <c r="B682" s="9" t="s">
        <v>294</v>
      </c>
      <c r="C682" s="8" t="s">
        <v>176</v>
      </c>
      <c r="D682" s="1">
        <f>Q682</f>
        <v>13</v>
      </c>
      <c r="E682" s="1"/>
      <c r="F682" s="1"/>
      <c r="G682" s="1"/>
      <c r="H682" s="1"/>
      <c r="I682" s="1"/>
      <c r="J682" s="1"/>
      <c r="K682" s="1"/>
      <c r="L682" s="1"/>
      <c r="M682" s="1"/>
      <c r="N682" s="1">
        <v>17</v>
      </c>
      <c r="O682" s="1">
        <v>15</v>
      </c>
      <c r="Q682">
        <v>13</v>
      </c>
    </row>
    <row r="683" spans="1:25" x14ac:dyDescent="0.25">
      <c r="A683" s="8" t="s">
        <v>428</v>
      </c>
      <c r="B683" s="9" t="s">
        <v>295</v>
      </c>
      <c r="C683" s="8" t="s">
        <v>496</v>
      </c>
      <c r="D683" s="1"/>
      <c r="E683" s="1"/>
      <c r="F683" s="1"/>
      <c r="G683" s="1"/>
      <c r="H683" s="1"/>
      <c r="I683" s="1"/>
      <c r="J683" s="1"/>
      <c r="K683" s="1"/>
      <c r="L683" s="1">
        <f>Y683</f>
        <v>50</v>
      </c>
      <c r="M683" s="1"/>
      <c r="N683" s="1">
        <v>50</v>
      </c>
      <c r="O683" s="1"/>
      <c r="Y683">
        <v>50</v>
      </c>
    </row>
    <row r="684" spans="1:25" x14ac:dyDescent="0.25">
      <c r="A684" s="8" t="s">
        <v>428</v>
      </c>
      <c r="B684" s="9" t="s">
        <v>296</v>
      </c>
      <c r="C684" s="8" t="s">
        <v>1033</v>
      </c>
      <c r="D684" s="1"/>
      <c r="E684" s="1"/>
      <c r="F684" s="1"/>
      <c r="G684" s="1">
        <v>20</v>
      </c>
      <c r="H684" s="1"/>
      <c r="I684" s="1"/>
      <c r="J684" s="1"/>
      <c r="K684" s="1"/>
      <c r="L684" s="1"/>
      <c r="M684" s="1"/>
      <c r="N684" s="1">
        <v>16</v>
      </c>
      <c r="O684" s="1">
        <v>15</v>
      </c>
      <c r="P684">
        <v>-15</v>
      </c>
    </row>
    <row r="685" spans="1:25" x14ac:dyDescent="0.25">
      <c r="A685" s="8" t="s">
        <v>428</v>
      </c>
      <c r="B685" s="9" t="s">
        <v>297</v>
      </c>
      <c r="C685" s="8" t="s">
        <v>451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>
        <v>9</v>
      </c>
      <c r="O685" s="1"/>
      <c r="Y685">
        <v>5</v>
      </c>
    </row>
    <row r="686" spans="1:25" x14ac:dyDescent="0.25">
      <c r="A686" s="8" t="s">
        <v>428</v>
      </c>
      <c r="B686" s="9" t="s">
        <v>298</v>
      </c>
      <c r="C686" s="8" t="s">
        <v>497</v>
      </c>
      <c r="D686" s="1"/>
      <c r="E686" s="1"/>
      <c r="F686" s="1"/>
      <c r="G686" s="1"/>
      <c r="H686" s="1"/>
      <c r="I686" s="1"/>
      <c r="J686" s="1"/>
      <c r="K686" s="1"/>
      <c r="L686" s="1"/>
      <c r="M686" s="1">
        <f>Y686</f>
        <v>50</v>
      </c>
      <c r="N686" s="1">
        <v>50</v>
      </c>
      <c r="O686" s="1"/>
      <c r="Y686">
        <v>50</v>
      </c>
    </row>
    <row r="687" spans="1:25" x14ac:dyDescent="0.25">
      <c r="A687" s="8" t="s">
        <v>428</v>
      </c>
      <c r="B687" s="9" t="s">
        <v>299</v>
      </c>
      <c r="C687" s="8" t="s">
        <v>498</v>
      </c>
      <c r="D687" s="1"/>
      <c r="E687" s="1"/>
      <c r="F687" s="1"/>
      <c r="G687" s="1"/>
      <c r="H687" s="1"/>
      <c r="I687" s="1"/>
      <c r="J687" s="1"/>
      <c r="K687" s="1"/>
      <c r="L687" s="1"/>
      <c r="M687" s="1">
        <f>Y687</f>
        <v>35</v>
      </c>
      <c r="N687" s="1">
        <v>23</v>
      </c>
      <c r="O687" s="1">
        <v>15</v>
      </c>
      <c r="Y687">
        <v>35</v>
      </c>
    </row>
    <row r="688" spans="1:25" x14ac:dyDescent="0.25">
      <c r="A688" s="8" t="s">
        <v>428</v>
      </c>
      <c r="B688" s="9" t="s">
        <v>300</v>
      </c>
      <c r="C688" s="8" t="s">
        <v>1033</v>
      </c>
      <c r="D688" s="1"/>
      <c r="E688" s="1"/>
      <c r="F688" s="1"/>
      <c r="G688" s="1">
        <v>20</v>
      </c>
      <c r="H688" s="1"/>
      <c r="I688" s="1"/>
      <c r="J688" s="1"/>
      <c r="K688" s="1"/>
      <c r="L688" s="1"/>
      <c r="M688" s="1"/>
      <c r="N688" s="1">
        <v>15</v>
      </c>
      <c r="O688" s="1">
        <v>15</v>
      </c>
      <c r="P688">
        <v>-10</v>
      </c>
    </row>
    <row r="689" spans="1:26" x14ac:dyDescent="0.25">
      <c r="A689" s="8" t="s">
        <v>428</v>
      </c>
      <c r="B689" s="9" t="s">
        <v>301</v>
      </c>
      <c r="C689" s="8" t="s">
        <v>499</v>
      </c>
      <c r="D689" s="1"/>
      <c r="E689" s="1"/>
      <c r="F689" s="1"/>
      <c r="G689" s="1"/>
      <c r="H689" s="1"/>
      <c r="I689" s="1"/>
      <c r="J689" s="1"/>
      <c r="K689" s="1"/>
      <c r="L689" s="1">
        <f>Y689</f>
        <v>15</v>
      </c>
      <c r="M689" s="1"/>
      <c r="N689" s="1">
        <v>18</v>
      </c>
      <c r="O689" s="1">
        <v>15</v>
      </c>
      <c r="Y689">
        <v>15</v>
      </c>
    </row>
    <row r="690" spans="1:26" x14ac:dyDescent="0.25">
      <c r="A690" s="24" t="s">
        <v>428</v>
      </c>
      <c r="B690" s="342" t="s">
        <v>1115</v>
      </c>
      <c r="C690" s="24" t="s">
        <v>1117</v>
      </c>
      <c r="D690" s="27"/>
      <c r="E690" s="1"/>
      <c r="F690" s="1"/>
      <c r="G690" s="1"/>
      <c r="H690" s="1"/>
      <c r="I690" s="1"/>
      <c r="J690" s="1"/>
      <c r="K690" s="1"/>
      <c r="L690" s="1"/>
      <c r="M690" s="23">
        <f>Y690</f>
        <v>30</v>
      </c>
      <c r="N690" s="23">
        <v>30</v>
      </c>
      <c r="O690" s="1"/>
      <c r="Y690">
        <v>30</v>
      </c>
    </row>
    <row r="691" spans="1:26" x14ac:dyDescent="0.25">
      <c r="A691" s="8" t="s">
        <v>428</v>
      </c>
      <c r="B691" s="9" t="s">
        <v>562</v>
      </c>
      <c r="C691" s="8" t="s">
        <v>467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>
        <v>40</v>
      </c>
      <c r="O691" s="1"/>
    </row>
    <row r="692" spans="1:26" x14ac:dyDescent="0.25">
      <c r="A692" s="8" t="s">
        <v>428</v>
      </c>
      <c r="B692" s="9" t="s">
        <v>917</v>
      </c>
      <c r="C692" s="8" t="s">
        <v>1032</v>
      </c>
      <c r="D692" s="1"/>
      <c r="E692" s="1">
        <f>R692</f>
        <v>-58</v>
      </c>
      <c r="F692" s="1"/>
      <c r="G692" s="1"/>
      <c r="H692" s="1"/>
      <c r="I692" s="1"/>
      <c r="J692" s="1"/>
      <c r="K692" s="1"/>
      <c r="L692" s="1"/>
      <c r="M692" s="1"/>
      <c r="N692" s="1">
        <v>23</v>
      </c>
      <c r="O692" s="1">
        <v>98</v>
      </c>
      <c r="P692">
        <v>-30</v>
      </c>
      <c r="R692">
        <v>-58</v>
      </c>
    </row>
    <row r="693" spans="1:26" x14ac:dyDescent="0.25">
      <c r="A693" s="8" t="s">
        <v>428</v>
      </c>
      <c r="B693" s="9" t="s">
        <v>563</v>
      </c>
      <c r="C693" s="8" t="s">
        <v>1032</v>
      </c>
      <c r="D693" s="1"/>
      <c r="E693" s="1">
        <v>25</v>
      </c>
      <c r="F693" s="1"/>
      <c r="G693" s="1"/>
      <c r="H693" s="1"/>
      <c r="I693" s="1"/>
      <c r="J693" s="1"/>
      <c r="K693" s="1"/>
      <c r="L693" s="1"/>
      <c r="M693" s="1"/>
      <c r="N693" s="1">
        <v>16</v>
      </c>
      <c r="O693" s="1">
        <v>15</v>
      </c>
      <c r="P693">
        <v>-20</v>
      </c>
    </row>
    <row r="694" spans="1:26" x14ac:dyDescent="0.25">
      <c r="A694" s="8" t="s">
        <v>428</v>
      </c>
      <c r="B694" s="9" t="s">
        <v>1234</v>
      </c>
      <c r="C694" s="8" t="s">
        <v>496</v>
      </c>
      <c r="D694" s="1"/>
      <c r="E694" s="1"/>
      <c r="F694" s="1"/>
      <c r="G694" s="1"/>
      <c r="H694" s="1"/>
      <c r="I694" s="1"/>
      <c r="J694" s="1"/>
      <c r="K694" s="1"/>
      <c r="L694" s="1">
        <f>Y694</f>
        <v>50</v>
      </c>
      <c r="M694" s="1"/>
      <c r="N694" s="1">
        <v>50</v>
      </c>
      <c r="O694" s="1"/>
      <c r="Y694">
        <v>50</v>
      </c>
    </row>
    <row r="695" spans="1:26" x14ac:dyDescent="0.25">
      <c r="A695" s="24" t="s">
        <v>428</v>
      </c>
      <c r="B695" s="342" t="s">
        <v>1116</v>
      </c>
      <c r="C695" s="24" t="s">
        <v>1118</v>
      </c>
      <c r="D695" s="27"/>
      <c r="E695" s="1"/>
      <c r="F695" s="1"/>
      <c r="G695" s="1"/>
      <c r="H695" s="1"/>
      <c r="I695" s="1"/>
      <c r="J695" s="1"/>
      <c r="K695" s="1"/>
      <c r="L695" s="1"/>
      <c r="M695" s="23">
        <f>Y695</f>
        <v>30</v>
      </c>
      <c r="N695" s="23">
        <v>30</v>
      </c>
      <c r="O695" s="1"/>
      <c r="Y695">
        <v>30</v>
      </c>
    </row>
    <row r="696" spans="1:26" x14ac:dyDescent="0.25">
      <c r="A696" s="8" t="s">
        <v>428</v>
      </c>
      <c r="B696" s="9" t="s">
        <v>302</v>
      </c>
      <c r="C696" s="8" t="s">
        <v>500</v>
      </c>
      <c r="D696" s="1"/>
      <c r="E696" s="1"/>
      <c r="F696" s="1"/>
      <c r="G696" s="1"/>
      <c r="H696" s="1"/>
      <c r="I696" s="1"/>
      <c r="J696" s="1"/>
      <c r="K696" s="1"/>
      <c r="L696" s="1"/>
      <c r="M696" s="1">
        <f>Z696</f>
        <v>50</v>
      </c>
      <c r="N696" s="1">
        <v>23</v>
      </c>
      <c r="O696" s="1">
        <v>15</v>
      </c>
      <c r="Z696">
        <v>50</v>
      </c>
    </row>
    <row r="697" spans="1:26" x14ac:dyDescent="0.25">
      <c r="A697" s="8" t="s">
        <v>428</v>
      </c>
      <c r="B697" s="9" t="s">
        <v>1168</v>
      </c>
      <c r="C697" s="8" t="s">
        <v>1169</v>
      </c>
      <c r="D697" s="1"/>
      <c r="E697" s="1"/>
      <c r="F697" s="1"/>
      <c r="G697" s="1"/>
      <c r="H697" s="1"/>
      <c r="I697" s="1"/>
      <c r="J697" s="1"/>
      <c r="K697" s="1"/>
      <c r="L697" s="1"/>
      <c r="M697" s="1">
        <f>Y697</f>
        <v>20</v>
      </c>
      <c r="N697" s="1">
        <v>15</v>
      </c>
      <c r="O697" s="1">
        <v>10</v>
      </c>
      <c r="Y697">
        <v>20</v>
      </c>
    </row>
    <row r="698" spans="1:26" x14ac:dyDescent="0.25">
      <c r="A698" s="8" t="s">
        <v>428</v>
      </c>
      <c r="B698" s="9" t="s">
        <v>303</v>
      </c>
      <c r="C698" s="8" t="s">
        <v>1031</v>
      </c>
      <c r="D698" s="1"/>
      <c r="E698" s="1"/>
      <c r="F698" s="1">
        <f>S698</f>
        <v>12</v>
      </c>
      <c r="G698" s="1"/>
      <c r="H698" s="1"/>
      <c r="I698" s="1"/>
      <c r="J698" s="1"/>
      <c r="K698" s="1"/>
      <c r="L698" s="1"/>
      <c r="M698" s="1"/>
      <c r="N698" s="1">
        <v>15</v>
      </c>
      <c r="O698" s="1">
        <v>16</v>
      </c>
      <c r="S698">
        <v>12</v>
      </c>
    </row>
    <row r="699" spans="1:26" x14ac:dyDescent="0.25">
      <c r="A699" s="8" t="s">
        <v>428</v>
      </c>
      <c r="B699" s="9" t="s">
        <v>564</v>
      </c>
      <c r="C699" s="8" t="s">
        <v>1031</v>
      </c>
      <c r="D699" s="1"/>
      <c r="E699" s="1"/>
      <c r="F699" s="1">
        <f t="shared" ref="F699:F705" si="26">S699</f>
        <v>12</v>
      </c>
      <c r="G699" s="1"/>
      <c r="H699" s="1"/>
      <c r="I699" s="1"/>
      <c r="J699" s="1"/>
      <c r="K699" s="1"/>
      <c r="L699" s="1"/>
      <c r="M699" s="1"/>
      <c r="N699" s="1">
        <v>10</v>
      </c>
      <c r="O699" s="1">
        <v>16</v>
      </c>
      <c r="S699">
        <v>12</v>
      </c>
    </row>
    <row r="700" spans="1:26" x14ac:dyDescent="0.25">
      <c r="A700" s="8" t="s">
        <v>428</v>
      </c>
      <c r="B700" s="9" t="s">
        <v>304</v>
      </c>
      <c r="C700" s="8" t="s">
        <v>1031</v>
      </c>
      <c r="D700" s="1"/>
      <c r="E700" s="1"/>
      <c r="F700" s="1">
        <f t="shared" si="26"/>
        <v>12</v>
      </c>
      <c r="G700" s="1"/>
      <c r="H700" s="1"/>
      <c r="I700" s="1"/>
      <c r="J700" s="1"/>
      <c r="K700" s="1"/>
      <c r="L700" s="1"/>
      <c r="M700" s="1"/>
      <c r="N700" s="1">
        <v>16</v>
      </c>
      <c r="O700" s="1">
        <v>16</v>
      </c>
      <c r="S700">
        <v>12</v>
      </c>
    </row>
    <row r="701" spans="1:26" x14ac:dyDescent="0.25">
      <c r="A701" s="8" t="s">
        <v>428</v>
      </c>
      <c r="B701" s="9" t="s">
        <v>305</v>
      </c>
      <c r="C701" s="8" t="s">
        <v>1031</v>
      </c>
      <c r="D701" s="1"/>
      <c r="E701" s="1"/>
      <c r="F701" s="1">
        <f t="shared" si="26"/>
        <v>12</v>
      </c>
      <c r="G701" s="1"/>
      <c r="H701" s="1"/>
      <c r="I701" s="1"/>
      <c r="J701" s="1"/>
      <c r="K701" s="1"/>
      <c r="L701" s="1"/>
      <c r="M701" s="1"/>
      <c r="N701" s="1">
        <v>16</v>
      </c>
      <c r="O701" s="1">
        <v>16</v>
      </c>
      <c r="S701">
        <v>12</v>
      </c>
    </row>
    <row r="702" spans="1:26" x14ac:dyDescent="0.25">
      <c r="A702" s="8" t="s">
        <v>428</v>
      </c>
      <c r="B702" s="9" t="s">
        <v>306</v>
      </c>
      <c r="C702" s="8" t="s">
        <v>1031</v>
      </c>
      <c r="D702" s="1"/>
      <c r="E702" s="1"/>
      <c r="F702" s="1">
        <f t="shared" si="26"/>
        <v>12</v>
      </c>
      <c r="G702" s="1"/>
      <c r="H702" s="1"/>
      <c r="I702" s="1"/>
      <c r="J702" s="1"/>
      <c r="K702" s="1"/>
      <c r="L702" s="1"/>
      <c r="M702" s="1"/>
      <c r="N702" s="1">
        <v>17</v>
      </c>
      <c r="O702" s="1">
        <v>16</v>
      </c>
      <c r="S702">
        <v>12</v>
      </c>
    </row>
    <row r="703" spans="1:26" x14ac:dyDescent="0.25">
      <c r="A703" s="8" t="s">
        <v>428</v>
      </c>
      <c r="B703" s="9" t="s">
        <v>307</v>
      </c>
      <c r="C703" s="8" t="s">
        <v>1031</v>
      </c>
      <c r="D703" s="1"/>
      <c r="E703" s="1"/>
      <c r="F703" s="1">
        <f t="shared" si="26"/>
        <v>12</v>
      </c>
      <c r="G703" s="1"/>
      <c r="H703" s="1"/>
      <c r="I703" s="1"/>
      <c r="J703" s="1"/>
      <c r="K703" s="1"/>
      <c r="L703" s="1"/>
      <c r="M703" s="1"/>
      <c r="N703" s="1">
        <v>16</v>
      </c>
      <c r="O703" s="1">
        <v>16</v>
      </c>
      <c r="S703">
        <v>12</v>
      </c>
    </row>
    <row r="704" spans="1:26" x14ac:dyDescent="0.25">
      <c r="A704" s="8" t="s">
        <v>428</v>
      </c>
      <c r="B704" s="9" t="s">
        <v>1113</v>
      </c>
      <c r="C704" s="8" t="s">
        <v>1114</v>
      </c>
      <c r="D704" s="1"/>
      <c r="E704" s="1"/>
      <c r="F704" s="1"/>
      <c r="G704" s="1"/>
      <c r="H704" s="1"/>
      <c r="I704" s="1"/>
      <c r="J704" s="1"/>
      <c r="K704" s="1"/>
      <c r="L704" s="1">
        <f>Y704</f>
        <v>25</v>
      </c>
      <c r="M704" s="1"/>
      <c r="N704" s="1">
        <v>15</v>
      </c>
      <c r="O704" s="1">
        <v>10</v>
      </c>
      <c r="Y704">
        <v>25</v>
      </c>
    </row>
    <row r="705" spans="1:25" x14ac:dyDescent="0.25">
      <c r="A705" s="8" t="s">
        <v>428</v>
      </c>
      <c r="B705" s="9" t="s">
        <v>1111</v>
      </c>
      <c r="C705" s="8" t="s">
        <v>1112</v>
      </c>
      <c r="D705" s="1"/>
      <c r="E705" s="1"/>
      <c r="F705" s="1">
        <f t="shared" si="26"/>
        <v>0</v>
      </c>
      <c r="G705" s="1"/>
      <c r="H705" s="1"/>
      <c r="I705" s="1"/>
      <c r="J705" s="1"/>
      <c r="K705" s="1"/>
      <c r="L705" s="1"/>
      <c r="M705" s="1"/>
      <c r="N705" s="1">
        <v>24</v>
      </c>
      <c r="O705" s="1">
        <v>24</v>
      </c>
    </row>
    <row r="706" spans="1:25" x14ac:dyDescent="0.25">
      <c r="A706" s="8" t="s">
        <v>428</v>
      </c>
      <c r="B706" s="9" t="s">
        <v>308</v>
      </c>
      <c r="C706" s="8" t="s">
        <v>501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>
        <v>24</v>
      </c>
      <c r="O706" s="1">
        <v>24</v>
      </c>
    </row>
    <row r="707" spans="1:25" x14ac:dyDescent="0.25">
      <c r="A707" s="8" t="s">
        <v>428</v>
      </c>
      <c r="B707" s="9" t="s">
        <v>1291</v>
      </c>
      <c r="C707" s="8" t="s">
        <v>1292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>
        <v>25</v>
      </c>
      <c r="O707" s="1"/>
    </row>
    <row r="708" spans="1:25" x14ac:dyDescent="0.25">
      <c r="A708" s="8" t="s">
        <v>855</v>
      </c>
      <c r="B708" s="5">
        <v>75130</v>
      </c>
      <c r="C708" s="8" t="s">
        <v>922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25" x14ac:dyDescent="0.25">
      <c r="A709" s="8" t="s">
        <v>855</v>
      </c>
      <c r="B709" s="5" t="s">
        <v>856</v>
      </c>
      <c r="C709" s="8" t="s">
        <v>923</v>
      </c>
      <c r="D709" s="1"/>
      <c r="E709" s="1"/>
      <c r="F709" s="1"/>
      <c r="G709" s="1"/>
      <c r="H709" s="1"/>
      <c r="I709" s="1"/>
      <c r="J709" s="1"/>
      <c r="K709" s="1"/>
      <c r="L709" s="1">
        <f>Y709</f>
        <v>7.5</v>
      </c>
      <c r="M709" s="1"/>
      <c r="N709" s="1">
        <v>7.5</v>
      </c>
      <c r="O709" s="1"/>
      <c r="Y709" s="1">
        <v>7.5</v>
      </c>
    </row>
    <row r="710" spans="1:25" x14ac:dyDescent="0.25">
      <c r="A710" s="8" t="s">
        <v>855</v>
      </c>
      <c r="B710" s="5" t="s">
        <v>857</v>
      </c>
      <c r="C710" s="8" t="s">
        <v>924</v>
      </c>
      <c r="D710" s="1"/>
      <c r="E710" s="1"/>
      <c r="F710" s="1"/>
      <c r="G710" s="1"/>
      <c r="H710" s="1"/>
      <c r="I710" s="1"/>
      <c r="J710" s="1"/>
      <c r="K710" s="1"/>
      <c r="L710" s="1">
        <f t="shared" ref="L710:L730" si="27">Y710</f>
        <v>7.5</v>
      </c>
      <c r="M710" s="1"/>
      <c r="N710" s="1">
        <v>7.5</v>
      </c>
      <c r="O710" s="1"/>
      <c r="Y710" s="1">
        <v>7.5</v>
      </c>
    </row>
    <row r="711" spans="1:25" x14ac:dyDescent="0.25">
      <c r="A711" s="8" t="s">
        <v>855</v>
      </c>
      <c r="B711" s="5" t="s">
        <v>1063</v>
      </c>
      <c r="C711" s="8" t="s">
        <v>1064</v>
      </c>
      <c r="D711" s="1"/>
      <c r="E711" s="1"/>
      <c r="F711" s="1"/>
      <c r="G711" s="1"/>
      <c r="H711" s="1"/>
      <c r="I711" s="1"/>
      <c r="J711" s="1"/>
      <c r="K711" s="1"/>
      <c r="L711" s="1">
        <f>Y711</f>
        <v>8.5</v>
      </c>
      <c r="M711" s="1"/>
      <c r="N711" s="1">
        <v>8.5</v>
      </c>
      <c r="O711" s="1"/>
      <c r="Y711" s="1">
        <v>8.5</v>
      </c>
    </row>
    <row r="712" spans="1:25" x14ac:dyDescent="0.25">
      <c r="A712" s="8" t="s">
        <v>855</v>
      </c>
      <c r="B712" s="5" t="s">
        <v>858</v>
      </c>
      <c r="C712" s="8" t="s">
        <v>925</v>
      </c>
      <c r="D712" s="1"/>
      <c r="E712" s="1"/>
      <c r="F712" s="1"/>
      <c r="G712" s="1"/>
      <c r="H712" s="1"/>
      <c r="I712" s="1"/>
      <c r="J712" s="1"/>
      <c r="K712" s="1"/>
      <c r="L712" s="1">
        <f t="shared" si="27"/>
        <v>7.5</v>
      </c>
      <c r="M712" s="1"/>
      <c r="N712" s="1">
        <v>7.5</v>
      </c>
      <c r="O712" s="1"/>
      <c r="Y712" s="1">
        <v>7.5</v>
      </c>
    </row>
    <row r="713" spans="1:25" x14ac:dyDescent="0.25">
      <c r="A713" s="8" t="s">
        <v>855</v>
      </c>
      <c r="B713" s="5" t="s">
        <v>859</v>
      </c>
      <c r="C713" s="8" t="s">
        <v>926</v>
      </c>
      <c r="D713" s="1"/>
      <c r="E713" s="1"/>
      <c r="F713" s="1"/>
      <c r="G713" s="1"/>
      <c r="H713" s="1"/>
      <c r="I713" s="1"/>
      <c r="J713" s="1"/>
      <c r="K713" s="1"/>
      <c r="L713" s="1">
        <f t="shared" si="27"/>
        <v>7.5</v>
      </c>
      <c r="M713" s="1"/>
      <c r="N713" s="1">
        <v>7.5</v>
      </c>
      <c r="O713" s="1"/>
      <c r="Y713" s="1">
        <v>7.5</v>
      </c>
    </row>
    <row r="714" spans="1:25" x14ac:dyDescent="0.25">
      <c r="A714" s="8" t="s">
        <v>855</v>
      </c>
      <c r="B714" s="5" t="s">
        <v>860</v>
      </c>
      <c r="C714" s="8" t="s">
        <v>927</v>
      </c>
      <c r="D714" s="1"/>
      <c r="E714" s="1"/>
      <c r="F714" s="1"/>
      <c r="G714" s="1"/>
      <c r="H714" s="1"/>
      <c r="I714" s="1"/>
      <c r="J714" s="1"/>
      <c r="K714" s="1"/>
      <c r="L714" s="1">
        <f t="shared" si="27"/>
        <v>7.5</v>
      </c>
      <c r="M714" s="1"/>
      <c r="N714" s="1">
        <v>7.5</v>
      </c>
      <c r="O714" s="1"/>
      <c r="Y714" s="1">
        <v>7.5</v>
      </c>
    </row>
    <row r="715" spans="1:25" x14ac:dyDescent="0.25">
      <c r="A715" s="8" t="s">
        <v>855</v>
      </c>
      <c r="B715" s="5" t="s">
        <v>861</v>
      </c>
      <c r="C715" s="8" t="s">
        <v>928</v>
      </c>
      <c r="D715" s="1"/>
      <c r="E715" s="1"/>
      <c r="F715" s="1"/>
      <c r="G715" s="1"/>
      <c r="H715" s="1"/>
      <c r="I715" s="1"/>
      <c r="J715" s="1"/>
      <c r="K715" s="1"/>
      <c r="L715" s="1">
        <f t="shared" si="27"/>
        <v>7.5</v>
      </c>
      <c r="M715" s="1"/>
      <c r="N715" s="1">
        <v>7.5</v>
      </c>
      <c r="O715" s="1"/>
      <c r="Y715" s="1">
        <v>7.5</v>
      </c>
    </row>
    <row r="716" spans="1:25" x14ac:dyDescent="0.25">
      <c r="A716" s="8" t="s">
        <v>855</v>
      </c>
      <c r="B716" s="5" t="s">
        <v>862</v>
      </c>
      <c r="C716" s="8" t="s">
        <v>929</v>
      </c>
      <c r="D716" s="1"/>
      <c r="E716" s="1"/>
      <c r="F716" s="1"/>
      <c r="G716" s="1"/>
      <c r="H716" s="1"/>
      <c r="I716" s="1"/>
      <c r="J716" s="1"/>
      <c r="K716" s="1"/>
      <c r="L716" s="1">
        <f t="shared" si="27"/>
        <v>7.5</v>
      </c>
      <c r="M716" s="1"/>
      <c r="N716" s="1">
        <v>7.5</v>
      </c>
      <c r="O716" s="1"/>
      <c r="Y716" s="1">
        <v>7.5</v>
      </c>
    </row>
    <row r="717" spans="1:25" x14ac:dyDescent="0.25">
      <c r="A717" s="8" t="s">
        <v>855</v>
      </c>
      <c r="B717" s="5" t="s">
        <v>863</v>
      </c>
      <c r="C717" s="8" t="s">
        <v>930</v>
      </c>
      <c r="D717" s="1"/>
      <c r="E717" s="1"/>
      <c r="F717" s="1"/>
      <c r="G717" s="1"/>
      <c r="H717" s="1"/>
      <c r="I717" s="1"/>
      <c r="J717" s="1"/>
      <c r="K717" s="1"/>
      <c r="L717" s="1">
        <f t="shared" si="27"/>
        <v>7.5</v>
      </c>
      <c r="M717" s="1"/>
      <c r="N717" s="1">
        <v>7.5</v>
      </c>
      <c r="O717" s="1"/>
      <c r="Y717" s="1">
        <v>7.5</v>
      </c>
    </row>
    <row r="718" spans="1:25" x14ac:dyDescent="0.25">
      <c r="A718" s="8" t="s">
        <v>855</v>
      </c>
      <c r="B718" s="5" t="s">
        <v>864</v>
      </c>
      <c r="C718" s="8" t="s">
        <v>931</v>
      </c>
      <c r="D718" s="1"/>
      <c r="E718" s="1"/>
      <c r="F718" s="1"/>
      <c r="G718" s="1"/>
      <c r="H718" s="1"/>
      <c r="I718" s="1"/>
      <c r="J718" s="1"/>
      <c r="K718" s="1"/>
      <c r="L718" s="1">
        <f t="shared" si="27"/>
        <v>7.5</v>
      </c>
      <c r="M718" s="1"/>
      <c r="N718" s="1">
        <v>7.5</v>
      </c>
      <c r="O718" s="1"/>
      <c r="Y718" s="1">
        <v>7.5</v>
      </c>
    </row>
    <row r="719" spans="1:25" x14ac:dyDescent="0.25">
      <c r="A719" s="8" t="s">
        <v>855</v>
      </c>
      <c r="B719" s="5">
        <v>1002</v>
      </c>
      <c r="C719" s="8" t="s">
        <v>932</v>
      </c>
      <c r="D719" s="1"/>
      <c r="E719" s="1"/>
      <c r="F719" s="1"/>
      <c r="G719" s="1"/>
      <c r="H719" s="1"/>
      <c r="I719" s="1"/>
      <c r="J719" s="1"/>
      <c r="K719" s="1"/>
      <c r="L719" s="1">
        <f t="shared" si="27"/>
        <v>4</v>
      </c>
      <c r="M719" s="1"/>
      <c r="N719" s="1">
        <v>4</v>
      </c>
      <c r="O719" s="1"/>
      <c r="Y719" s="1">
        <v>4</v>
      </c>
    </row>
    <row r="720" spans="1:25" x14ac:dyDescent="0.25">
      <c r="A720" s="8" t="s">
        <v>855</v>
      </c>
      <c r="B720" s="5">
        <v>1004</v>
      </c>
      <c r="C720" s="8" t="s">
        <v>933</v>
      </c>
      <c r="D720" s="1"/>
      <c r="E720" s="1"/>
      <c r="F720" s="1"/>
      <c r="G720" s="1"/>
      <c r="H720" s="1"/>
      <c r="I720" s="1"/>
      <c r="J720" s="1"/>
      <c r="K720" s="1"/>
      <c r="L720" s="1">
        <f t="shared" si="27"/>
        <v>4</v>
      </c>
      <c r="M720" s="1"/>
      <c r="N720" s="1">
        <v>4</v>
      </c>
      <c r="O720" s="1"/>
      <c r="Y720" s="1">
        <v>4</v>
      </c>
    </row>
    <row r="721" spans="1:25" x14ac:dyDescent="0.25">
      <c r="A721" s="8" t="s">
        <v>855</v>
      </c>
      <c r="B721" s="5">
        <v>1020</v>
      </c>
      <c r="C721" s="8" t="s">
        <v>934</v>
      </c>
      <c r="D721" s="1"/>
      <c r="E721" s="1"/>
      <c r="F721" s="1"/>
      <c r="G721" s="1"/>
      <c r="H721" s="1"/>
      <c r="I721" s="1"/>
      <c r="J721" s="1"/>
      <c r="K721" s="1"/>
      <c r="L721" s="1">
        <f t="shared" si="27"/>
        <v>3</v>
      </c>
      <c r="M721" s="1"/>
      <c r="N721" s="1">
        <v>3</v>
      </c>
      <c r="O721" s="1"/>
      <c r="Y721" s="1">
        <v>3</v>
      </c>
    </row>
    <row r="722" spans="1:25" x14ac:dyDescent="0.25">
      <c r="A722" s="8" t="s">
        <v>855</v>
      </c>
      <c r="B722" s="5" t="s">
        <v>865</v>
      </c>
      <c r="C722" s="8" t="s">
        <v>855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Y722" s="1"/>
    </row>
    <row r="723" spans="1:25" x14ac:dyDescent="0.25">
      <c r="A723" s="8" t="s">
        <v>855</v>
      </c>
      <c r="B723" s="5" t="s">
        <v>866</v>
      </c>
      <c r="C723" s="8" t="s">
        <v>935</v>
      </c>
      <c r="D723" s="1"/>
      <c r="E723" s="1"/>
      <c r="F723" s="1"/>
      <c r="G723" s="1"/>
      <c r="H723" s="1"/>
      <c r="I723" s="1"/>
      <c r="J723" s="1"/>
      <c r="K723" s="1"/>
      <c r="L723" s="1">
        <f>Y723</f>
        <v>5</v>
      </c>
      <c r="M723" s="1"/>
      <c r="N723" s="1">
        <v>5</v>
      </c>
      <c r="O723" s="1"/>
      <c r="Y723" s="1">
        <v>5</v>
      </c>
    </row>
    <row r="724" spans="1:25" x14ac:dyDescent="0.25">
      <c r="A724" s="8" t="s">
        <v>855</v>
      </c>
      <c r="B724" s="5" t="s">
        <v>1224</v>
      </c>
      <c r="C724" s="8" t="s">
        <v>1225</v>
      </c>
      <c r="D724" s="1"/>
      <c r="E724" s="1"/>
      <c r="F724" s="1"/>
      <c r="G724" s="1"/>
      <c r="H724" s="1"/>
      <c r="I724" s="1"/>
      <c r="J724" s="1"/>
      <c r="K724" s="1"/>
      <c r="L724" s="1">
        <f>Y724</f>
        <v>5</v>
      </c>
      <c r="M724" s="1"/>
      <c r="N724" s="1">
        <v>5</v>
      </c>
      <c r="O724" s="1"/>
      <c r="Y724" s="1">
        <v>5</v>
      </c>
    </row>
    <row r="725" spans="1:25" x14ac:dyDescent="0.25">
      <c r="A725" s="8" t="s">
        <v>855</v>
      </c>
      <c r="B725" s="5" t="s">
        <v>607</v>
      </c>
      <c r="C725" s="8" t="s">
        <v>936</v>
      </c>
      <c r="D725" s="1"/>
      <c r="E725" s="1"/>
      <c r="F725" s="1"/>
      <c r="G725" s="1"/>
      <c r="H725" s="1"/>
      <c r="I725" s="1"/>
      <c r="J725" s="1"/>
      <c r="K725" s="1"/>
      <c r="L725" s="1">
        <f t="shared" si="27"/>
        <v>7.5</v>
      </c>
      <c r="M725" s="1"/>
      <c r="N725" s="1">
        <v>7.5</v>
      </c>
      <c r="O725" s="1"/>
      <c r="Y725" s="1">
        <v>7.5</v>
      </c>
    </row>
    <row r="726" spans="1:25" x14ac:dyDescent="0.25">
      <c r="A726" s="8" t="s">
        <v>855</v>
      </c>
      <c r="B726" s="5">
        <v>20571854</v>
      </c>
      <c r="C726" s="8" t="s">
        <v>940</v>
      </c>
      <c r="D726" s="1"/>
      <c r="E726" s="1"/>
      <c r="F726" s="1"/>
      <c r="G726" s="1"/>
      <c r="H726" s="1"/>
      <c r="I726" s="1"/>
      <c r="J726" s="1"/>
      <c r="K726" s="1"/>
      <c r="L726" s="1">
        <f t="shared" si="27"/>
        <v>9</v>
      </c>
      <c r="M726" s="1"/>
      <c r="N726" s="1">
        <v>9</v>
      </c>
      <c r="O726" s="1"/>
      <c r="Y726" s="1">
        <v>9</v>
      </c>
    </row>
    <row r="727" spans="1:25" x14ac:dyDescent="0.25">
      <c r="A727" s="8" t="s">
        <v>855</v>
      </c>
      <c r="B727" s="5">
        <v>20706141</v>
      </c>
      <c r="C727" s="8" t="s">
        <v>937</v>
      </c>
      <c r="D727" s="1"/>
      <c r="E727" s="1"/>
      <c r="F727" s="1"/>
      <c r="G727" s="1"/>
      <c r="H727" s="1"/>
      <c r="I727" s="1"/>
      <c r="J727" s="1"/>
      <c r="K727" s="1"/>
      <c r="L727" s="1">
        <f t="shared" si="27"/>
        <v>4</v>
      </c>
      <c r="M727" s="1"/>
      <c r="N727" s="1">
        <v>4</v>
      </c>
      <c r="O727" s="1"/>
      <c r="Y727" s="1">
        <v>4</v>
      </c>
    </row>
    <row r="728" spans="1:25" x14ac:dyDescent="0.25">
      <c r="A728" s="8" t="s">
        <v>855</v>
      </c>
      <c r="B728" s="5">
        <v>21540428</v>
      </c>
      <c r="C728" s="8" t="s">
        <v>938</v>
      </c>
      <c r="D728" s="1"/>
      <c r="E728" s="1"/>
      <c r="F728" s="1"/>
      <c r="G728" s="1"/>
      <c r="H728" s="1"/>
      <c r="I728" s="1"/>
      <c r="J728" s="1"/>
      <c r="K728" s="1"/>
      <c r="L728" s="1">
        <f t="shared" si="27"/>
        <v>10</v>
      </c>
      <c r="M728" s="1"/>
      <c r="N728" s="1">
        <v>10</v>
      </c>
      <c r="O728" s="1"/>
      <c r="Y728" s="1">
        <v>10</v>
      </c>
    </row>
    <row r="729" spans="1:25" x14ac:dyDescent="0.25">
      <c r="A729" s="8" t="s">
        <v>855</v>
      </c>
      <c r="B729" s="5">
        <v>3055069</v>
      </c>
      <c r="C729" s="8" t="s">
        <v>939</v>
      </c>
      <c r="D729" s="1"/>
      <c r="E729" s="1"/>
      <c r="F729" s="1"/>
      <c r="G729" s="1"/>
      <c r="H729" s="1"/>
      <c r="I729" s="1"/>
      <c r="J729" s="1"/>
      <c r="K729" s="1"/>
      <c r="L729" s="1">
        <f t="shared" si="27"/>
        <v>11</v>
      </c>
      <c r="M729" s="1"/>
      <c r="N729" s="1">
        <v>11</v>
      </c>
      <c r="O729" s="1"/>
      <c r="Y729" s="1">
        <v>11</v>
      </c>
    </row>
    <row r="730" spans="1:25" x14ac:dyDescent="0.25">
      <c r="A730" s="8" t="s">
        <v>855</v>
      </c>
      <c r="B730" s="5" t="s">
        <v>1226</v>
      </c>
      <c r="C730" s="8" t="s">
        <v>1227</v>
      </c>
      <c r="D730" s="1"/>
      <c r="E730" s="1"/>
      <c r="F730" s="1"/>
      <c r="G730" s="1"/>
      <c r="H730" s="1"/>
      <c r="I730" s="1"/>
      <c r="J730" s="1"/>
      <c r="K730" s="1"/>
      <c r="L730" s="1">
        <f t="shared" si="27"/>
        <v>12</v>
      </c>
      <c r="M730" s="1"/>
      <c r="N730" s="1">
        <v>12</v>
      </c>
      <c r="O730" s="1"/>
      <c r="Y730" s="1">
        <v>12</v>
      </c>
    </row>
    <row r="731" spans="1:25" x14ac:dyDescent="0.25">
      <c r="A731" s="8" t="s">
        <v>855</v>
      </c>
      <c r="B731" s="5" t="s">
        <v>867</v>
      </c>
      <c r="C731" s="8" t="s">
        <v>941</v>
      </c>
      <c r="D731" s="1"/>
      <c r="E731" s="27" t="s">
        <v>942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Y731" s="1"/>
    </row>
    <row r="732" spans="1:25" x14ac:dyDescent="0.25">
      <c r="A732" s="8" t="s">
        <v>855</v>
      </c>
      <c r="B732" s="5" t="s">
        <v>868</v>
      </c>
      <c r="C732" s="8" t="s">
        <v>941</v>
      </c>
      <c r="D732" s="1"/>
      <c r="E732" s="27" t="s">
        <v>942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Y732" s="1"/>
    </row>
    <row r="733" spans="1:25" x14ac:dyDescent="0.25">
      <c r="A733" s="8" t="s">
        <v>855</v>
      </c>
      <c r="B733" s="5">
        <v>3678606</v>
      </c>
      <c r="C733" s="8" t="s">
        <v>943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Y733" s="1"/>
    </row>
    <row r="734" spans="1:25" x14ac:dyDescent="0.25">
      <c r="A734" s="8" t="s">
        <v>855</v>
      </c>
      <c r="B734" s="5">
        <v>39220773</v>
      </c>
      <c r="C734" s="8" t="s">
        <v>944</v>
      </c>
      <c r="D734" s="1"/>
      <c r="E734" s="1"/>
      <c r="F734" s="1"/>
      <c r="G734" s="1"/>
      <c r="H734" s="1"/>
      <c r="I734" s="1"/>
      <c r="J734" s="1"/>
      <c r="K734" s="1"/>
      <c r="L734" s="1">
        <f t="shared" ref="L734:L745" si="28">Y734</f>
        <v>2</v>
      </c>
      <c r="M734" s="1"/>
      <c r="N734" s="1">
        <v>2</v>
      </c>
      <c r="O734" s="1"/>
      <c r="Y734" s="1">
        <v>2</v>
      </c>
    </row>
    <row r="735" spans="1:25" x14ac:dyDescent="0.25">
      <c r="A735" s="8" t="s">
        <v>855</v>
      </c>
      <c r="B735" s="5">
        <v>3924147</v>
      </c>
      <c r="C735" s="8" t="s">
        <v>945</v>
      </c>
      <c r="D735" s="1"/>
      <c r="E735" s="1"/>
      <c r="F735" s="1"/>
      <c r="G735" s="1"/>
      <c r="H735" s="1"/>
      <c r="I735" s="1"/>
      <c r="J735" s="1"/>
      <c r="K735" s="1"/>
      <c r="L735" s="1">
        <f t="shared" si="28"/>
        <v>10</v>
      </c>
      <c r="M735" s="1"/>
      <c r="N735" s="1">
        <v>10</v>
      </c>
      <c r="O735" s="1"/>
      <c r="Y735" s="1">
        <v>10</v>
      </c>
    </row>
    <row r="736" spans="1:25" x14ac:dyDescent="0.25">
      <c r="A736" s="8" t="s">
        <v>855</v>
      </c>
      <c r="B736" s="5">
        <v>3947334</v>
      </c>
      <c r="C736" s="8" t="s">
        <v>1228</v>
      </c>
      <c r="D736" s="1"/>
      <c r="E736" s="1"/>
      <c r="F736" s="1"/>
      <c r="G736" s="1"/>
      <c r="H736" s="1"/>
      <c r="I736" s="1"/>
      <c r="J736" s="1"/>
      <c r="K736" s="1"/>
      <c r="L736" s="1">
        <f t="shared" si="28"/>
        <v>11</v>
      </c>
      <c r="M736" s="1"/>
      <c r="N736" s="1">
        <v>11</v>
      </c>
      <c r="O736" s="1"/>
      <c r="Y736" s="1">
        <v>11</v>
      </c>
    </row>
    <row r="737" spans="1:25" x14ac:dyDescent="0.25">
      <c r="A737" s="8" t="s">
        <v>855</v>
      </c>
      <c r="B737" s="5" t="s">
        <v>869</v>
      </c>
      <c r="C737" s="8" t="s">
        <v>951</v>
      </c>
      <c r="D737" s="1"/>
      <c r="E737" s="1"/>
      <c r="F737" s="1"/>
      <c r="G737" s="1"/>
      <c r="H737" s="1"/>
      <c r="I737" s="1"/>
      <c r="J737" s="1"/>
      <c r="K737" s="1"/>
      <c r="L737" s="1">
        <f t="shared" si="28"/>
        <v>10</v>
      </c>
      <c r="M737" s="1"/>
      <c r="N737" s="1">
        <v>10</v>
      </c>
      <c r="O737" s="1"/>
      <c r="Y737" s="1">
        <v>10</v>
      </c>
    </row>
    <row r="738" spans="1:25" x14ac:dyDescent="0.25">
      <c r="A738" s="8" t="s">
        <v>855</v>
      </c>
      <c r="B738" s="5" t="s">
        <v>870</v>
      </c>
      <c r="C738" s="8" t="s">
        <v>961</v>
      </c>
      <c r="D738" s="1"/>
      <c r="E738" s="1"/>
      <c r="F738" s="1"/>
      <c r="G738" s="1"/>
      <c r="H738" s="1"/>
      <c r="I738" s="1"/>
      <c r="J738" s="1"/>
      <c r="K738" s="1"/>
      <c r="L738" s="1">
        <f t="shared" si="28"/>
        <v>7.5</v>
      </c>
      <c r="M738" s="1"/>
      <c r="N738" s="1">
        <v>7.5</v>
      </c>
      <c r="O738" s="1"/>
      <c r="Y738" s="1">
        <v>7.5</v>
      </c>
    </row>
    <row r="739" spans="1:25" x14ac:dyDescent="0.25">
      <c r="A739" s="8" t="s">
        <v>855</v>
      </c>
      <c r="B739" s="5">
        <v>4304023</v>
      </c>
      <c r="C739" s="8" t="s">
        <v>946</v>
      </c>
      <c r="D739" s="1"/>
      <c r="E739" s="1"/>
      <c r="F739" s="1"/>
      <c r="G739" s="1"/>
      <c r="H739" s="1"/>
      <c r="I739" s="1"/>
      <c r="J739" s="1"/>
      <c r="K739" s="1"/>
      <c r="L739" s="1">
        <f t="shared" si="28"/>
        <v>10</v>
      </c>
      <c r="M739" s="1"/>
      <c r="N739" s="1">
        <v>10</v>
      </c>
      <c r="O739" s="1"/>
      <c r="Y739" s="1">
        <v>10</v>
      </c>
    </row>
    <row r="740" spans="1:25" x14ac:dyDescent="0.25">
      <c r="A740" s="8" t="s">
        <v>855</v>
      </c>
      <c r="B740" s="5">
        <v>4331268</v>
      </c>
      <c r="C740" s="8" t="s">
        <v>947</v>
      </c>
      <c r="D740" s="1"/>
      <c r="E740" s="1"/>
      <c r="F740" s="1"/>
      <c r="G740" s="1"/>
      <c r="H740" s="1"/>
      <c r="I740" s="1"/>
      <c r="J740" s="1"/>
      <c r="K740" s="1"/>
      <c r="L740" s="1">
        <f t="shared" si="28"/>
        <v>56</v>
      </c>
      <c r="M740" s="1"/>
      <c r="N740" s="1">
        <v>56</v>
      </c>
      <c r="O740" s="1"/>
      <c r="Y740" s="1">
        <v>56</v>
      </c>
    </row>
    <row r="741" spans="1:25" x14ac:dyDescent="0.25">
      <c r="A741" s="8" t="s">
        <v>855</v>
      </c>
      <c r="B741" s="5">
        <v>4926565</v>
      </c>
      <c r="C741" s="8" t="s">
        <v>948</v>
      </c>
      <c r="D741" s="1"/>
      <c r="E741" s="1"/>
      <c r="F741" s="1"/>
      <c r="G741" s="1"/>
      <c r="H741" s="1"/>
      <c r="I741" s="1"/>
      <c r="J741" s="1"/>
      <c r="K741" s="1"/>
      <c r="L741" s="1">
        <f t="shared" si="28"/>
        <v>11</v>
      </c>
      <c r="M741" s="1"/>
      <c r="N741" s="1">
        <v>11</v>
      </c>
      <c r="O741" s="1"/>
      <c r="Y741" s="1">
        <v>11</v>
      </c>
    </row>
    <row r="742" spans="1:25" x14ac:dyDescent="0.25">
      <c r="A742" s="8" t="s">
        <v>855</v>
      </c>
      <c r="B742" s="5" t="s">
        <v>874</v>
      </c>
      <c r="C742" s="8" t="s">
        <v>949</v>
      </c>
      <c r="D742" s="1"/>
      <c r="E742" s="1"/>
      <c r="F742" s="1"/>
      <c r="G742" s="1"/>
      <c r="H742" s="1"/>
      <c r="I742" s="1"/>
      <c r="J742" s="1"/>
      <c r="K742" s="1"/>
      <c r="L742" s="1">
        <f t="shared" si="28"/>
        <v>7.5</v>
      </c>
      <c r="M742" s="1"/>
      <c r="N742" s="1">
        <v>7.5</v>
      </c>
      <c r="O742" s="1"/>
      <c r="Y742" s="1">
        <v>7.5</v>
      </c>
    </row>
    <row r="743" spans="1:25" x14ac:dyDescent="0.25">
      <c r="A743" s="8" t="s">
        <v>855</v>
      </c>
      <c r="B743" s="5">
        <v>5528109</v>
      </c>
      <c r="C743" s="8" t="s">
        <v>950</v>
      </c>
      <c r="D743" s="1"/>
      <c r="E743" s="1"/>
      <c r="F743" s="1"/>
      <c r="G743" s="1"/>
      <c r="H743" s="1"/>
      <c r="I743" s="1"/>
      <c r="J743" s="1"/>
      <c r="K743" s="1"/>
      <c r="L743" s="1">
        <f t="shared" si="28"/>
        <v>12</v>
      </c>
      <c r="M743" s="1"/>
      <c r="N743" s="1">
        <v>12</v>
      </c>
      <c r="O743" s="1"/>
      <c r="Y743" s="1">
        <v>12</v>
      </c>
    </row>
    <row r="744" spans="1:25" x14ac:dyDescent="0.25">
      <c r="A744" s="8" t="s">
        <v>855</v>
      </c>
      <c r="B744" s="5">
        <v>5658178</v>
      </c>
      <c r="C744" s="8" t="s">
        <v>1229</v>
      </c>
      <c r="D744" s="1"/>
      <c r="E744" s="1"/>
      <c r="F744" s="1"/>
      <c r="G744" s="1"/>
      <c r="H744" s="1"/>
      <c r="I744" s="1"/>
      <c r="J744" s="1"/>
      <c r="K744" s="1"/>
      <c r="L744" s="1">
        <f t="shared" si="28"/>
        <v>12</v>
      </c>
      <c r="M744" s="1"/>
      <c r="N744" s="1">
        <v>12</v>
      </c>
      <c r="O744" s="1"/>
      <c r="Y744" s="1">
        <v>12</v>
      </c>
    </row>
    <row r="745" spans="1:25" x14ac:dyDescent="0.25">
      <c r="A745" s="8" t="s">
        <v>855</v>
      </c>
      <c r="B745" s="5">
        <v>6080020123</v>
      </c>
      <c r="C745" s="8" t="s">
        <v>855</v>
      </c>
      <c r="D745" s="1"/>
      <c r="E745" s="1"/>
      <c r="F745" s="1"/>
      <c r="G745" s="1"/>
      <c r="H745" s="1"/>
      <c r="I745" s="1"/>
      <c r="J745" s="1"/>
      <c r="K745" s="1"/>
      <c r="L745" s="1">
        <f t="shared" si="28"/>
        <v>13</v>
      </c>
      <c r="M745" s="1"/>
      <c r="N745" s="1">
        <v>13</v>
      </c>
      <c r="O745" s="1"/>
      <c r="Y745" s="1">
        <v>13</v>
      </c>
    </row>
    <row r="746" spans="1:25" x14ac:dyDescent="0.25">
      <c r="A746" s="8" t="s">
        <v>855</v>
      </c>
      <c r="B746" s="5">
        <v>6090020040</v>
      </c>
      <c r="C746" s="8" t="s">
        <v>855</v>
      </c>
      <c r="D746" s="1"/>
      <c r="E746" s="1"/>
      <c r="F746" s="1"/>
      <c r="G746" s="1"/>
      <c r="H746" s="1"/>
      <c r="I746" s="1"/>
      <c r="J746" s="1"/>
      <c r="K746" s="1"/>
      <c r="L746" s="1">
        <f t="shared" ref="L746:L750" si="29">Y746</f>
        <v>13</v>
      </c>
      <c r="M746" s="1"/>
      <c r="N746" s="1">
        <v>13</v>
      </c>
      <c r="O746" s="1"/>
      <c r="Y746" s="1">
        <v>13</v>
      </c>
    </row>
    <row r="747" spans="1:25" x14ac:dyDescent="0.25">
      <c r="A747" s="8" t="s">
        <v>855</v>
      </c>
      <c r="B747" s="5">
        <v>6090020055</v>
      </c>
      <c r="C747" s="8" t="s">
        <v>855</v>
      </c>
      <c r="D747" s="1"/>
      <c r="E747" s="1"/>
      <c r="F747" s="1"/>
      <c r="G747" s="1"/>
      <c r="H747" s="1"/>
      <c r="I747" s="1"/>
      <c r="J747" s="1"/>
      <c r="K747" s="1"/>
      <c r="L747" s="1">
        <f t="shared" si="29"/>
        <v>13</v>
      </c>
      <c r="M747" s="1"/>
      <c r="N747" s="1">
        <v>13</v>
      </c>
      <c r="O747" s="1"/>
      <c r="Y747" s="1">
        <v>13</v>
      </c>
    </row>
    <row r="748" spans="1:25" x14ac:dyDescent="0.25">
      <c r="A748" s="8" t="s">
        <v>855</v>
      </c>
      <c r="B748" s="5">
        <v>6090020063</v>
      </c>
      <c r="C748" s="8" t="s">
        <v>855</v>
      </c>
      <c r="D748" s="1"/>
      <c r="E748" s="1"/>
      <c r="F748" s="1"/>
      <c r="G748" s="1"/>
      <c r="H748" s="1"/>
      <c r="I748" s="1"/>
      <c r="J748" s="1"/>
      <c r="K748" s="1"/>
      <c r="L748" s="1">
        <f t="shared" si="29"/>
        <v>13</v>
      </c>
      <c r="M748" s="1"/>
      <c r="N748" s="1">
        <v>13</v>
      </c>
      <c r="O748" s="1"/>
      <c r="Y748" s="1">
        <v>13</v>
      </c>
    </row>
    <row r="749" spans="1:25" x14ac:dyDescent="0.25">
      <c r="A749" s="8" t="s">
        <v>855</v>
      </c>
      <c r="B749" s="5">
        <v>6090020070</v>
      </c>
      <c r="C749" s="8" t="s">
        <v>855</v>
      </c>
      <c r="D749" s="1"/>
      <c r="E749" s="1"/>
      <c r="F749" s="1"/>
      <c r="G749" s="1"/>
      <c r="H749" s="1"/>
      <c r="I749" s="1"/>
      <c r="J749" s="1"/>
      <c r="K749" s="1"/>
      <c r="L749" s="1">
        <f t="shared" si="29"/>
        <v>13</v>
      </c>
      <c r="M749" s="1"/>
      <c r="N749" s="1">
        <v>13</v>
      </c>
      <c r="O749" s="1"/>
      <c r="Y749" s="1">
        <v>13</v>
      </c>
    </row>
    <row r="750" spans="1:25" x14ac:dyDescent="0.25">
      <c r="A750" s="8" t="s">
        <v>855</v>
      </c>
      <c r="B750" s="5">
        <v>6090020071</v>
      </c>
      <c r="C750" s="8" t="s">
        <v>855</v>
      </c>
      <c r="D750" s="1"/>
      <c r="E750" s="1"/>
      <c r="F750" s="1"/>
      <c r="G750" s="1"/>
      <c r="H750" s="1"/>
      <c r="I750" s="1"/>
      <c r="J750" s="1"/>
      <c r="K750" s="1"/>
      <c r="L750" s="1">
        <f t="shared" si="29"/>
        <v>13</v>
      </c>
      <c r="M750" s="1"/>
      <c r="N750" s="1">
        <v>13</v>
      </c>
      <c r="O750" s="1"/>
      <c r="Y750" s="1">
        <v>13</v>
      </c>
    </row>
    <row r="751" spans="1:25" x14ac:dyDescent="0.25">
      <c r="A751" s="8" t="s">
        <v>855</v>
      </c>
      <c r="B751" s="5">
        <v>650103</v>
      </c>
      <c r="C751" s="8" t="s">
        <v>855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25" x14ac:dyDescent="0.25">
      <c r="A752" s="8" t="s">
        <v>855</v>
      </c>
      <c r="B752" s="5">
        <v>67946</v>
      </c>
      <c r="C752" s="8" t="s">
        <v>855</v>
      </c>
      <c r="D752" s="1"/>
      <c r="E752" s="1"/>
      <c r="F752" s="1"/>
      <c r="G752" s="1"/>
      <c r="H752" s="1"/>
      <c r="I752" s="1"/>
      <c r="J752" s="1"/>
      <c r="K752" s="1"/>
      <c r="L752" s="1">
        <f>Y752</f>
        <v>10</v>
      </c>
      <c r="M752" s="1"/>
      <c r="N752" s="1">
        <v>10</v>
      </c>
      <c r="O752" s="1"/>
      <c r="Y752" s="1">
        <v>10</v>
      </c>
    </row>
    <row r="753" spans="1:25" x14ac:dyDescent="0.25">
      <c r="A753" s="8" t="s">
        <v>855</v>
      </c>
      <c r="B753" s="5" t="s">
        <v>1277</v>
      </c>
      <c r="C753" s="8" t="s">
        <v>1278</v>
      </c>
      <c r="D753" s="1"/>
      <c r="E753" s="1"/>
      <c r="F753" s="1"/>
      <c r="G753" s="1"/>
      <c r="H753" s="1"/>
      <c r="I753" s="1"/>
      <c r="J753" s="1"/>
      <c r="K753" s="1"/>
      <c r="L753" s="1">
        <f>Y753</f>
        <v>10</v>
      </c>
      <c r="M753" s="1"/>
      <c r="N753" s="1">
        <v>10</v>
      </c>
      <c r="O753" s="1"/>
      <c r="Y753" s="1">
        <v>10</v>
      </c>
    </row>
    <row r="754" spans="1:25" x14ac:dyDescent="0.25">
      <c r="A754" s="8" t="s">
        <v>855</v>
      </c>
      <c r="B754" s="5" t="s">
        <v>875</v>
      </c>
      <c r="C754" s="8" t="s">
        <v>855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25" x14ac:dyDescent="0.25">
      <c r="A755" s="8" t="s">
        <v>855</v>
      </c>
      <c r="B755" s="5" t="s">
        <v>876</v>
      </c>
      <c r="C755" s="8" t="s">
        <v>855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25" x14ac:dyDescent="0.25">
      <c r="A756" s="8" t="s">
        <v>855</v>
      </c>
      <c r="B756" s="5" t="s">
        <v>877</v>
      </c>
      <c r="C756" s="8" t="s">
        <v>855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25" x14ac:dyDescent="0.25">
      <c r="A757" s="8" t="s">
        <v>855</v>
      </c>
      <c r="B757" s="5" t="s">
        <v>878</v>
      </c>
      <c r="C757" s="8" t="s">
        <v>855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25" x14ac:dyDescent="0.25">
      <c r="A758" s="8" t="s">
        <v>855</v>
      </c>
      <c r="B758" s="5" t="s">
        <v>879</v>
      </c>
      <c r="C758" s="8" t="s">
        <v>855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25" x14ac:dyDescent="0.25">
      <c r="A759" s="8" t="s">
        <v>855</v>
      </c>
      <c r="B759" s="5" t="s">
        <v>1166</v>
      </c>
      <c r="C759" s="8" t="s">
        <v>1167</v>
      </c>
      <c r="D759" s="1"/>
      <c r="E759" s="1"/>
      <c r="F759" s="1"/>
      <c r="G759" s="1"/>
      <c r="H759" s="1"/>
      <c r="I759" s="1"/>
      <c r="J759" s="1"/>
      <c r="K759" s="1"/>
      <c r="L759" s="1">
        <f>Y759</f>
        <v>9</v>
      </c>
      <c r="M759" s="1"/>
      <c r="N759" s="1">
        <v>9</v>
      </c>
      <c r="O759" s="1"/>
      <c r="Y759" s="1">
        <v>9</v>
      </c>
    </row>
    <row r="760" spans="1:25" x14ac:dyDescent="0.25">
      <c r="A760" s="8" t="s">
        <v>855</v>
      </c>
      <c r="B760" s="5" t="s">
        <v>880</v>
      </c>
      <c r="C760" s="8" t="s">
        <v>855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25" x14ac:dyDescent="0.25">
      <c r="A761" s="8" t="s">
        <v>855</v>
      </c>
      <c r="B761" s="5" t="s">
        <v>881</v>
      </c>
      <c r="C761" s="8" t="s">
        <v>855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25" x14ac:dyDescent="0.25">
      <c r="A762" s="8" t="s">
        <v>855</v>
      </c>
      <c r="B762" s="5" t="s">
        <v>882</v>
      </c>
      <c r="C762" s="8" t="s">
        <v>855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25" x14ac:dyDescent="0.25">
      <c r="A763" s="8" t="s">
        <v>855</v>
      </c>
      <c r="B763" s="5" t="s">
        <v>883</v>
      </c>
      <c r="C763" s="8" t="s">
        <v>855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25" x14ac:dyDescent="0.25">
      <c r="A764" s="8" t="s">
        <v>855</v>
      </c>
      <c r="B764" s="5" t="s">
        <v>884</v>
      </c>
      <c r="C764" s="8" t="s">
        <v>855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25" x14ac:dyDescent="0.25">
      <c r="A765" s="8" t="s">
        <v>855</v>
      </c>
      <c r="B765" s="5" t="s">
        <v>885</v>
      </c>
      <c r="C765" s="8" t="s">
        <v>855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25" x14ac:dyDescent="0.25">
      <c r="A766" s="8" t="s">
        <v>855</v>
      </c>
      <c r="B766" s="5" t="s">
        <v>886</v>
      </c>
      <c r="C766" s="8" t="s">
        <v>952</v>
      </c>
      <c r="D766" s="1"/>
      <c r="E766" s="1"/>
      <c r="F766" s="1"/>
      <c r="G766" s="1"/>
      <c r="H766" s="1"/>
      <c r="I766" s="1"/>
      <c r="J766" s="1"/>
      <c r="K766" s="1"/>
      <c r="L766" s="1">
        <f>Y766</f>
        <v>15</v>
      </c>
      <c r="M766" s="1"/>
      <c r="N766" s="1">
        <v>15</v>
      </c>
      <c r="O766" s="1"/>
      <c r="Y766">
        <v>15</v>
      </c>
    </row>
    <row r="767" spans="1:25" x14ac:dyDescent="0.25">
      <c r="A767" s="8" t="s">
        <v>855</v>
      </c>
      <c r="B767" s="5" t="s">
        <v>887</v>
      </c>
      <c r="C767" s="8" t="s">
        <v>855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25" x14ac:dyDescent="0.25">
      <c r="A768" s="8" t="s">
        <v>855</v>
      </c>
      <c r="B768" s="5" t="s">
        <v>888</v>
      </c>
      <c r="C768" s="8" t="s">
        <v>855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25" x14ac:dyDescent="0.25">
      <c r="A769" s="8" t="s">
        <v>855</v>
      </c>
      <c r="B769" s="5" t="s">
        <v>889</v>
      </c>
      <c r="C769" s="8" t="s">
        <v>953</v>
      </c>
      <c r="D769" s="1"/>
      <c r="E769" s="1"/>
      <c r="F769" s="1"/>
      <c r="G769" s="1"/>
      <c r="H769" s="1"/>
      <c r="I769" s="1"/>
      <c r="J769" s="1"/>
      <c r="K769" s="1"/>
      <c r="L769" s="1">
        <f>Y769</f>
        <v>9</v>
      </c>
      <c r="M769" s="1"/>
      <c r="N769" s="1">
        <v>9</v>
      </c>
      <c r="O769" s="1"/>
      <c r="Y769">
        <v>9</v>
      </c>
    </row>
    <row r="770" spans="1:25" x14ac:dyDescent="0.25">
      <c r="A770" s="8" t="s">
        <v>855</v>
      </c>
      <c r="B770" s="5" t="s">
        <v>890</v>
      </c>
      <c r="C770" s="8" t="s">
        <v>954</v>
      </c>
      <c r="D770" s="1"/>
      <c r="E770" s="1"/>
      <c r="F770" s="1"/>
      <c r="G770" s="1"/>
      <c r="H770" s="1"/>
      <c r="I770" s="1"/>
      <c r="J770" s="1"/>
      <c r="K770" s="1"/>
      <c r="L770" s="1">
        <f>Y770</f>
        <v>2.5</v>
      </c>
      <c r="M770" s="1"/>
      <c r="N770" s="1">
        <v>2.5</v>
      </c>
      <c r="O770" s="1"/>
      <c r="Y770">
        <v>2.5</v>
      </c>
    </row>
    <row r="771" spans="1:25" x14ac:dyDescent="0.25">
      <c r="A771" s="8" t="s">
        <v>855</v>
      </c>
      <c r="B771" s="5" t="s">
        <v>891</v>
      </c>
      <c r="C771" s="8" t="s">
        <v>855</v>
      </c>
      <c r="D771" s="1"/>
      <c r="E771" s="1"/>
      <c r="F771" s="1"/>
      <c r="G771" s="1"/>
      <c r="H771" s="1"/>
      <c r="I771" s="1"/>
      <c r="J771" s="1"/>
      <c r="K771" s="1"/>
      <c r="L771" s="1">
        <f>Y771</f>
        <v>12</v>
      </c>
      <c r="M771" s="1"/>
      <c r="N771" s="1">
        <v>12</v>
      </c>
      <c r="O771" s="1"/>
      <c r="Y771" s="1">
        <v>12</v>
      </c>
    </row>
    <row r="772" spans="1:25" x14ac:dyDescent="0.25">
      <c r="A772" s="8" t="s">
        <v>855</v>
      </c>
      <c r="B772" s="5" t="s">
        <v>892</v>
      </c>
      <c r="C772" s="8" t="s">
        <v>855</v>
      </c>
      <c r="D772" s="1"/>
      <c r="E772" s="1"/>
      <c r="F772" s="1"/>
      <c r="G772" s="1"/>
      <c r="H772" s="1"/>
      <c r="I772" s="1"/>
      <c r="J772" s="1"/>
      <c r="K772" s="1"/>
      <c r="L772" s="1">
        <f>Y772</f>
        <v>4</v>
      </c>
      <c r="M772" s="1"/>
      <c r="N772" s="1">
        <v>4</v>
      </c>
      <c r="O772" s="1"/>
      <c r="Y772">
        <v>4</v>
      </c>
    </row>
    <row r="773" spans="1:25" x14ac:dyDescent="0.25">
      <c r="A773" s="8" t="s">
        <v>855</v>
      </c>
      <c r="B773" s="5" t="s">
        <v>893</v>
      </c>
      <c r="C773" s="8" t="s">
        <v>955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25" x14ac:dyDescent="0.25">
      <c r="A774" s="8" t="s">
        <v>855</v>
      </c>
      <c r="B774" s="5" t="s">
        <v>957</v>
      </c>
      <c r="C774" s="8" t="s">
        <v>956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25" x14ac:dyDescent="0.25">
      <c r="A775" s="8" t="s">
        <v>855</v>
      </c>
      <c r="B775" s="5" t="s">
        <v>894</v>
      </c>
      <c r="C775" s="8" t="s">
        <v>958</v>
      </c>
      <c r="D775" s="1"/>
      <c r="E775" s="1"/>
      <c r="F775" s="1"/>
      <c r="G775" s="1"/>
      <c r="H775" s="1"/>
      <c r="I775" s="1"/>
      <c r="J775" s="1"/>
      <c r="K775" s="1"/>
      <c r="L775" s="1">
        <f>Y775</f>
        <v>12</v>
      </c>
      <c r="M775" s="1"/>
      <c r="N775" s="1">
        <v>12</v>
      </c>
      <c r="O775" s="1"/>
      <c r="Y775">
        <v>12</v>
      </c>
    </row>
    <row r="776" spans="1:25" x14ac:dyDescent="0.25">
      <c r="A776" s="8" t="s">
        <v>855</v>
      </c>
      <c r="B776" s="5" t="s">
        <v>895</v>
      </c>
      <c r="C776" s="8" t="s">
        <v>959</v>
      </c>
      <c r="D776" s="1"/>
      <c r="E776" s="1"/>
      <c r="F776" s="1"/>
      <c r="G776" s="1"/>
      <c r="H776" s="1"/>
      <c r="I776" s="1"/>
      <c r="J776" s="1"/>
      <c r="K776" s="1"/>
      <c r="L776" s="1">
        <f>Y776</f>
        <v>15</v>
      </c>
      <c r="M776" s="1"/>
      <c r="N776" s="1">
        <v>15</v>
      </c>
      <c r="O776" s="1"/>
      <c r="Y776">
        <v>15</v>
      </c>
    </row>
    <row r="777" spans="1:25" x14ac:dyDescent="0.25">
      <c r="A777" s="8" t="s">
        <v>855</v>
      </c>
      <c r="B777" s="5" t="s">
        <v>896</v>
      </c>
      <c r="C777" s="8" t="s">
        <v>943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25" x14ac:dyDescent="0.25">
      <c r="A778" s="8" t="s">
        <v>855</v>
      </c>
      <c r="B778" s="5" t="s">
        <v>897</v>
      </c>
      <c r="C778" s="8" t="s">
        <v>960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25" x14ac:dyDescent="0.25">
      <c r="A779" s="8" t="s">
        <v>429</v>
      </c>
      <c r="B779" s="10">
        <v>20395028</v>
      </c>
      <c r="C779" s="8" t="s">
        <v>502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>
        <v>8</v>
      </c>
      <c r="O779" s="1">
        <v>15</v>
      </c>
    </row>
    <row r="780" spans="1:25" x14ac:dyDescent="0.25">
      <c r="A780" s="8" t="s">
        <v>429</v>
      </c>
      <c r="B780" s="10">
        <v>20395034</v>
      </c>
      <c r="C780" s="8" t="s">
        <v>503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>
        <v>8</v>
      </c>
      <c r="O780" s="1">
        <v>15</v>
      </c>
    </row>
    <row r="781" spans="1:25" x14ac:dyDescent="0.25">
      <c r="A781" s="8" t="s">
        <v>429</v>
      </c>
      <c r="B781" s="10">
        <v>20395038</v>
      </c>
      <c r="C781" s="8" t="s">
        <v>504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>
        <v>9</v>
      </c>
      <c r="O781" s="1">
        <v>15</v>
      </c>
    </row>
    <row r="782" spans="1:25" x14ac:dyDescent="0.25">
      <c r="A782" s="8" t="s">
        <v>429</v>
      </c>
      <c r="B782" s="10">
        <v>20440935</v>
      </c>
      <c r="C782" s="8" t="s">
        <v>505</v>
      </c>
      <c r="D782" s="1"/>
      <c r="E782" s="1"/>
      <c r="F782" s="1"/>
      <c r="G782" s="1"/>
      <c r="H782" s="1"/>
      <c r="I782" s="1"/>
      <c r="J782" s="1"/>
      <c r="K782" s="1"/>
      <c r="L782" s="1">
        <f>Y782</f>
        <v>2.5</v>
      </c>
      <c r="M782" s="1"/>
      <c r="N782" s="1">
        <v>2.5</v>
      </c>
      <c r="O782" s="1"/>
      <c r="Y782">
        <v>2.5</v>
      </c>
    </row>
    <row r="783" spans="1:25" x14ac:dyDescent="0.25">
      <c r="A783" s="8" t="s">
        <v>429</v>
      </c>
      <c r="B783" s="10">
        <v>20514654</v>
      </c>
      <c r="C783" s="8" t="s">
        <v>1031</v>
      </c>
      <c r="D783" s="1"/>
      <c r="E783" s="1"/>
      <c r="F783" s="1">
        <f>S783</f>
        <v>20</v>
      </c>
      <c r="G783" s="1"/>
      <c r="H783" s="1"/>
      <c r="I783" s="1"/>
      <c r="J783" s="1"/>
      <c r="K783" s="1"/>
      <c r="L783" s="1"/>
      <c r="M783" s="1"/>
      <c r="N783" s="1">
        <v>16</v>
      </c>
      <c r="O783" s="1">
        <v>15</v>
      </c>
      <c r="S783">
        <v>20</v>
      </c>
    </row>
    <row r="784" spans="1:25" x14ac:dyDescent="0.25">
      <c r="A784" s="8" t="s">
        <v>429</v>
      </c>
      <c r="B784" s="10">
        <v>20579690</v>
      </c>
      <c r="C784" s="8" t="s">
        <v>451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>
        <v>7</v>
      </c>
      <c r="O784" s="1">
        <v>15</v>
      </c>
    </row>
    <row r="785" spans="1:26" x14ac:dyDescent="0.25">
      <c r="A785" s="8" t="s">
        <v>429</v>
      </c>
      <c r="B785" s="10">
        <v>20807510</v>
      </c>
      <c r="C785" s="8" t="s">
        <v>506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>
        <v>8</v>
      </c>
      <c r="O785" s="1">
        <v>15</v>
      </c>
    </row>
    <row r="786" spans="1:26" x14ac:dyDescent="0.25">
      <c r="A786" s="8" t="s">
        <v>429</v>
      </c>
      <c r="B786" s="4">
        <v>20998367</v>
      </c>
      <c r="C786" s="8" t="s">
        <v>1031</v>
      </c>
      <c r="D786" s="1"/>
      <c r="E786" s="1"/>
      <c r="F786" s="1">
        <f>S786</f>
        <v>20</v>
      </c>
      <c r="G786" s="1"/>
      <c r="H786" s="1"/>
      <c r="I786" s="1"/>
      <c r="J786" s="1"/>
      <c r="K786" s="1"/>
      <c r="L786" s="1"/>
      <c r="M786" s="1"/>
      <c r="N786" s="1">
        <v>16</v>
      </c>
      <c r="O786" s="1">
        <v>15</v>
      </c>
      <c r="S786">
        <v>20</v>
      </c>
    </row>
    <row r="787" spans="1:26" x14ac:dyDescent="0.25">
      <c r="A787" s="8" t="s">
        <v>429</v>
      </c>
      <c r="B787" s="10">
        <v>21053162</v>
      </c>
      <c r="C787" s="8" t="s">
        <v>451</v>
      </c>
      <c r="D787" s="1"/>
      <c r="E787" s="1"/>
      <c r="F787" s="1"/>
      <c r="G787" s="1"/>
      <c r="H787" s="1"/>
      <c r="I787" s="1"/>
      <c r="J787" s="1"/>
      <c r="K787" s="1"/>
      <c r="L787" s="1">
        <f>Y787</f>
        <v>14</v>
      </c>
      <c r="M787" s="1"/>
      <c r="N787" s="1">
        <v>14</v>
      </c>
      <c r="O787" s="1"/>
      <c r="Y787">
        <v>14</v>
      </c>
    </row>
    <row r="788" spans="1:26" x14ac:dyDescent="0.25">
      <c r="A788" s="8" t="s">
        <v>429</v>
      </c>
      <c r="B788" s="10">
        <v>21376707</v>
      </c>
      <c r="C788" s="8" t="s">
        <v>962</v>
      </c>
      <c r="D788" s="1"/>
      <c r="E788" s="1"/>
      <c r="F788" s="1"/>
      <c r="G788" s="1"/>
      <c r="H788" s="1"/>
      <c r="I788" s="1"/>
      <c r="J788" s="1"/>
      <c r="K788" s="1"/>
      <c r="L788" s="1">
        <f>Y788</f>
        <v>25</v>
      </c>
      <c r="M788" s="1"/>
      <c r="N788" s="1">
        <v>17</v>
      </c>
      <c r="O788" s="1">
        <v>10</v>
      </c>
      <c r="Y788">
        <v>25</v>
      </c>
    </row>
    <row r="789" spans="1:26" x14ac:dyDescent="0.25">
      <c r="A789" s="8" t="s">
        <v>429</v>
      </c>
      <c r="B789" s="10">
        <v>21380475</v>
      </c>
      <c r="C789" s="8" t="s">
        <v>1031</v>
      </c>
      <c r="D789" s="1"/>
      <c r="E789" s="1"/>
      <c r="F789" s="1">
        <f>S789</f>
        <v>15</v>
      </c>
      <c r="G789" s="1"/>
      <c r="H789" s="1"/>
      <c r="I789" s="1"/>
      <c r="J789" s="1"/>
      <c r="K789" s="1"/>
      <c r="L789" s="1"/>
      <c r="M789" s="1"/>
      <c r="N789" s="1">
        <v>13</v>
      </c>
      <c r="O789" s="1">
        <v>15</v>
      </c>
      <c r="S789">
        <v>15</v>
      </c>
    </row>
    <row r="790" spans="1:26" x14ac:dyDescent="0.25">
      <c r="A790" s="8" t="s">
        <v>429</v>
      </c>
      <c r="B790" s="10">
        <v>21707132</v>
      </c>
      <c r="C790" s="8" t="s">
        <v>1035</v>
      </c>
      <c r="D790" s="1"/>
      <c r="E790" s="1"/>
      <c r="F790" s="1"/>
      <c r="G790" s="1">
        <v>10</v>
      </c>
      <c r="H790" s="1"/>
      <c r="I790" s="1"/>
      <c r="J790" s="1"/>
      <c r="K790" s="1"/>
      <c r="L790" s="1"/>
      <c r="M790" s="1"/>
      <c r="N790" s="1">
        <v>13</v>
      </c>
      <c r="O790" s="1">
        <v>15</v>
      </c>
      <c r="P790">
        <v>-10</v>
      </c>
    </row>
    <row r="791" spans="1:26" x14ac:dyDescent="0.25">
      <c r="A791" s="8" t="s">
        <v>429</v>
      </c>
      <c r="B791" s="10">
        <v>21707133</v>
      </c>
      <c r="C791" s="8" t="s">
        <v>1035</v>
      </c>
      <c r="D791" s="1"/>
      <c r="E791" s="1"/>
      <c r="F791" s="1"/>
      <c r="G791" s="1">
        <v>10</v>
      </c>
      <c r="H791" s="1"/>
      <c r="I791" s="1"/>
      <c r="J791" s="1"/>
      <c r="K791" s="1"/>
      <c r="L791" s="1"/>
      <c r="M791" s="1"/>
      <c r="N791" s="1">
        <v>10</v>
      </c>
      <c r="O791" s="1">
        <v>15</v>
      </c>
      <c r="P791">
        <v>-5</v>
      </c>
    </row>
    <row r="792" spans="1:26" x14ac:dyDescent="0.25">
      <c r="A792" s="8" t="s">
        <v>429</v>
      </c>
      <c r="B792" s="10">
        <v>21737499</v>
      </c>
      <c r="C792" s="8" t="s">
        <v>179</v>
      </c>
      <c r="D792" s="1"/>
      <c r="E792" s="1"/>
      <c r="F792" s="1">
        <f>S792</f>
        <v>20</v>
      </c>
      <c r="G792" s="1"/>
      <c r="H792" s="1"/>
      <c r="I792" s="1"/>
      <c r="J792" s="1"/>
      <c r="K792" s="1"/>
      <c r="L792" s="1"/>
      <c r="M792" s="1"/>
      <c r="N792" s="1">
        <v>18</v>
      </c>
      <c r="O792" s="1">
        <v>15</v>
      </c>
      <c r="S792">
        <v>20</v>
      </c>
    </row>
    <row r="793" spans="1:26" x14ac:dyDescent="0.25">
      <c r="A793" s="8" t="s">
        <v>429</v>
      </c>
      <c r="B793" s="10">
        <v>21937327</v>
      </c>
      <c r="C793" s="8" t="s">
        <v>1036</v>
      </c>
      <c r="D793" s="1"/>
      <c r="E793" s="1"/>
      <c r="F793" s="1"/>
      <c r="G793" s="1"/>
      <c r="H793" s="1">
        <f>U793</f>
        <v>20</v>
      </c>
      <c r="I793" s="1"/>
      <c r="J793" s="1"/>
      <c r="K793" s="1"/>
      <c r="L793" s="1"/>
      <c r="M793" s="1"/>
      <c r="N793" s="1">
        <v>8</v>
      </c>
      <c r="O793" s="1">
        <v>15</v>
      </c>
      <c r="U793">
        <v>20</v>
      </c>
    </row>
    <row r="794" spans="1:26" x14ac:dyDescent="0.25">
      <c r="A794" s="8" t="s">
        <v>429</v>
      </c>
      <c r="B794" s="10">
        <v>22474709</v>
      </c>
      <c r="C794" s="8" t="s">
        <v>1034</v>
      </c>
      <c r="D794" s="1"/>
      <c r="E794" s="1">
        <f>R794</f>
        <v>-5</v>
      </c>
      <c r="F794" s="1"/>
      <c r="G794" s="1"/>
      <c r="H794" s="1"/>
      <c r="I794" s="1"/>
      <c r="J794" s="1"/>
      <c r="K794" s="1"/>
      <c r="L794" s="1"/>
      <c r="M794" s="1"/>
      <c r="N794" s="1">
        <v>14</v>
      </c>
      <c r="O794" s="1">
        <v>35</v>
      </c>
      <c r="P794">
        <v>-15</v>
      </c>
      <c r="R794">
        <v>-5</v>
      </c>
    </row>
    <row r="795" spans="1:26" x14ac:dyDescent="0.25">
      <c r="A795" s="8" t="s">
        <v>429</v>
      </c>
      <c r="B795" s="10">
        <v>22480372</v>
      </c>
      <c r="C795" s="8" t="s">
        <v>1034</v>
      </c>
      <c r="D795" s="1"/>
      <c r="E795" s="1">
        <v>15</v>
      </c>
      <c r="F795" s="1"/>
      <c r="G795" s="1"/>
      <c r="H795" s="1"/>
      <c r="I795" s="1"/>
      <c r="J795" s="1"/>
      <c r="K795" s="1"/>
      <c r="L795" s="1"/>
      <c r="M795" s="1"/>
      <c r="N795" s="1">
        <v>13</v>
      </c>
      <c r="O795" s="1">
        <v>15</v>
      </c>
      <c r="P795">
        <v>-20</v>
      </c>
      <c r="R795" s="1">
        <v>-64</v>
      </c>
    </row>
    <row r="796" spans="1:26" x14ac:dyDescent="0.25">
      <c r="A796" s="8" t="s">
        <v>429</v>
      </c>
      <c r="B796" s="10">
        <v>23151592</v>
      </c>
      <c r="C796" s="8" t="s">
        <v>1035</v>
      </c>
      <c r="D796" s="1"/>
      <c r="E796" s="1"/>
      <c r="F796" s="1"/>
      <c r="G796" s="1">
        <v>20</v>
      </c>
      <c r="H796" s="1"/>
      <c r="I796" s="1"/>
      <c r="J796" s="1"/>
      <c r="K796" s="1"/>
      <c r="L796" s="1"/>
      <c r="M796" s="1"/>
      <c r="N796" s="1">
        <v>10</v>
      </c>
      <c r="O796" s="1">
        <v>15</v>
      </c>
      <c r="P796">
        <v>-5</v>
      </c>
    </row>
    <row r="797" spans="1:26" x14ac:dyDescent="0.25">
      <c r="A797" s="8" t="s">
        <v>429</v>
      </c>
      <c r="B797" s="10">
        <v>23381562</v>
      </c>
      <c r="C797" s="8" t="s">
        <v>449</v>
      </c>
      <c r="D797" s="1"/>
      <c r="E797" s="1"/>
      <c r="F797" s="1"/>
      <c r="G797" s="1"/>
      <c r="H797" s="1"/>
      <c r="I797" s="1"/>
      <c r="J797" s="1"/>
      <c r="K797" s="1"/>
      <c r="L797" s="1"/>
      <c r="M797" s="1">
        <f>Z797</f>
        <v>50</v>
      </c>
      <c r="N797" s="1">
        <v>22</v>
      </c>
      <c r="O797" s="1">
        <v>30</v>
      </c>
      <c r="Z797">
        <v>50</v>
      </c>
    </row>
    <row r="798" spans="1:26" x14ac:dyDescent="0.25">
      <c r="A798" s="8" t="s">
        <v>429</v>
      </c>
      <c r="B798" s="10">
        <v>23658092</v>
      </c>
      <c r="C798" s="8" t="s">
        <v>1035</v>
      </c>
      <c r="D798" s="1"/>
      <c r="E798" s="1"/>
      <c r="F798" s="1"/>
      <c r="G798" s="1">
        <v>20</v>
      </c>
      <c r="H798" s="1"/>
      <c r="I798" s="1"/>
      <c r="J798" s="1"/>
      <c r="K798" s="1"/>
      <c r="L798" s="1"/>
      <c r="M798" s="1"/>
      <c r="N798" s="1">
        <v>10</v>
      </c>
      <c r="O798" s="1">
        <v>15</v>
      </c>
      <c r="P798">
        <v>-5</v>
      </c>
    </row>
    <row r="799" spans="1:26" x14ac:dyDescent="0.25">
      <c r="A799" s="8" t="s">
        <v>429</v>
      </c>
      <c r="B799" s="10">
        <v>23880047</v>
      </c>
      <c r="C799" s="8" t="s">
        <v>1037</v>
      </c>
      <c r="D799" s="1"/>
      <c r="E799" s="1"/>
      <c r="F799" s="1">
        <f>S799</f>
        <v>20</v>
      </c>
      <c r="G799" s="1"/>
      <c r="H799" s="1"/>
      <c r="I799" s="1"/>
      <c r="J799" s="1"/>
      <c r="K799" s="1"/>
      <c r="L799" s="1"/>
      <c r="M799" s="1"/>
      <c r="N799" s="1">
        <v>17</v>
      </c>
      <c r="O799" s="1">
        <v>15</v>
      </c>
      <c r="S799">
        <v>20</v>
      </c>
    </row>
    <row r="800" spans="1:26" x14ac:dyDescent="0.25">
      <c r="A800" s="8" t="s">
        <v>429</v>
      </c>
      <c r="B800" s="10">
        <v>23920469</v>
      </c>
      <c r="C800" s="8" t="s">
        <v>1034</v>
      </c>
      <c r="D800" s="1"/>
      <c r="E800" s="1">
        <v>20</v>
      </c>
      <c r="F800" s="1"/>
      <c r="G800" s="1"/>
      <c r="H800" s="1"/>
      <c r="I800" s="1"/>
      <c r="J800" s="1"/>
      <c r="K800" s="1"/>
      <c r="L800" s="1"/>
      <c r="M800" s="1"/>
      <c r="N800" s="1">
        <v>16</v>
      </c>
      <c r="O800" s="1">
        <v>15</v>
      </c>
      <c r="P800">
        <v>-15</v>
      </c>
    </row>
    <row r="801" spans="1:26" x14ac:dyDescent="0.25">
      <c r="A801" s="8" t="s">
        <v>429</v>
      </c>
      <c r="B801" s="10">
        <v>24008818</v>
      </c>
      <c r="C801" s="8" t="s">
        <v>1038</v>
      </c>
      <c r="D801" s="1"/>
      <c r="E801" s="1"/>
      <c r="F801" s="1">
        <f>S801</f>
        <v>20</v>
      </c>
      <c r="G801" s="1"/>
      <c r="H801" s="1"/>
      <c r="I801" s="1"/>
      <c r="J801" s="1"/>
      <c r="K801" s="1"/>
      <c r="L801" s="1"/>
      <c r="M801" s="1"/>
      <c r="N801" s="1">
        <v>16</v>
      </c>
      <c r="O801" s="1">
        <v>15</v>
      </c>
      <c r="S801">
        <v>20</v>
      </c>
    </row>
    <row r="802" spans="1:26" x14ac:dyDescent="0.25">
      <c r="A802" s="8" t="s">
        <v>429</v>
      </c>
      <c r="B802" s="10">
        <v>24009059</v>
      </c>
      <c r="C802" s="8" t="s">
        <v>1038</v>
      </c>
      <c r="D802" s="1"/>
      <c r="E802" s="1"/>
      <c r="F802" s="1">
        <f>S802</f>
        <v>25</v>
      </c>
      <c r="G802" s="1"/>
      <c r="H802" s="1"/>
      <c r="I802" s="1"/>
      <c r="J802" s="1"/>
      <c r="K802" s="1"/>
      <c r="L802" s="1"/>
      <c r="M802" s="1"/>
      <c r="N802" s="1">
        <v>23</v>
      </c>
      <c r="O802" s="1">
        <v>15</v>
      </c>
      <c r="S802">
        <v>25</v>
      </c>
    </row>
    <row r="803" spans="1:26" x14ac:dyDescent="0.25">
      <c r="A803" s="8" t="s">
        <v>429</v>
      </c>
      <c r="B803" s="10">
        <v>24137737</v>
      </c>
      <c r="C803" s="8" t="s">
        <v>178</v>
      </c>
      <c r="D803" s="1"/>
      <c r="E803" s="1">
        <f>R803</f>
        <v>-26</v>
      </c>
      <c r="F803" s="1"/>
      <c r="G803" s="1"/>
      <c r="H803" s="1"/>
      <c r="I803" s="1"/>
      <c r="J803" s="1"/>
      <c r="K803" s="1"/>
      <c r="L803" s="1"/>
      <c r="M803" s="1"/>
      <c r="N803" s="1">
        <v>16</v>
      </c>
      <c r="O803" s="1">
        <v>20</v>
      </c>
      <c r="R803">
        <v>-26</v>
      </c>
    </row>
    <row r="804" spans="1:26" x14ac:dyDescent="0.25">
      <c r="A804" s="8" t="s">
        <v>429</v>
      </c>
      <c r="B804" s="10">
        <v>24225154</v>
      </c>
      <c r="C804" s="8" t="s">
        <v>1037</v>
      </c>
      <c r="D804" s="1"/>
      <c r="E804" s="1"/>
      <c r="F804" s="1">
        <f>S804</f>
        <v>20</v>
      </c>
      <c r="G804" s="1"/>
      <c r="H804" s="1"/>
      <c r="I804" s="1"/>
      <c r="J804" s="1"/>
      <c r="K804" s="1"/>
      <c r="L804" s="1"/>
      <c r="M804" s="1"/>
      <c r="N804" s="1">
        <v>17</v>
      </c>
      <c r="O804" s="1">
        <v>15</v>
      </c>
      <c r="S804">
        <v>20</v>
      </c>
    </row>
    <row r="805" spans="1:26" x14ac:dyDescent="0.25">
      <c r="A805" s="8" t="s">
        <v>429</v>
      </c>
      <c r="B805" s="10">
        <v>24283117</v>
      </c>
      <c r="C805" s="8" t="s">
        <v>1039</v>
      </c>
      <c r="D805" s="1"/>
      <c r="E805" s="1"/>
      <c r="F805" s="1"/>
      <c r="G805" s="1">
        <f>T805</f>
        <v>30</v>
      </c>
      <c r="H805" s="1"/>
      <c r="I805" s="1"/>
      <c r="J805" s="1"/>
      <c r="K805" s="1"/>
      <c r="L805" s="1"/>
      <c r="M805" s="1"/>
      <c r="N805" s="1">
        <v>23</v>
      </c>
      <c r="O805" s="1">
        <v>15</v>
      </c>
      <c r="T805">
        <v>30</v>
      </c>
    </row>
    <row r="806" spans="1:26" x14ac:dyDescent="0.25">
      <c r="A806" s="8" t="s">
        <v>429</v>
      </c>
      <c r="B806" s="10">
        <v>24633960</v>
      </c>
      <c r="C806" s="8" t="s">
        <v>1038</v>
      </c>
      <c r="D806" s="1"/>
      <c r="E806" s="1"/>
      <c r="F806" s="1">
        <f>S806</f>
        <v>20</v>
      </c>
      <c r="G806" s="1"/>
      <c r="H806" s="1"/>
      <c r="I806" s="1"/>
      <c r="J806" s="1"/>
      <c r="K806" s="1"/>
      <c r="L806" s="1"/>
      <c r="M806" s="1"/>
      <c r="N806" s="1">
        <v>17</v>
      </c>
      <c r="O806" s="1">
        <v>15</v>
      </c>
      <c r="S806">
        <v>20</v>
      </c>
    </row>
    <row r="807" spans="1:26" x14ac:dyDescent="0.25">
      <c r="A807" s="8" t="s">
        <v>429</v>
      </c>
      <c r="B807" s="10">
        <v>24472550</v>
      </c>
      <c r="C807" s="8" t="s">
        <v>962</v>
      </c>
      <c r="D807" s="1"/>
      <c r="E807" s="1"/>
      <c r="F807" s="1"/>
      <c r="G807" s="1"/>
      <c r="H807" s="1"/>
      <c r="I807" s="1"/>
      <c r="J807" s="1"/>
      <c r="K807" s="1"/>
      <c r="L807" s="1">
        <f>Y807</f>
        <v>25</v>
      </c>
      <c r="M807" s="1"/>
      <c r="N807" s="1">
        <v>17</v>
      </c>
      <c r="O807" s="1">
        <v>10</v>
      </c>
      <c r="Y807">
        <v>25</v>
      </c>
    </row>
    <row r="808" spans="1:26" x14ac:dyDescent="0.25">
      <c r="A808" s="8" t="s">
        <v>429</v>
      </c>
      <c r="B808" s="10">
        <v>3945411</v>
      </c>
      <c r="C808" s="8" t="s">
        <v>1036</v>
      </c>
      <c r="D808" s="1"/>
      <c r="E808" s="1"/>
      <c r="F808" s="1"/>
      <c r="G808" s="1"/>
      <c r="H808" s="1">
        <f>U808</f>
        <v>20</v>
      </c>
      <c r="I808" s="1"/>
      <c r="J808" s="1"/>
      <c r="K808" s="1"/>
      <c r="L808" s="1"/>
      <c r="M808" s="1"/>
      <c r="N808" s="1">
        <v>10</v>
      </c>
      <c r="O808" s="1">
        <v>15</v>
      </c>
      <c r="U808">
        <v>20</v>
      </c>
    </row>
    <row r="809" spans="1:26" x14ac:dyDescent="0.25">
      <c r="A809" s="8" t="s">
        <v>429</v>
      </c>
      <c r="B809" s="10">
        <v>466623</v>
      </c>
      <c r="C809" s="8" t="s">
        <v>507</v>
      </c>
      <c r="D809" s="1"/>
      <c r="E809" s="1"/>
      <c r="F809" s="1"/>
      <c r="G809" s="1"/>
      <c r="H809" s="1"/>
      <c r="I809" s="1"/>
      <c r="J809" s="1"/>
      <c r="K809" s="1"/>
      <c r="L809" s="1">
        <f>Y809</f>
        <v>15</v>
      </c>
      <c r="M809" s="1"/>
      <c r="N809" s="1">
        <v>15</v>
      </c>
      <c r="O809" s="1"/>
      <c r="Y809">
        <v>15</v>
      </c>
    </row>
    <row r="810" spans="1:26" x14ac:dyDescent="0.25">
      <c r="A810" s="8" t="s">
        <v>429</v>
      </c>
      <c r="B810" s="10">
        <v>469904</v>
      </c>
      <c r="C810" s="8" t="s">
        <v>507</v>
      </c>
      <c r="D810" s="1"/>
      <c r="E810" s="1"/>
      <c r="F810" s="1"/>
      <c r="G810" s="1"/>
      <c r="H810" s="1"/>
      <c r="I810" s="1"/>
      <c r="J810" s="1"/>
      <c r="K810" s="1"/>
      <c r="L810" s="1">
        <v>25</v>
      </c>
      <c r="M810" s="1"/>
      <c r="N810" s="1">
        <v>25</v>
      </c>
      <c r="O810" s="1"/>
      <c r="Y810">
        <v>25</v>
      </c>
    </row>
    <row r="811" spans="1:26" x14ac:dyDescent="0.25">
      <c r="A811" s="8" t="s">
        <v>429</v>
      </c>
      <c r="B811" s="10">
        <v>8193841</v>
      </c>
      <c r="C811" s="8" t="s">
        <v>1034</v>
      </c>
      <c r="D811" s="1"/>
      <c r="E811" s="1"/>
      <c r="F811" s="1">
        <v>20</v>
      </c>
      <c r="G811" s="1"/>
      <c r="H811" s="1"/>
      <c r="I811" s="1"/>
      <c r="J811" s="1"/>
      <c r="K811" s="1"/>
      <c r="L811" s="1"/>
      <c r="M811" s="1"/>
      <c r="N811" s="1">
        <v>9</v>
      </c>
      <c r="O811" s="1">
        <v>20</v>
      </c>
      <c r="P811">
        <v>-25</v>
      </c>
      <c r="R811">
        <v>-44</v>
      </c>
    </row>
    <row r="812" spans="1:26" x14ac:dyDescent="0.25">
      <c r="A812" s="8" t="s">
        <v>429</v>
      </c>
      <c r="B812" s="10">
        <v>82269261</v>
      </c>
      <c r="C812" s="8" t="s">
        <v>508</v>
      </c>
      <c r="D812" s="1"/>
      <c r="E812" s="1"/>
      <c r="F812" s="1"/>
      <c r="G812" s="1"/>
      <c r="H812" s="1"/>
      <c r="I812" s="1"/>
      <c r="J812" s="1"/>
      <c r="K812" s="1"/>
      <c r="L812" s="1"/>
      <c r="M812" s="1">
        <f>Z812</f>
        <v>50</v>
      </c>
      <c r="N812" s="1">
        <v>18</v>
      </c>
      <c r="O812" s="1">
        <v>30</v>
      </c>
      <c r="Z812">
        <v>50</v>
      </c>
    </row>
    <row r="813" spans="1:26" x14ac:dyDescent="0.25">
      <c r="A813" s="8" t="s">
        <v>429</v>
      </c>
      <c r="B813" s="10">
        <v>85121709</v>
      </c>
      <c r="C813" s="8" t="s">
        <v>1031</v>
      </c>
      <c r="D813" s="1"/>
      <c r="E813" s="1"/>
      <c r="F813" s="1">
        <f>S813</f>
        <v>20</v>
      </c>
      <c r="G813" s="1"/>
      <c r="H813" s="1"/>
      <c r="I813" s="1"/>
      <c r="J813" s="1"/>
      <c r="K813" s="1"/>
      <c r="L813" s="1"/>
      <c r="M813" s="1"/>
      <c r="N813" s="1">
        <v>14</v>
      </c>
      <c r="O813" s="1">
        <v>15</v>
      </c>
      <c r="S813">
        <v>20</v>
      </c>
    </row>
    <row r="814" spans="1:26" x14ac:dyDescent="0.25">
      <c r="A814" s="8" t="s">
        <v>429</v>
      </c>
      <c r="B814" s="10">
        <v>85132685</v>
      </c>
      <c r="C814" s="8" t="s">
        <v>1040</v>
      </c>
      <c r="D814" s="1"/>
      <c r="E814" s="1">
        <v>15</v>
      </c>
      <c r="F814" s="1"/>
      <c r="G814" s="1">
        <v>20</v>
      </c>
      <c r="H814" s="1"/>
      <c r="I814" s="1"/>
      <c r="J814" s="1"/>
      <c r="K814" s="1"/>
      <c r="L814" s="1"/>
      <c r="M814" s="1"/>
      <c r="N814" s="1">
        <v>19</v>
      </c>
      <c r="O814" s="1">
        <v>15</v>
      </c>
      <c r="P814">
        <v>-25</v>
      </c>
    </row>
    <row r="815" spans="1:26" x14ac:dyDescent="0.25">
      <c r="A815" s="8" t="s">
        <v>429</v>
      </c>
      <c r="B815" s="10">
        <v>85132686</v>
      </c>
      <c r="C815" s="8" t="s">
        <v>1040</v>
      </c>
      <c r="D815" s="1"/>
      <c r="E815" s="1">
        <v>15</v>
      </c>
      <c r="F815" s="1"/>
      <c r="G815" s="1">
        <v>20</v>
      </c>
      <c r="H815" s="1"/>
      <c r="I815" s="1"/>
      <c r="J815" s="1"/>
      <c r="K815" s="1"/>
      <c r="L815" s="1"/>
      <c r="M815" s="1"/>
      <c r="N815" s="1">
        <v>19</v>
      </c>
      <c r="O815" s="1">
        <v>15</v>
      </c>
      <c r="P815">
        <v>-25</v>
      </c>
    </row>
    <row r="816" spans="1:26" x14ac:dyDescent="0.25">
      <c r="A816" s="8" t="s">
        <v>429</v>
      </c>
      <c r="B816" s="10">
        <v>949329</v>
      </c>
      <c r="C816" s="8" t="s">
        <v>451</v>
      </c>
      <c r="D816" s="1"/>
      <c r="E816" s="1"/>
      <c r="F816" s="1"/>
      <c r="G816" s="1"/>
      <c r="H816" s="1"/>
      <c r="I816" s="1"/>
      <c r="J816" s="1"/>
      <c r="K816" s="1"/>
      <c r="L816" s="1">
        <f>Y816</f>
        <v>7</v>
      </c>
      <c r="M816" s="1"/>
      <c r="N816" s="1">
        <v>7</v>
      </c>
      <c r="O816" s="1"/>
      <c r="Y816">
        <v>7</v>
      </c>
    </row>
    <row r="817" spans="1:25" x14ac:dyDescent="0.25">
      <c r="A817" s="8" t="s">
        <v>429</v>
      </c>
      <c r="B817" s="10">
        <v>974584</v>
      </c>
      <c r="C817" s="8" t="s">
        <v>509</v>
      </c>
      <c r="D817" s="1"/>
      <c r="E817" s="1"/>
      <c r="F817" s="1"/>
      <c r="G817" s="1"/>
      <c r="H817" s="1"/>
      <c r="I817" s="1"/>
      <c r="J817" s="1"/>
      <c r="K817" s="1"/>
      <c r="L817" s="1">
        <f>Y817</f>
        <v>5</v>
      </c>
      <c r="M817" s="1"/>
      <c r="N817" s="1">
        <v>5</v>
      </c>
      <c r="O817" s="1"/>
      <c r="Y817">
        <v>5</v>
      </c>
    </row>
    <row r="818" spans="1:25" x14ac:dyDescent="0.25">
      <c r="A818" s="8" t="s">
        <v>429</v>
      </c>
      <c r="B818" s="10">
        <v>981281</v>
      </c>
      <c r="C818" s="8" t="s">
        <v>451</v>
      </c>
      <c r="D818" s="1"/>
      <c r="E818" s="1"/>
      <c r="F818" s="1"/>
      <c r="G818" s="1"/>
      <c r="H818" s="1"/>
      <c r="I818" s="1"/>
      <c r="J818" s="1"/>
      <c r="K818" s="1"/>
      <c r="L818" s="1">
        <f>Y818</f>
        <v>16</v>
      </c>
      <c r="M818" s="1"/>
      <c r="N818" s="1">
        <v>16</v>
      </c>
      <c r="O818" s="1"/>
      <c r="Y818">
        <v>16</v>
      </c>
    </row>
    <row r="819" spans="1:25" x14ac:dyDescent="0.25">
      <c r="A819" s="8" t="s">
        <v>429</v>
      </c>
      <c r="B819" s="9" t="s">
        <v>309</v>
      </c>
      <c r="C819" s="8" t="s">
        <v>510</v>
      </c>
      <c r="D819" s="1">
        <v>15</v>
      </c>
      <c r="E819" s="1">
        <v>15</v>
      </c>
      <c r="F819" s="1">
        <v>15</v>
      </c>
      <c r="G819" s="1">
        <v>20</v>
      </c>
      <c r="H819" s="1">
        <v>20</v>
      </c>
      <c r="I819" s="1"/>
      <c r="J819" s="1"/>
      <c r="K819" s="1"/>
      <c r="L819" s="1"/>
      <c r="M819" s="1"/>
      <c r="N819" s="1">
        <v>7</v>
      </c>
      <c r="O819" s="1">
        <v>15</v>
      </c>
    </row>
  </sheetData>
  <sortState xmlns:xlrd2="http://schemas.microsoft.com/office/spreadsheetml/2017/richdata2" ref="A3:M529">
    <sortCondition ref="A3:A529"/>
  </sortState>
  <phoneticPr fontId="35" type="noConversion"/>
  <pageMargins left="0.7" right="0.7" top="0.75" bottom="0.75" header="0.3" footer="0.3"/>
  <pageSetup orientation="portrait" r:id="rId1"/>
  <ignoredErrors>
    <ignoredError sqref="M69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19"/>
  <sheetViews>
    <sheetView zoomScale="109" zoomScaleNormal="100" workbookViewId="0">
      <pane ySplit="2" topLeftCell="A201" activePane="bottomLeft" state="frozen"/>
      <selection pane="bottomLeft" activeCell="H215" sqref="H215"/>
    </sheetView>
  </sheetViews>
  <sheetFormatPr defaultColWidth="11.42578125" defaultRowHeight="15" x14ac:dyDescent="0.25"/>
  <cols>
    <col min="2" max="2" width="13.42578125" customWidth="1"/>
    <col min="3" max="3" width="14.85546875" customWidth="1"/>
    <col min="4" max="4" width="14.28515625" style="78" customWidth="1"/>
    <col min="5" max="5" width="12.42578125" customWidth="1"/>
    <col min="6" max="6" width="11.5703125" style="78" customWidth="1"/>
    <col min="7" max="7" width="12" customWidth="1"/>
    <col min="8" max="8" width="8.85546875" style="78" customWidth="1"/>
    <col min="9" max="9" width="6.5703125" style="78" customWidth="1"/>
    <col min="10" max="10" width="11.140625" style="78" customWidth="1"/>
    <col min="12" max="12" width="10" customWidth="1"/>
  </cols>
  <sheetData>
    <row r="1" spans="1:10" ht="17.25" x14ac:dyDescent="0.3">
      <c r="A1" s="340" t="s">
        <v>1270</v>
      </c>
      <c r="D1" s="223"/>
      <c r="F1" s="223"/>
      <c r="H1" s="223"/>
      <c r="I1" s="223"/>
      <c r="J1" s="223"/>
    </row>
    <row r="2" spans="1:10" ht="34.15" customHeight="1" x14ac:dyDescent="0.25">
      <c r="A2" t="s">
        <v>174</v>
      </c>
      <c r="B2" t="s">
        <v>175</v>
      </c>
      <c r="C2" s="28" t="s">
        <v>182</v>
      </c>
      <c r="D2" s="369" t="s">
        <v>182</v>
      </c>
      <c r="E2" s="161" t="s">
        <v>172</v>
      </c>
      <c r="F2" s="368" t="s">
        <v>172</v>
      </c>
      <c r="G2" s="161" t="s">
        <v>171</v>
      </c>
      <c r="H2" s="162" t="s">
        <v>171</v>
      </c>
      <c r="I2" s="367" t="s">
        <v>435</v>
      </c>
      <c r="J2" s="366" t="s">
        <v>1030</v>
      </c>
    </row>
    <row r="3" spans="1:10" x14ac:dyDescent="0.25">
      <c r="A3" s="30" t="s">
        <v>432</v>
      </c>
      <c r="B3" s="31" t="s">
        <v>310</v>
      </c>
      <c r="C3" s="32">
        <f>'Price List'!C3+'Cost Source'!I3+'Cost Source'!O3</f>
        <v>410</v>
      </c>
      <c r="D3" s="224">
        <f>ROUNDUP(C3,0)-0.01</f>
        <v>409.99</v>
      </c>
      <c r="E3" s="32">
        <f>'Price List'!C3+'Cost Source'!V3</f>
        <v>400</v>
      </c>
      <c r="F3" s="239">
        <f>ROUNDUP(E3,0)-0.01</f>
        <v>399.99</v>
      </c>
      <c r="G3" s="32">
        <f>E3+'Cost Source'!N3</f>
        <v>400</v>
      </c>
      <c r="H3" s="257">
        <f>ROUNDUP(G3,0)-0.01</f>
        <v>399.99</v>
      </c>
      <c r="I3" s="270"/>
      <c r="J3" s="289">
        <v>20</v>
      </c>
    </row>
    <row r="4" spans="1:10" x14ac:dyDescent="0.25">
      <c r="A4" s="30" t="s">
        <v>432</v>
      </c>
      <c r="B4" s="31" t="s">
        <v>311</v>
      </c>
      <c r="C4" s="32">
        <f>'Price List'!C4+'Cost Source'!I4+'Cost Source'!O4</f>
        <v>180</v>
      </c>
      <c r="D4" s="224">
        <f t="shared" ref="D4:D76" si="0">ROUNDUP(C4,0)-0.01</f>
        <v>179.99</v>
      </c>
      <c r="E4" s="32">
        <f>'Price List'!C4+'Cost Source'!V4</f>
        <v>170</v>
      </c>
      <c r="F4" s="239">
        <f t="shared" ref="F4:F76" si="1">ROUNDUP(E4,0)-0.01</f>
        <v>169.99</v>
      </c>
      <c r="G4" s="32">
        <f>E4+'Cost Source'!N4</f>
        <v>170</v>
      </c>
      <c r="H4" s="258">
        <f t="shared" ref="H4:H73" si="2">ROUNDUP(G4,0)-0.01</f>
        <v>169.99</v>
      </c>
      <c r="I4" s="270"/>
      <c r="J4" s="290">
        <v>20</v>
      </c>
    </row>
    <row r="5" spans="1:10" x14ac:dyDescent="0.25">
      <c r="A5" s="140" t="s">
        <v>432</v>
      </c>
      <c r="B5" s="141" t="s">
        <v>775</v>
      </c>
      <c r="C5" s="32">
        <f>'Price List'!C5+'Cost Source'!I5+'Cost Source'!O5</f>
        <v>230.31</v>
      </c>
      <c r="D5" s="224">
        <f t="shared" si="0"/>
        <v>230.99</v>
      </c>
      <c r="E5" s="32">
        <f>'Price List'!C5+'Cost Source'!V5</f>
        <v>220.31</v>
      </c>
      <c r="F5" s="239">
        <f t="shared" si="1"/>
        <v>220.99</v>
      </c>
      <c r="G5" s="32">
        <f>E5+'Cost Source'!N5</f>
        <v>220.31</v>
      </c>
      <c r="H5" s="257">
        <f t="shared" si="2"/>
        <v>220.99</v>
      </c>
      <c r="I5" s="271"/>
      <c r="J5" s="289">
        <v>20</v>
      </c>
    </row>
    <row r="6" spans="1:10" x14ac:dyDescent="0.25">
      <c r="A6" s="36" t="s">
        <v>432</v>
      </c>
      <c r="B6" s="40">
        <v>21715813</v>
      </c>
      <c r="C6" s="35">
        <f>'Price List'!C6+'Cost Source'!I6+'Cost Source'!O6</f>
        <v>144.07999999999998</v>
      </c>
      <c r="D6" s="225">
        <f t="shared" si="0"/>
        <v>144.99</v>
      </c>
      <c r="E6" s="35">
        <f>'Price List'!C6+'Cost Source'!V6</f>
        <v>144.07999999999998</v>
      </c>
      <c r="F6" s="240">
        <f t="shared" si="1"/>
        <v>144.99</v>
      </c>
      <c r="G6" s="32">
        <f>E6+'Cost Source'!N6</f>
        <v>144.07999999999998</v>
      </c>
      <c r="H6" s="259">
        <f t="shared" si="2"/>
        <v>144.99</v>
      </c>
      <c r="I6" s="272"/>
      <c r="J6" s="294">
        <v>10</v>
      </c>
    </row>
    <row r="7" spans="1:10" x14ac:dyDescent="0.25">
      <c r="A7" s="147" t="s">
        <v>432</v>
      </c>
      <c r="B7" s="148">
        <v>23883251</v>
      </c>
      <c r="C7" s="35">
        <f>'Price List'!C7+'Cost Source'!I7+'Cost Source'!O7</f>
        <v>359.78</v>
      </c>
      <c r="D7" s="225">
        <f t="shared" si="0"/>
        <v>359.99</v>
      </c>
      <c r="E7" s="35">
        <f>'Price List'!C7+'Cost Source'!V7</f>
        <v>359.78</v>
      </c>
      <c r="F7" s="240">
        <f t="shared" si="1"/>
        <v>359.99</v>
      </c>
      <c r="G7" s="146">
        <f>'Price List'!C7+'Cost Source'!V7</f>
        <v>359.78</v>
      </c>
      <c r="H7" s="259">
        <f t="shared" si="2"/>
        <v>359.99</v>
      </c>
      <c r="I7" s="275"/>
      <c r="J7" s="295">
        <v>20</v>
      </c>
    </row>
    <row r="8" spans="1:10" x14ac:dyDescent="0.25">
      <c r="A8" s="36" t="s">
        <v>432</v>
      </c>
      <c r="B8" s="39" t="s">
        <v>312</v>
      </c>
      <c r="C8" s="35">
        <f>'Price List'!C8+'Cost Source'!I8+'Cost Source'!O8</f>
        <v>231.62</v>
      </c>
      <c r="D8" s="225">
        <f t="shared" si="0"/>
        <v>231.99</v>
      </c>
      <c r="E8" s="35">
        <f>'Price List'!C8+'Cost Source'!V8</f>
        <v>231.62</v>
      </c>
      <c r="F8" s="240">
        <f t="shared" si="1"/>
        <v>231.99</v>
      </c>
      <c r="G8" s="32">
        <f>E8+'Cost Source'!N8</f>
        <v>231.62</v>
      </c>
      <c r="H8" s="260">
        <f t="shared" si="2"/>
        <v>231.99</v>
      </c>
      <c r="I8" s="272"/>
      <c r="J8" s="294">
        <v>10</v>
      </c>
    </row>
    <row r="9" spans="1:10" x14ac:dyDescent="0.25">
      <c r="A9" t="s">
        <v>432</v>
      </c>
      <c r="B9" s="3" t="s">
        <v>313</v>
      </c>
      <c r="C9" s="1">
        <f>'Price List'!C9+'Cost Source'!I9+'Cost Source'!O9</f>
        <v>661.98</v>
      </c>
      <c r="D9" s="226">
        <f t="shared" si="0"/>
        <v>661.99</v>
      </c>
      <c r="E9" s="1">
        <f>'Price List'!C9+'Cost Source'!V9</f>
        <v>661.98</v>
      </c>
      <c r="F9" s="241">
        <f t="shared" si="1"/>
        <v>661.99</v>
      </c>
      <c r="G9" s="149">
        <f>E9+'Cost Source'!N9</f>
        <v>661.98</v>
      </c>
      <c r="H9" s="261">
        <f t="shared" si="2"/>
        <v>661.99</v>
      </c>
      <c r="J9" s="290">
        <v>15</v>
      </c>
    </row>
    <row r="10" spans="1:10" x14ac:dyDescent="0.25">
      <c r="A10" s="140" t="s">
        <v>432</v>
      </c>
      <c r="B10" s="151">
        <v>4329012482</v>
      </c>
      <c r="C10" s="146">
        <f>'Price List'!C10+'Cost Source'!I10+'Cost Source'!O10</f>
        <v>135.69</v>
      </c>
      <c r="D10" s="227">
        <f t="shared" si="0"/>
        <v>135.99</v>
      </c>
      <c r="E10" s="146">
        <f>'Price List'!C10+'Cost Source'!V10</f>
        <v>125.69</v>
      </c>
      <c r="F10" s="242">
        <f t="shared" si="1"/>
        <v>125.99</v>
      </c>
      <c r="G10" s="146">
        <f>'Price List'!C10+'Cost Source'!N10</f>
        <v>115.69</v>
      </c>
      <c r="H10" s="258">
        <f t="shared" si="2"/>
        <v>115.99</v>
      </c>
      <c r="I10" s="271"/>
      <c r="J10" s="289">
        <v>20</v>
      </c>
    </row>
    <row r="11" spans="1:10" x14ac:dyDescent="0.25">
      <c r="A11" s="140" t="s">
        <v>432</v>
      </c>
      <c r="B11" s="141" t="s">
        <v>591</v>
      </c>
      <c r="C11" s="146">
        <f>'Price List'!C11+'Cost Source'!I11+'Cost Source'!O11</f>
        <v>49.519999999999996</v>
      </c>
      <c r="D11" s="227">
        <f>ROUNDUP(C11,0)-0.01</f>
        <v>49.99</v>
      </c>
      <c r="E11" s="146">
        <f>'Price List'!C11+'Cost Source'!V11</f>
        <v>49.519999999999996</v>
      </c>
      <c r="F11" s="242">
        <f t="shared" si="1"/>
        <v>49.99</v>
      </c>
      <c r="G11" s="146">
        <f>E11+'Cost Source'!N11</f>
        <v>49.519999999999996</v>
      </c>
      <c r="H11" s="258">
        <f t="shared" si="2"/>
        <v>49.99</v>
      </c>
      <c r="I11" s="271"/>
      <c r="J11" s="290">
        <v>10</v>
      </c>
    </row>
    <row r="12" spans="1:10" x14ac:dyDescent="0.25">
      <c r="A12" s="152" t="s">
        <v>432</v>
      </c>
      <c r="B12" s="153" t="s">
        <v>314</v>
      </c>
      <c r="C12" s="154">
        <f>'Price List'!C12+'Cost Source'!I12+'Cost Source'!O12</f>
        <v>105.95</v>
      </c>
      <c r="D12" s="231">
        <f t="shared" si="0"/>
        <v>105.99</v>
      </c>
      <c r="E12" s="154">
        <f>'Price List'!C12+'Cost Source'!V12</f>
        <v>95.95</v>
      </c>
      <c r="F12" s="246">
        <f t="shared" si="1"/>
        <v>95.99</v>
      </c>
      <c r="G12" s="154">
        <f>'Price List'!C12+'Cost Source'!N12</f>
        <v>85.95</v>
      </c>
      <c r="H12" s="260">
        <f t="shared" si="2"/>
        <v>85.99</v>
      </c>
      <c r="I12" s="276"/>
      <c r="J12" s="295">
        <v>20</v>
      </c>
    </row>
    <row r="13" spans="1:10" x14ac:dyDescent="0.25">
      <c r="A13" s="152" t="s">
        <v>432</v>
      </c>
      <c r="B13" s="41" t="s">
        <v>920</v>
      </c>
      <c r="C13" s="154">
        <f>'Price List'!C13+'Cost Source'!I13+'Cost Source'!O13</f>
        <v>85.769599999999997</v>
      </c>
      <c r="D13" s="231">
        <f t="shared" si="0"/>
        <v>85.99</v>
      </c>
      <c r="E13" s="154">
        <f>'Price List'!C13+'Cost Source'!V13</f>
        <v>75.769599999999997</v>
      </c>
      <c r="F13" s="246">
        <f t="shared" si="1"/>
        <v>75.989999999999995</v>
      </c>
      <c r="G13" s="154">
        <f>'Price List'!C13+'Cost Source'!N13</f>
        <v>60.769600000000004</v>
      </c>
      <c r="H13" s="259">
        <f t="shared" si="2"/>
        <v>60.99</v>
      </c>
      <c r="I13" s="274"/>
      <c r="J13" s="294">
        <v>20</v>
      </c>
    </row>
    <row r="14" spans="1:10" x14ac:dyDescent="0.25">
      <c r="A14" s="159" t="s">
        <v>432</v>
      </c>
      <c r="B14" s="141" t="s">
        <v>921</v>
      </c>
      <c r="C14" s="150">
        <f>'Price List'!C14+'Cost Source'!I14+'Cost Source'!O14</f>
        <v>86.256</v>
      </c>
      <c r="D14" s="228">
        <f t="shared" si="0"/>
        <v>86.99</v>
      </c>
      <c r="E14" s="150">
        <f>'Price List'!C14+'Cost Source'!V14</f>
        <v>76.256</v>
      </c>
      <c r="F14" s="243">
        <f t="shared" si="1"/>
        <v>76.989999999999995</v>
      </c>
      <c r="G14" s="150">
        <f>'Price List'!C14+'Cost Source'!N14</f>
        <v>61.256000000000007</v>
      </c>
      <c r="H14" s="257">
        <f t="shared" si="2"/>
        <v>61.99</v>
      </c>
      <c r="I14" s="467"/>
      <c r="J14" s="289">
        <v>20</v>
      </c>
    </row>
    <row r="15" spans="1:10" x14ac:dyDescent="0.25">
      <c r="A15" t="s">
        <v>432</v>
      </c>
      <c r="B15" s="3" t="s">
        <v>1288</v>
      </c>
      <c r="C15" s="1"/>
      <c r="D15" s="226"/>
      <c r="E15" s="1"/>
      <c r="F15" s="241"/>
      <c r="G15" s="1">
        <f>'Price List'!C15+'Cost Source'!N15</f>
        <v>14.49</v>
      </c>
      <c r="H15" s="258"/>
      <c r="I15" s="271"/>
      <c r="J15" s="290"/>
    </row>
    <row r="16" spans="1:10" x14ac:dyDescent="0.25">
      <c r="A16" s="140" t="s">
        <v>432</v>
      </c>
      <c r="B16" s="141" t="s">
        <v>1214</v>
      </c>
      <c r="C16" s="144">
        <f>'Price List'!C16+'Cost Source'!I16+'Cost Source'!O16</f>
        <v>85.417599999999993</v>
      </c>
      <c r="D16" s="227">
        <f t="shared" si="0"/>
        <v>85.99</v>
      </c>
      <c r="E16" s="144">
        <f>'Price List'!C16+'Cost Source'!V16</f>
        <v>85.417599999999993</v>
      </c>
      <c r="F16" s="242">
        <f t="shared" si="1"/>
        <v>85.99</v>
      </c>
      <c r="G16" s="146">
        <f>E16+'Cost Source'!N16</f>
        <v>85.417599999999993</v>
      </c>
      <c r="H16" s="258">
        <f t="shared" si="2"/>
        <v>85.99</v>
      </c>
      <c r="I16" s="271"/>
      <c r="J16" s="290"/>
    </row>
    <row r="17" spans="1:24" x14ac:dyDescent="0.25">
      <c r="A17" s="147" t="s">
        <v>432</v>
      </c>
      <c r="B17" s="155" t="s">
        <v>315</v>
      </c>
      <c r="C17" s="144">
        <f>'Price List'!C17+'Cost Source'!I17+'Cost Source'!O17</f>
        <v>33.2896</v>
      </c>
      <c r="D17" s="230">
        <f t="shared" si="0"/>
        <v>33.99</v>
      </c>
      <c r="E17" s="144">
        <f>'Price List'!C17+'Cost Source'!V17</f>
        <v>33.2896</v>
      </c>
      <c r="F17" s="245">
        <f t="shared" si="1"/>
        <v>33.99</v>
      </c>
      <c r="G17" s="146">
        <f>E17+'Cost Source'!N17</f>
        <v>33.2896</v>
      </c>
      <c r="H17" s="259">
        <f t="shared" si="2"/>
        <v>33.99</v>
      </c>
      <c r="I17" s="275"/>
      <c r="J17" s="294">
        <v>10</v>
      </c>
    </row>
    <row r="18" spans="1:24" x14ac:dyDescent="0.25">
      <c r="A18" s="36" t="s">
        <v>432</v>
      </c>
      <c r="B18" s="39" t="s">
        <v>316</v>
      </c>
      <c r="C18" s="35">
        <f>'Price List'!C18+'Cost Source'!I18+'Cost Source'!O18</f>
        <v>84.230400000000003</v>
      </c>
      <c r="D18" s="225">
        <f t="shared" si="0"/>
        <v>84.99</v>
      </c>
      <c r="E18" s="35">
        <f>'Price List'!C18+'Cost Source'!V18</f>
        <v>84.230400000000003</v>
      </c>
      <c r="F18" s="240">
        <f t="shared" si="1"/>
        <v>84.99</v>
      </c>
      <c r="G18" s="32">
        <f>E18+'Cost Source'!N18</f>
        <v>84.230400000000003</v>
      </c>
      <c r="H18" s="260">
        <f t="shared" si="2"/>
        <v>84.99</v>
      </c>
      <c r="I18" s="272"/>
      <c r="J18" s="295">
        <v>10</v>
      </c>
    </row>
    <row r="19" spans="1:24" x14ac:dyDescent="0.25">
      <c r="A19" t="s">
        <v>432</v>
      </c>
      <c r="B19" s="3" t="s">
        <v>317</v>
      </c>
      <c r="C19" s="1">
        <f>'Price List'!C19+'Cost Source'!I19+'Cost Source'!O19</f>
        <v>85.836800000000011</v>
      </c>
      <c r="D19" s="226">
        <f t="shared" si="0"/>
        <v>85.99</v>
      </c>
      <c r="E19" s="1">
        <f>'Price List'!C19+'Cost Source'!V19</f>
        <v>85.836800000000011</v>
      </c>
      <c r="F19" s="241">
        <f t="shared" si="1"/>
        <v>85.99</v>
      </c>
      <c r="G19" s="149">
        <f>E19+'Cost Source'!N19</f>
        <v>85.836800000000011</v>
      </c>
      <c r="H19" s="261">
        <f t="shared" si="2"/>
        <v>85.99</v>
      </c>
      <c r="J19" s="291">
        <v>10</v>
      </c>
    </row>
    <row r="20" spans="1:24" x14ac:dyDescent="0.25">
      <c r="A20" s="140" t="s">
        <v>432</v>
      </c>
      <c r="B20" s="141" t="s">
        <v>1215</v>
      </c>
      <c r="C20" s="146">
        <f>'Price List'!C20+'Cost Source'!I20+'Cost Source'!O20</f>
        <v>89.77600000000001</v>
      </c>
      <c r="D20" s="227">
        <f t="shared" si="0"/>
        <v>89.99</v>
      </c>
      <c r="E20" s="146">
        <f>'Price List'!C20+'Cost Source'!V20</f>
        <v>89.77600000000001</v>
      </c>
      <c r="F20" s="242">
        <f t="shared" si="1"/>
        <v>89.99</v>
      </c>
      <c r="G20" s="146">
        <f>E20+'Cost Source'!N20</f>
        <v>89.77600000000001</v>
      </c>
      <c r="H20" s="258">
        <f t="shared" si="2"/>
        <v>89.99</v>
      </c>
      <c r="I20" s="271"/>
      <c r="J20" s="290"/>
    </row>
    <row r="21" spans="1:24" x14ac:dyDescent="0.25">
      <c r="A21" s="159" t="s">
        <v>432</v>
      </c>
      <c r="B21" s="160" t="s">
        <v>318</v>
      </c>
      <c r="C21" s="150">
        <f>'Price List'!C21+'Cost Source'!I21+'Cost Source'!O21</f>
        <v>69.630400000000009</v>
      </c>
      <c r="D21" s="228">
        <f t="shared" si="0"/>
        <v>69.989999999999995</v>
      </c>
      <c r="E21" s="150">
        <f>'Price List'!C21+'Cost Source'!V21</f>
        <v>69.630400000000009</v>
      </c>
      <c r="F21" s="243">
        <f t="shared" si="1"/>
        <v>69.989999999999995</v>
      </c>
      <c r="G21" s="150">
        <f>E21+'Cost Source'!N21</f>
        <v>69.630400000000009</v>
      </c>
      <c r="H21" s="257">
        <f t="shared" si="2"/>
        <v>69.989999999999995</v>
      </c>
      <c r="I21" s="273"/>
      <c r="J21" s="289">
        <v>10</v>
      </c>
    </row>
    <row r="22" spans="1:24" x14ac:dyDescent="0.25">
      <c r="A22" s="26" t="s">
        <v>432</v>
      </c>
      <c r="B22" s="41" t="s">
        <v>319</v>
      </c>
      <c r="C22" s="27">
        <f>'Price List'!C22+'Cost Source'!I22+'Cost Source'!O22</f>
        <v>46.227199999999996</v>
      </c>
      <c r="D22" s="229">
        <f t="shared" si="0"/>
        <v>46.99</v>
      </c>
      <c r="E22" s="27">
        <f>'Price List'!C22+'Cost Source'!V22</f>
        <v>46.227199999999996</v>
      </c>
      <c r="F22" s="244">
        <f t="shared" si="1"/>
        <v>46.99</v>
      </c>
      <c r="G22" s="32">
        <f>E22+'Cost Source'!N22</f>
        <v>46.227199999999996</v>
      </c>
      <c r="H22" s="259">
        <f t="shared" si="2"/>
        <v>46.99</v>
      </c>
      <c r="I22" s="274"/>
      <c r="J22" s="294">
        <v>10</v>
      </c>
      <c r="X22" t="s">
        <v>184</v>
      </c>
    </row>
    <row r="23" spans="1:24" x14ac:dyDescent="0.25">
      <c r="A23" s="36" t="s">
        <v>432</v>
      </c>
      <c r="B23" s="39" t="s">
        <v>320</v>
      </c>
      <c r="C23" s="35">
        <f>'Price List'!C23+'Cost Source'!I23+'Cost Source'!O23</f>
        <v>77.795200000000008</v>
      </c>
      <c r="D23" s="225">
        <f t="shared" si="0"/>
        <v>77.989999999999995</v>
      </c>
      <c r="E23" s="35">
        <f>'Price List'!C23+'Cost Source'!V23</f>
        <v>77.795200000000008</v>
      </c>
      <c r="F23" s="240">
        <f t="shared" si="1"/>
        <v>77.989999999999995</v>
      </c>
      <c r="G23" s="32">
        <f>E23+'Cost Source'!N23</f>
        <v>77.795200000000008</v>
      </c>
      <c r="H23" s="260">
        <f t="shared" si="2"/>
        <v>77.989999999999995</v>
      </c>
      <c r="I23" s="272"/>
      <c r="J23" s="295">
        <v>10</v>
      </c>
    </row>
    <row r="24" spans="1:24" x14ac:dyDescent="0.25">
      <c r="A24" t="s">
        <v>432</v>
      </c>
      <c r="B24" s="3" t="s">
        <v>321</v>
      </c>
      <c r="C24" s="1">
        <f>'Price List'!C24+'Cost Source'!I24+'Cost Source'!O24</f>
        <v>69.331199999999995</v>
      </c>
      <c r="D24" s="226">
        <f t="shared" si="0"/>
        <v>69.989999999999995</v>
      </c>
      <c r="E24" s="1">
        <f>'Price List'!C24+'Cost Source'!V24</f>
        <v>69.331199999999995</v>
      </c>
      <c r="F24" s="241">
        <f t="shared" si="1"/>
        <v>69.989999999999995</v>
      </c>
      <c r="G24" s="32">
        <f>E24+'Cost Source'!N24</f>
        <v>69.331199999999995</v>
      </c>
      <c r="H24" s="258">
        <f t="shared" si="2"/>
        <v>69.989999999999995</v>
      </c>
      <c r="J24" s="290">
        <v>10</v>
      </c>
    </row>
    <row r="25" spans="1:24" x14ac:dyDescent="0.25">
      <c r="A25" s="30" t="s">
        <v>432</v>
      </c>
      <c r="B25" s="31" t="s">
        <v>322</v>
      </c>
      <c r="C25" s="32">
        <f>'Price List'!C25+'Cost Source'!I25+'Cost Source'!O25</f>
        <v>103.136</v>
      </c>
      <c r="D25" s="224">
        <f t="shared" si="0"/>
        <v>103.99</v>
      </c>
      <c r="E25" s="32">
        <f>'Price List'!C25+'Cost Source'!V25</f>
        <v>103.136</v>
      </c>
      <c r="F25" s="239">
        <f t="shared" si="1"/>
        <v>103.99</v>
      </c>
      <c r="G25" s="32">
        <f>E25+'Cost Source'!N25</f>
        <v>103.136</v>
      </c>
      <c r="H25" s="257">
        <f t="shared" si="2"/>
        <v>103.99</v>
      </c>
      <c r="I25" s="270"/>
      <c r="J25" s="289">
        <v>10</v>
      </c>
    </row>
    <row r="26" spans="1:24" x14ac:dyDescent="0.25">
      <c r="A26" s="26" t="s">
        <v>432</v>
      </c>
      <c r="B26" s="41" t="s">
        <v>323</v>
      </c>
      <c r="C26" s="27">
        <f>'Price List'!C26+'Cost Source'!I26+'Cost Source'!O26</f>
        <v>34.664000000000001</v>
      </c>
      <c r="D26" s="229">
        <f t="shared" si="0"/>
        <v>34.99</v>
      </c>
      <c r="E26" s="27">
        <f>'Price List'!C26+'Cost Source'!V26</f>
        <v>34.664000000000001</v>
      </c>
      <c r="F26" s="244">
        <f t="shared" si="1"/>
        <v>34.99</v>
      </c>
      <c r="G26" s="32">
        <f>E26+'Cost Source'!N26</f>
        <v>34.664000000000001</v>
      </c>
      <c r="H26" s="259">
        <f t="shared" si="2"/>
        <v>34.99</v>
      </c>
      <c r="I26" s="274"/>
      <c r="J26" s="294">
        <v>10</v>
      </c>
    </row>
    <row r="27" spans="1:24" x14ac:dyDescent="0.25">
      <c r="A27" s="36" t="s">
        <v>432</v>
      </c>
      <c r="B27" s="39" t="s">
        <v>324</v>
      </c>
      <c r="C27" s="35">
        <f>'Price List'!C27+'Cost Source'!I27+'Cost Source'!O27</f>
        <v>60.543999999999997</v>
      </c>
      <c r="D27" s="225">
        <f t="shared" si="0"/>
        <v>60.99</v>
      </c>
      <c r="E27" s="35">
        <f>'Price List'!C27+'Cost Source'!V27</f>
        <v>60.543999999999997</v>
      </c>
      <c r="F27" s="240">
        <f t="shared" si="1"/>
        <v>60.99</v>
      </c>
      <c r="G27" s="32">
        <f>E27+'Cost Source'!N27</f>
        <v>60.543999999999997</v>
      </c>
      <c r="H27" s="260">
        <f t="shared" si="2"/>
        <v>60.99</v>
      </c>
      <c r="I27" s="272"/>
      <c r="J27" s="295">
        <v>10</v>
      </c>
    </row>
    <row r="28" spans="1:24" x14ac:dyDescent="0.25">
      <c r="A28" t="s">
        <v>432</v>
      </c>
      <c r="B28" s="3" t="s">
        <v>325</v>
      </c>
      <c r="C28" s="1">
        <f>'Price List'!C28+'Cost Source'!I28+'Cost Source'!O28</f>
        <v>104.29600000000001</v>
      </c>
      <c r="D28" s="226">
        <f t="shared" si="0"/>
        <v>104.99</v>
      </c>
      <c r="E28" s="1">
        <f>'Price List'!C28+'Cost Source'!V28</f>
        <v>104.29600000000001</v>
      </c>
      <c r="F28" s="241">
        <f t="shared" si="1"/>
        <v>104.99</v>
      </c>
      <c r="G28" s="32">
        <f>E28+'Cost Source'!N28</f>
        <v>104.29600000000001</v>
      </c>
      <c r="H28" s="258">
        <f t="shared" si="2"/>
        <v>104.99</v>
      </c>
      <c r="J28" s="290">
        <v>15</v>
      </c>
    </row>
    <row r="29" spans="1:24" x14ac:dyDescent="0.25">
      <c r="A29" s="30" t="s">
        <v>432</v>
      </c>
      <c r="B29" s="31" t="s">
        <v>326</v>
      </c>
      <c r="C29" s="32">
        <f>'Price List'!C29+'Cost Source'!I29+'Cost Source'!O29</f>
        <v>178.33760000000001</v>
      </c>
      <c r="D29" s="224">
        <f t="shared" si="0"/>
        <v>178.99</v>
      </c>
      <c r="E29" s="32">
        <f>'Price List'!C29+'Cost Source'!V29</f>
        <v>178.33760000000001</v>
      </c>
      <c r="F29" s="239">
        <f t="shared" si="1"/>
        <v>178.99</v>
      </c>
      <c r="G29" s="32">
        <f>E29+'Cost Source'!N29</f>
        <v>178.33760000000001</v>
      </c>
      <c r="H29" s="257">
        <f t="shared" si="2"/>
        <v>178.99</v>
      </c>
      <c r="I29" s="270"/>
      <c r="J29" s="289">
        <v>50</v>
      </c>
    </row>
    <row r="30" spans="1:24" x14ac:dyDescent="0.25">
      <c r="A30" s="26" t="s">
        <v>432</v>
      </c>
      <c r="B30" s="41" t="s">
        <v>327</v>
      </c>
      <c r="C30" s="27">
        <f>'Price List'!C30+'Cost Source'!I30+'Cost Source'!O30</f>
        <v>148.44999999999999</v>
      </c>
      <c r="D30" s="229">
        <f t="shared" si="0"/>
        <v>148.99</v>
      </c>
      <c r="E30" s="27">
        <f>'Price List'!C30+'Cost Source'!V30</f>
        <v>148.44999999999999</v>
      </c>
      <c r="F30" s="244">
        <f t="shared" si="1"/>
        <v>148.99</v>
      </c>
      <c r="G30" s="32">
        <f>E30+'Cost Source'!N30</f>
        <v>148.44999999999999</v>
      </c>
      <c r="H30" s="259">
        <f t="shared" si="2"/>
        <v>148.99</v>
      </c>
      <c r="I30" s="274"/>
      <c r="J30" s="294"/>
    </row>
    <row r="31" spans="1:24" x14ac:dyDescent="0.25">
      <c r="A31" s="36" t="s">
        <v>432</v>
      </c>
      <c r="B31" s="39" t="s">
        <v>328</v>
      </c>
      <c r="C31" s="35">
        <f>'Price List'!C31+'Cost Source'!I31+'Cost Source'!O31</f>
        <v>64.14</v>
      </c>
      <c r="D31" s="225">
        <f t="shared" si="0"/>
        <v>64.989999999999995</v>
      </c>
      <c r="E31" s="35">
        <f>'Price List'!C31+'Cost Source'!V31</f>
        <v>64.14</v>
      </c>
      <c r="F31" s="240">
        <f t="shared" si="1"/>
        <v>64.989999999999995</v>
      </c>
      <c r="G31" s="32">
        <f>E31+'Cost Source'!N31</f>
        <v>64.14</v>
      </c>
      <c r="H31" s="260">
        <f t="shared" si="2"/>
        <v>64.989999999999995</v>
      </c>
      <c r="I31" s="272"/>
      <c r="J31" s="295"/>
    </row>
    <row r="32" spans="1:24" x14ac:dyDescent="0.25">
      <c r="A32" t="s">
        <v>432</v>
      </c>
      <c r="B32" s="3" t="s">
        <v>329</v>
      </c>
      <c r="C32" s="1">
        <f>'Price List'!C32+'Cost Source'!I32+'Cost Source'!O32</f>
        <v>85.38</v>
      </c>
      <c r="D32" s="226">
        <f t="shared" si="0"/>
        <v>85.99</v>
      </c>
      <c r="E32" s="1">
        <f>'Price List'!C32+'Cost Source'!V32</f>
        <v>85.38</v>
      </c>
      <c r="F32" s="241">
        <f t="shared" si="1"/>
        <v>85.99</v>
      </c>
      <c r="G32" s="32">
        <f>E32+'Cost Source'!N32</f>
        <v>85.38</v>
      </c>
      <c r="H32" s="258">
        <f t="shared" si="2"/>
        <v>85.99</v>
      </c>
      <c r="J32" s="290"/>
    </row>
    <row r="33" spans="1:10" x14ac:dyDescent="0.25">
      <c r="A33" s="30" t="s">
        <v>432</v>
      </c>
      <c r="B33" s="31" t="s">
        <v>330</v>
      </c>
      <c r="C33" s="32">
        <f>'Price List'!C33+'Cost Source'!I33+'Cost Source'!O33</f>
        <v>115.87</v>
      </c>
      <c r="D33" s="224">
        <f t="shared" si="0"/>
        <v>115.99</v>
      </c>
      <c r="E33" s="32">
        <f>'Price List'!C33+'Cost Source'!V33</f>
        <v>115.87</v>
      </c>
      <c r="F33" s="239">
        <f t="shared" si="1"/>
        <v>115.99</v>
      </c>
      <c r="G33" s="32">
        <f>E33+'Cost Source'!N33</f>
        <v>115.87</v>
      </c>
      <c r="H33" s="257">
        <f t="shared" si="2"/>
        <v>115.99</v>
      </c>
      <c r="I33" s="270"/>
      <c r="J33" s="289"/>
    </row>
    <row r="34" spans="1:10" x14ac:dyDescent="0.25">
      <c r="A34" s="147" t="s">
        <v>432</v>
      </c>
      <c r="B34" s="155" t="s">
        <v>331</v>
      </c>
      <c r="C34" s="144">
        <f>'Price List'!C34+'Cost Source'!I34+'Cost Source'!O34</f>
        <v>100.96</v>
      </c>
      <c r="D34" s="230">
        <f t="shared" si="0"/>
        <v>100.99</v>
      </c>
      <c r="E34" s="144">
        <f>'Price List'!C34+'Cost Source'!V34</f>
        <v>100.96</v>
      </c>
      <c r="F34" s="245">
        <f t="shared" si="1"/>
        <v>100.99</v>
      </c>
      <c r="G34" s="149">
        <f>E34+'Cost Source'!N34</f>
        <v>100.96</v>
      </c>
      <c r="H34" s="259">
        <f t="shared" si="2"/>
        <v>100.99</v>
      </c>
      <c r="I34" s="274"/>
      <c r="J34" s="294"/>
    </row>
    <row r="35" spans="1:10" x14ac:dyDescent="0.25">
      <c r="A35" s="26" t="s">
        <v>432</v>
      </c>
      <c r="B35" s="41" t="s">
        <v>963</v>
      </c>
      <c r="C35" s="27">
        <f>'Price List'!C35+'Cost Source'!I35+'Cost Source'!O35</f>
        <v>377.43</v>
      </c>
      <c r="D35" s="229">
        <f t="shared" si="0"/>
        <v>377.99</v>
      </c>
      <c r="E35" s="27">
        <f>'Price List'!C35+'Cost Source'!V35</f>
        <v>377.43</v>
      </c>
      <c r="F35" s="244">
        <f t="shared" si="1"/>
        <v>377.99</v>
      </c>
      <c r="G35" s="149">
        <f>E35+'Cost Source'!N35</f>
        <v>377.43</v>
      </c>
      <c r="H35" s="259">
        <f t="shared" si="2"/>
        <v>377.99</v>
      </c>
      <c r="I35" s="275"/>
      <c r="J35" s="295"/>
    </row>
    <row r="36" spans="1:10" x14ac:dyDescent="0.25">
      <c r="A36" s="36" t="s">
        <v>432</v>
      </c>
      <c r="B36" s="39" t="s">
        <v>332</v>
      </c>
      <c r="C36" s="35">
        <f>'Price List'!C36+'Cost Source'!I36</f>
        <v>104.4</v>
      </c>
      <c r="D36" s="225">
        <f t="shared" si="0"/>
        <v>104.99</v>
      </c>
      <c r="E36" s="35">
        <f>'Price List'!C36+'Cost Source'!V36</f>
        <v>104.4</v>
      </c>
      <c r="F36" s="240">
        <f t="shared" si="1"/>
        <v>104.99</v>
      </c>
      <c r="G36" s="32">
        <f>E36+'Cost Source'!N36</f>
        <v>104.4</v>
      </c>
      <c r="H36" s="260">
        <f t="shared" si="2"/>
        <v>104.99</v>
      </c>
      <c r="I36" s="272"/>
      <c r="J36" s="295"/>
    </row>
    <row r="37" spans="1:10" x14ac:dyDescent="0.25">
      <c r="A37" t="s">
        <v>432</v>
      </c>
      <c r="B37" s="3" t="s">
        <v>333</v>
      </c>
      <c r="C37" s="1">
        <f>'Price List'!C37+'Cost Source'!I37+'Cost Source'!O37</f>
        <v>108.9</v>
      </c>
      <c r="D37" s="226">
        <f t="shared" si="0"/>
        <v>108.99</v>
      </c>
      <c r="E37" s="1">
        <f>'Price List'!C37+'Cost Source'!V37</f>
        <v>108.9</v>
      </c>
      <c r="F37" s="241">
        <f t="shared" si="1"/>
        <v>108.99</v>
      </c>
      <c r="G37" s="32">
        <f>E37+'Cost Source'!N37</f>
        <v>108.9</v>
      </c>
      <c r="H37" s="258">
        <f t="shared" si="2"/>
        <v>108.99</v>
      </c>
      <c r="J37" s="290"/>
    </row>
    <row r="38" spans="1:10" x14ac:dyDescent="0.25">
      <c r="A38" s="30" t="s">
        <v>432</v>
      </c>
      <c r="B38" s="31" t="s">
        <v>334</v>
      </c>
      <c r="C38" s="32">
        <f>'Price List'!C38+'Cost Source'!I38+'Cost Source'!O38</f>
        <v>101.12</v>
      </c>
      <c r="D38" s="224">
        <f t="shared" si="0"/>
        <v>101.99</v>
      </c>
      <c r="E38" s="32">
        <f>'Price List'!C38+'Cost Source'!V38</f>
        <v>101.12</v>
      </c>
      <c r="F38" s="239">
        <f t="shared" si="1"/>
        <v>101.99</v>
      </c>
      <c r="G38" s="32">
        <f>E38+'Cost Source'!N38</f>
        <v>101.12</v>
      </c>
      <c r="H38" s="257">
        <f t="shared" si="2"/>
        <v>101.99</v>
      </c>
      <c r="I38" s="270"/>
      <c r="J38" s="289">
        <v>15</v>
      </c>
    </row>
    <row r="39" spans="1:10" x14ac:dyDescent="0.25">
      <c r="A39" s="26" t="s">
        <v>432</v>
      </c>
      <c r="B39" s="41" t="s">
        <v>335</v>
      </c>
      <c r="C39" s="27">
        <f>'Price List'!C39+'Cost Source'!I39+'Cost Source'!O39</f>
        <v>100.13</v>
      </c>
      <c r="D39" s="229">
        <f t="shared" si="0"/>
        <v>100.99</v>
      </c>
      <c r="E39" s="27">
        <f>'Price List'!C39+'Cost Source'!V39</f>
        <v>100.13</v>
      </c>
      <c r="F39" s="244">
        <f t="shared" si="1"/>
        <v>100.99</v>
      </c>
      <c r="G39" s="32">
        <f>E39+'Cost Source'!N39</f>
        <v>100.13</v>
      </c>
      <c r="H39" s="259">
        <f t="shared" si="2"/>
        <v>100.99</v>
      </c>
      <c r="I39" s="274"/>
      <c r="J39" s="294"/>
    </row>
    <row r="40" spans="1:10" x14ac:dyDescent="0.25">
      <c r="A40" s="36" t="s">
        <v>432</v>
      </c>
      <c r="B40" s="39" t="s">
        <v>336</v>
      </c>
      <c r="C40" s="35">
        <f>'Price List'!C40+'Cost Source'!I40+'Cost Source'!O40</f>
        <v>105.76</v>
      </c>
      <c r="D40" s="225">
        <f t="shared" si="0"/>
        <v>105.99</v>
      </c>
      <c r="E40" s="35">
        <f>'Price List'!C40+'Cost Source'!V40</f>
        <v>105.76</v>
      </c>
      <c r="F40" s="240">
        <f t="shared" si="1"/>
        <v>105.99</v>
      </c>
      <c r="G40" s="32">
        <f>E40+'Cost Source'!N40</f>
        <v>105.76</v>
      </c>
      <c r="H40" s="260">
        <f t="shared" si="2"/>
        <v>105.99</v>
      </c>
      <c r="I40" s="272"/>
      <c r="J40" s="295"/>
    </row>
    <row r="41" spans="1:10" x14ac:dyDescent="0.25">
      <c r="A41" t="s">
        <v>432</v>
      </c>
      <c r="B41" s="3" t="s">
        <v>337</v>
      </c>
      <c r="C41" s="1">
        <f>'Price List'!C41+'Cost Source'!I41+'Cost Source'!O41</f>
        <v>79.819999999999993</v>
      </c>
      <c r="D41" s="226">
        <f t="shared" si="0"/>
        <v>79.989999999999995</v>
      </c>
      <c r="E41" s="1">
        <f>'Price List'!C41+'Cost Source'!V41</f>
        <v>79.819999999999993</v>
      </c>
      <c r="F41" s="241">
        <f t="shared" si="1"/>
        <v>79.989999999999995</v>
      </c>
      <c r="G41" s="32">
        <f>E41+'Cost Source'!N41</f>
        <v>79.819999999999993</v>
      </c>
      <c r="H41" s="258">
        <f t="shared" si="2"/>
        <v>79.989999999999995</v>
      </c>
      <c r="J41" s="290"/>
    </row>
    <row r="42" spans="1:10" x14ac:dyDescent="0.25">
      <c r="A42" s="30" t="s">
        <v>432</v>
      </c>
      <c r="B42" s="31" t="s">
        <v>338</v>
      </c>
      <c r="C42" s="32">
        <f>'Price List'!C42+'Cost Source'!I42+'Cost Source'!O42</f>
        <v>120.7</v>
      </c>
      <c r="D42" s="224">
        <f t="shared" si="0"/>
        <v>120.99</v>
      </c>
      <c r="E42" s="32">
        <f>'Price List'!C42+'Cost Source'!V42</f>
        <v>120.7</v>
      </c>
      <c r="F42" s="239">
        <f t="shared" si="1"/>
        <v>120.99</v>
      </c>
      <c r="G42" s="32">
        <f>E42+'Cost Source'!N42</f>
        <v>120.7</v>
      </c>
      <c r="H42" s="257">
        <f t="shared" si="2"/>
        <v>120.99</v>
      </c>
      <c r="I42" s="270"/>
      <c r="J42" s="289">
        <v>15</v>
      </c>
    </row>
    <row r="43" spans="1:10" x14ac:dyDescent="0.25">
      <c r="A43" s="26" t="s">
        <v>432</v>
      </c>
      <c r="B43" s="41" t="s">
        <v>339</v>
      </c>
      <c r="C43" s="27">
        <f>'Price List'!C43+'Cost Source'!I43+'Cost Source'!O43</f>
        <v>97.14</v>
      </c>
      <c r="D43" s="229">
        <f t="shared" si="0"/>
        <v>97.99</v>
      </c>
      <c r="E43" s="27">
        <f>'Price List'!C43+'Cost Source'!V43</f>
        <v>97.14</v>
      </c>
      <c r="F43" s="244">
        <f t="shared" si="1"/>
        <v>97.99</v>
      </c>
      <c r="G43" s="32">
        <f>E43+'Cost Source'!N43</f>
        <v>97.14</v>
      </c>
      <c r="H43" s="259">
        <f t="shared" si="2"/>
        <v>97.99</v>
      </c>
      <c r="I43" s="274"/>
      <c r="J43" s="294">
        <v>15</v>
      </c>
    </row>
    <row r="44" spans="1:10" x14ac:dyDescent="0.25">
      <c r="A44" s="36" t="s">
        <v>432</v>
      </c>
      <c r="B44" s="39" t="s">
        <v>340</v>
      </c>
      <c r="C44" s="35">
        <f>'Price List'!C44+'Cost Source'!I44+'Cost Source'!O44</f>
        <v>103.63</v>
      </c>
      <c r="D44" s="225">
        <f t="shared" si="0"/>
        <v>103.99</v>
      </c>
      <c r="E44" s="35">
        <f>'Price List'!C44+'Cost Source'!V44</f>
        <v>103.63</v>
      </c>
      <c r="F44" s="240">
        <f t="shared" si="1"/>
        <v>103.99</v>
      </c>
      <c r="G44" s="32">
        <f>E44+'Cost Source'!N44</f>
        <v>103.63</v>
      </c>
      <c r="H44" s="260">
        <f t="shared" si="2"/>
        <v>103.99</v>
      </c>
      <c r="I44" s="272"/>
      <c r="J44" s="295">
        <v>15</v>
      </c>
    </row>
    <row r="45" spans="1:10" x14ac:dyDescent="0.25">
      <c r="A45" t="s">
        <v>432</v>
      </c>
      <c r="B45" s="3" t="s">
        <v>341</v>
      </c>
      <c r="C45" s="1">
        <f>'Price List'!C45+'Cost Source'!I45+'Cost Source'!O45</f>
        <v>70.400000000000006</v>
      </c>
      <c r="D45" s="226">
        <f t="shared" si="0"/>
        <v>70.989999999999995</v>
      </c>
      <c r="E45" s="1">
        <f>'Price List'!C45+'Cost Source'!V45</f>
        <v>70.400000000000006</v>
      </c>
      <c r="F45" s="241">
        <f t="shared" si="1"/>
        <v>70.989999999999995</v>
      </c>
      <c r="G45" s="32">
        <f>E45+'Cost Source'!N45</f>
        <v>70.400000000000006</v>
      </c>
      <c r="H45" s="258">
        <f t="shared" si="2"/>
        <v>70.989999999999995</v>
      </c>
      <c r="J45" s="290">
        <v>10</v>
      </c>
    </row>
    <row r="46" spans="1:10" x14ac:dyDescent="0.25">
      <c r="A46" s="30" t="s">
        <v>432</v>
      </c>
      <c r="B46" s="31" t="s">
        <v>342</v>
      </c>
      <c r="C46" s="32">
        <f>'Price List'!C46+'Cost Source'!I46+'Cost Source'!O46</f>
        <v>80.259999999999991</v>
      </c>
      <c r="D46" s="224">
        <f t="shared" si="0"/>
        <v>80.989999999999995</v>
      </c>
      <c r="E46" s="32">
        <f>'Price List'!C46+'Cost Source'!V46</f>
        <v>80.259999999999991</v>
      </c>
      <c r="F46" s="239">
        <f t="shared" si="1"/>
        <v>80.989999999999995</v>
      </c>
      <c r="G46" s="32">
        <f>E46+'Cost Source'!N46</f>
        <v>80.259999999999991</v>
      </c>
      <c r="H46" s="257">
        <f t="shared" si="2"/>
        <v>80.989999999999995</v>
      </c>
      <c r="I46" s="270"/>
      <c r="J46" s="289">
        <v>10</v>
      </c>
    </row>
    <row r="47" spans="1:10" x14ac:dyDescent="0.25">
      <c r="A47" s="147" t="s">
        <v>432</v>
      </c>
      <c r="B47" s="155" t="s">
        <v>343</v>
      </c>
      <c r="C47" s="144">
        <f>'Price List'!C47+'Cost Source'!I47+'Cost Source'!O47</f>
        <v>114.66</v>
      </c>
      <c r="D47" s="230">
        <f t="shared" si="0"/>
        <v>114.99</v>
      </c>
      <c r="E47" s="144">
        <f>'Price List'!C47+'Cost Source'!V47</f>
        <v>114.66</v>
      </c>
      <c r="F47" s="245">
        <f t="shared" si="1"/>
        <v>114.99</v>
      </c>
      <c r="G47" s="146">
        <f>E47+'Cost Source'!N47</f>
        <v>114.66</v>
      </c>
      <c r="H47" s="259">
        <f t="shared" si="2"/>
        <v>114.99</v>
      </c>
      <c r="I47" s="275"/>
      <c r="J47" s="294">
        <v>15</v>
      </c>
    </row>
    <row r="48" spans="1:10" x14ac:dyDescent="0.25">
      <c r="A48" s="36" t="s">
        <v>432</v>
      </c>
      <c r="B48" s="39" t="s">
        <v>344</v>
      </c>
      <c r="C48" s="35">
        <f>'Price List'!C48+'Cost Source'!I48+'Cost Source'!O48</f>
        <v>108.64</v>
      </c>
      <c r="D48" s="225">
        <f t="shared" si="0"/>
        <v>108.99</v>
      </c>
      <c r="E48" s="35">
        <f>'Price List'!C48+'Cost Source'!V48</f>
        <v>108.64</v>
      </c>
      <c r="F48" s="240">
        <f t="shared" si="1"/>
        <v>108.99</v>
      </c>
      <c r="G48" s="32">
        <f>E48+'Cost Source'!N48</f>
        <v>108.64</v>
      </c>
      <c r="H48" s="260">
        <f t="shared" si="2"/>
        <v>108.99</v>
      </c>
      <c r="I48" s="272"/>
      <c r="J48" s="295">
        <v>10</v>
      </c>
    </row>
    <row r="49" spans="1:10" x14ac:dyDescent="0.25">
      <c r="A49" s="158" t="s">
        <v>432</v>
      </c>
      <c r="B49" s="41" t="s">
        <v>592</v>
      </c>
      <c r="C49" s="35">
        <f>'Price List'!C49+'Cost Source'!I49+'Cost Source'!O49</f>
        <v>104.39</v>
      </c>
      <c r="D49" s="225">
        <f t="shared" si="0"/>
        <v>104.99</v>
      </c>
      <c r="E49" s="35">
        <f>'Price List'!C49+'Cost Source'!V49</f>
        <v>104.39</v>
      </c>
      <c r="F49" s="240">
        <f t="shared" si="1"/>
        <v>104.99</v>
      </c>
      <c r="G49" s="32">
        <f>E49+'Cost Source'!N49</f>
        <v>104.39</v>
      </c>
      <c r="H49" s="259">
        <f t="shared" si="2"/>
        <v>104.99</v>
      </c>
      <c r="I49" s="274"/>
      <c r="J49" s="294">
        <v>10</v>
      </c>
    </row>
    <row r="50" spans="1:10" x14ac:dyDescent="0.25">
      <c r="A50" s="140" t="s">
        <v>432</v>
      </c>
      <c r="B50" s="141" t="s">
        <v>345</v>
      </c>
      <c r="C50" s="146">
        <f>'Price List'!C50+'Cost Source'!I50+'Cost Source'!O50</f>
        <v>98.11</v>
      </c>
      <c r="D50" s="227">
        <f t="shared" si="0"/>
        <v>98.99</v>
      </c>
      <c r="E50" s="146">
        <f>'Price List'!C50+'Cost Source'!V50</f>
        <v>98.11</v>
      </c>
      <c r="F50" s="242">
        <f t="shared" si="1"/>
        <v>98.99</v>
      </c>
      <c r="G50" s="146">
        <f>E50+'Cost Source'!N50</f>
        <v>98.11</v>
      </c>
      <c r="H50" s="258">
        <f t="shared" si="2"/>
        <v>98.99</v>
      </c>
      <c r="I50" s="271"/>
      <c r="J50" s="289">
        <v>10</v>
      </c>
    </row>
    <row r="51" spans="1:10" x14ac:dyDescent="0.25">
      <c r="A51" s="140" t="s">
        <v>432</v>
      </c>
      <c r="B51" s="141" t="s">
        <v>346</v>
      </c>
      <c r="C51" s="146">
        <f>'Price List'!C51+'Cost Source'!I51+'Cost Source'!O51</f>
        <v>83.55</v>
      </c>
      <c r="D51" s="227">
        <f t="shared" si="0"/>
        <v>83.99</v>
      </c>
      <c r="E51" s="146">
        <f>'Price List'!C51+'Cost Source'!V51</f>
        <v>83.55</v>
      </c>
      <c r="F51" s="242">
        <f t="shared" si="1"/>
        <v>83.99</v>
      </c>
      <c r="G51" s="146">
        <f>E51+'Cost Source'!N51</f>
        <v>83.55</v>
      </c>
      <c r="H51" s="258">
        <f t="shared" si="2"/>
        <v>83.99</v>
      </c>
      <c r="I51" s="271"/>
      <c r="J51" s="290">
        <v>10</v>
      </c>
    </row>
    <row r="52" spans="1:10" x14ac:dyDescent="0.25">
      <c r="A52" s="26" t="s">
        <v>432</v>
      </c>
      <c r="B52" s="41" t="s">
        <v>347</v>
      </c>
      <c r="C52" s="27">
        <f>'Price List'!C52+'Cost Source'!I52+'Cost Source'!O52</f>
        <v>73.72</v>
      </c>
      <c r="D52" s="229">
        <f t="shared" si="0"/>
        <v>73.989999999999995</v>
      </c>
      <c r="E52" s="27">
        <f>'Price List'!C52+'Cost Source'!V52</f>
        <v>73.72</v>
      </c>
      <c r="F52" s="244">
        <f t="shared" si="1"/>
        <v>73.989999999999995</v>
      </c>
      <c r="G52" s="32">
        <f>E52+'Cost Source'!N52</f>
        <v>73.72</v>
      </c>
      <c r="H52" s="260">
        <f t="shared" si="2"/>
        <v>73.989999999999995</v>
      </c>
      <c r="I52" s="274"/>
      <c r="J52" s="295">
        <v>10</v>
      </c>
    </row>
    <row r="53" spans="1:10" x14ac:dyDescent="0.25">
      <c r="A53" s="36" t="s">
        <v>432</v>
      </c>
      <c r="B53" s="39" t="s">
        <v>348</v>
      </c>
      <c r="C53" s="35">
        <f>'Price List'!C53+'Cost Source'!I53+'Cost Source'!O53</f>
        <v>81.88</v>
      </c>
      <c r="D53" s="225">
        <f t="shared" si="0"/>
        <v>81.99</v>
      </c>
      <c r="E53" s="35">
        <f>'Price List'!C53+'Cost Source'!V53</f>
        <v>81.88</v>
      </c>
      <c r="F53" s="240">
        <f t="shared" si="1"/>
        <v>81.99</v>
      </c>
      <c r="G53" s="32">
        <f>E53+'Cost Source'!N53</f>
        <v>81.88</v>
      </c>
      <c r="H53" s="259">
        <f t="shared" si="2"/>
        <v>81.99</v>
      </c>
      <c r="I53" s="272"/>
      <c r="J53" s="294">
        <v>10</v>
      </c>
    </row>
    <row r="54" spans="1:10" x14ac:dyDescent="0.25">
      <c r="A54" t="s">
        <v>432</v>
      </c>
      <c r="B54" s="3" t="s">
        <v>349</v>
      </c>
      <c r="C54" s="1">
        <f>'Price List'!C54+'Cost Source'!I54+'Cost Source'!O54</f>
        <v>105.9</v>
      </c>
      <c r="D54" s="226">
        <f t="shared" si="0"/>
        <v>105.99</v>
      </c>
      <c r="E54" s="1">
        <f>'Price List'!C54+'Cost Source'!V54</f>
        <v>105.9</v>
      </c>
      <c r="F54" s="241">
        <f t="shared" si="1"/>
        <v>105.99</v>
      </c>
      <c r="G54" s="32">
        <f>E54+'Cost Source'!N54</f>
        <v>105.9</v>
      </c>
      <c r="H54" s="257">
        <f t="shared" si="2"/>
        <v>105.99</v>
      </c>
      <c r="J54" s="289">
        <v>10</v>
      </c>
    </row>
    <row r="55" spans="1:10" x14ac:dyDescent="0.25">
      <c r="A55" s="30" t="s">
        <v>432</v>
      </c>
      <c r="B55" s="31" t="s">
        <v>350</v>
      </c>
      <c r="C55" s="32">
        <f>'Price List'!C55+'Cost Source'!I55+'Cost Source'!O55</f>
        <v>81.47</v>
      </c>
      <c r="D55" s="224">
        <f t="shared" si="0"/>
        <v>81.99</v>
      </c>
      <c r="E55" s="32">
        <f>'Price List'!C55+'Cost Source'!V55</f>
        <v>81.47</v>
      </c>
      <c r="F55" s="239">
        <f t="shared" si="1"/>
        <v>81.99</v>
      </c>
      <c r="G55" s="32">
        <f>E55+'Cost Source'!N55</f>
        <v>81.47</v>
      </c>
      <c r="H55" s="258">
        <f t="shared" si="2"/>
        <v>81.99</v>
      </c>
      <c r="I55" s="270"/>
      <c r="J55" s="290">
        <v>10</v>
      </c>
    </row>
    <row r="56" spans="1:10" x14ac:dyDescent="0.25">
      <c r="A56" s="26" t="s">
        <v>432</v>
      </c>
      <c r="B56" s="41" t="s">
        <v>351</v>
      </c>
      <c r="C56" s="27">
        <f>'Price List'!C56+'Cost Source'!I56+'Cost Source'!O56</f>
        <v>113.65</v>
      </c>
      <c r="D56" s="229">
        <f t="shared" si="0"/>
        <v>113.99</v>
      </c>
      <c r="E56" s="27">
        <f>'Price List'!C56+'Cost Source'!V56</f>
        <v>113.65</v>
      </c>
      <c r="F56" s="244">
        <f t="shared" si="1"/>
        <v>113.99</v>
      </c>
      <c r="G56" s="32">
        <f>E56+'Cost Source'!N56</f>
        <v>113.65</v>
      </c>
      <c r="H56" s="260">
        <f t="shared" si="2"/>
        <v>113.99</v>
      </c>
      <c r="I56" s="274"/>
      <c r="J56" s="295">
        <v>10</v>
      </c>
    </row>
    <row r="57" spans="1:10" x14ac:dyDescent="0.25">
      <c r="A57" s="36" t="s">
        <v>432</v>
      </c>
      <c r="B57" s="39" t="s">
        <v>352</v>
      </c>
      <c r="C57" s="35">
        <f>'Price List'!C57+'Cost Source'!I57+'Cost Source'!O57</f>
        <v>94.2</v>
      </c>
      <c r="D57" s="225">
        <f t="shared" si="0"/>
        <v>94.99</v>
      </c>
      <c r="E57" s="35">
        <f>'Price List'!C57+'Cost Source'!V57</f>
        <v>94.2</v>
      </c>
      <c r="F57" s="240">
        <f t="shared" si="1"/>
        <v>94.99</v>
      </c>
      <c r="G57" s="32">
        <f>E57+'Cost Source'!N57</f>
        <v>94.2</v>
      </c>
      <c r="H57" s="259">
        <f t="shared" si="2"/>
        <v>94.99</v>
      </c>
      <c r="I57" s="272"/>
      <c r="J57" s="294">
        <v>10</v>
      </c>
    </row>
    <row r="58" spans="1:10" x14ac:dyDescent="0.25">
      <c r="A58" t="s">
        <v>432</v>
      </c>
      <c r="B58" s="3" t="s">
        <v>353</v>
      </c>
      <c r="C58" s="1">
        <f>'Price List'!C58+'Cost Source'!I58+'Cost Source'!O58</f>
        <v>91.62</v>
      </c>
      <c r="D58" s="226">
        <f t="shared" si="0"/>
        <v>91.99</v>
      </c>
      <c r="E58" s="1">
        <f>'Price List'!C58+'Cost Source'!V58</f>
        <v>91.62</v>
      </c>
      <c r="F58" s="241">
        <f t="shared" si="1"/>
        <v>91.99</v>
      </c>
      <c r="G58" s="32">
        <f>E58+'Cost Source'!N58</f>
        <v>91.62</v>
      </c>
      <c r="H58" s="257">
        <f t="shared" si="2"/>
        <v>91.99</v>
      </c>
      <c r="J58" s="289">
        <v>15</v>
      </c>
    </row>
    <row r="59" spans="1:10" x14ac:dyDescent="0.25">
      <c r="A59" s="30" t="s">
        <v>432</v>
      </c>
      <c r="B59" s="31" t="s">
        <v>354</v>
      </c>
      <c r="C59" s="32">
        <f>'Price List'!C59+'Cost Source'!I59+'Cost Source'!O59</f>
        <v>103.63</v>
      </c>
      <c r="D59" s="224">
        <f t="shared" si="0"/>
        <v>103.99</v>
      </c>
      <c r="E59" s="32">
        <f>'Price List'!C59+'Cost Source'!V59</f>
        <v>103.63</v>
      </c>
      <c r="F59" s="239">
        <f t="shared" si="1"/>
        <v>103.99</v>
      </c>
      <c r="G59" s="32">
        <f>E59+'Cost Source'!N59</f>
        <v>103.63</v>
      </c>
      <c r="H59" s="258">
        <f t="shared" si="2"/>
        <v>103.99</v>
      </c>
      <c r="I59" s="270"/>
      <c r="J59" s="290">
        <v>15</v>
      </c>
    </row>
    <row r="60" spans="1:10" x14ac:dyDescent="0.25">
      <c r="A60" s="26" t="s">
        <v>432</v>
      </c>
      <c r="B60" s="41" t="s">
        <v>355</v>
      </c>
      <c r="C60" s="27">
        <f>'Price List'!C60+'Cost Source'!I60+'Cost Source'!O60</f>
        <v>96.15</v>
      </c>
      <c r="D60" s="229">
        <f t="shared" si="0"/>
        <v>96.99</v>
      </c>
      <c r="E60" s="27">
        <f>'Price List'!C60+'Cost Source'!V60</f>
        <v>96.15</v>
      </c>
      <c r="F60" s="244">
        <f t="shared" si="1"/>
        <v>96.99</v>
      </c>
      <c r="G60" s="32">
        <f>E60+'Cost Source'!N60</f>
        <v>96.15</v>
      </c>
      <c r="H60" s="260">
        <f t="shared" si="2"/>
        <v>96.99</v>
      </c>
      <c r="I60" s="274"/>
      <c r="J60" s="295">
        <v>15</v>
      </c>
    </row>
    <row r="61" spans="1:10" x14ac:dyDescent="0.25">
      <c r="A61" s="36" t="s">
        <v>432</v>
      </c>
      <c r="B61" s="39" t="s">
        <v>356</v>
      </c>
      <c r="C61" s="35">
        <f>'Price List'!C61+'Cost Source'!I61+'Cost Source'!O61</f>
        <v>82.06</v>
      </c>
      <c r="D61" s="225">
        <f t="shared" si="0"/>
        <v>82.99</v>
      </c>
      <c r="E61" s="35">
        <f>'Price List'!C61+'Cost Source'!V61</f>
        <v>82.06</v>
      </c>
      <c r="F61" s="240">
        <f t="shared" si="1"/>
        <v>82.99</v>
      </c>
      <c r="G61" s="32">
        <f>E61+'Cost Source'!N61</f>
        <v>82.06</v>
      </c>
      <c r="H61" s="259">
        <f t="shared" si="2"/>
        <v>82.99</v>
      </c>
      <c r="I61" s="272"/>
      <c r="J61" s="294">
        <v>10</v>
      </c>
    </row>
    <row r="62" spans="1:10" x14ac:dyDescent="0.25">
      <c r="A62" s="147" t="s">
        <v>432</v>
      </c>
      <c r="B62" s="155" t="s">
        <v>1248</v>
      </c>
      <c r="C62" s="144">
        <f>'Price List'!C62+'Cost Source'!I62</f>
        <v>103.01</v>
      </c>
      <c r="D62" s="230">
        <f t="shared" si="0"/>
        <v>103.99</v>
      </c>
      <c r="E62" s="144">
        <f>'Price List'!C62+'Cost Source'!I62</f>
        <v>103.01</v>
      </c>
      <c r="F62" s="245">
        <f t="shared" si="1"/>
        <v>103.99</v>
      </c>
      <c r="G62" s="146">
        <f>'Price List'!C62+'Cost Source'!I62</f>
        <v>103.01</v>
      </c>
      <c r="H62" s="259">
        <f t="shared" si="2"/>
        <v>103.99</v>
      </c>
      <c r="I62" s="275"/>
      <c r="J62" s="294">
        <v>15</v>
      </c>
    </row>
    <row r="63" spans="1:10" x14ac:dyDescent="0.25">
      <c r="A63" t="s">
        <v>432</v>
      </c>
      <c r="B63" s="3" t="s">
        <v>357</v>
      </c>
      <c r="C63" s="1">
        <f>'Price List'!C63+'Cost Source'!I63+'Cost Source'!O63</f>
        <v>91.08</v>
      </c>
      <c r="D63" s="226">
        <f t="shared" si="0"/>
        <v>91.99</v>
      </c>
      <c r="E63" s="1">
        <f>'Price List'!C63+'Cost Source'!V63</f>
        <v>91.08</v>
      </c>
      <c r="F63" s="241">
        <f t="shared" si="1"/>
        <v>91.99</v>
      </c>
      <c r="G63" s="150">
        <f>E63+'Cost Source'!N63</f>
        <v>91.08</v>
      </c>
      <c r="H63" s="257">
        <f t="shared" si="2"/>
        <v>91.99</v>
      </c>
      <c r="J63" s="289">
        <v>10</v>
      </c>
    </row>
    <row r="64" spans="1:10" x14ac:dyDescent="0.25">
      <c r="A64" s="30" t="s">
        <v>432</v>
      </c>
      <c r="B64" s="31" t="s">
        <v>358</v>
      </c>
      <c r="C64" s="32">
        <f>'Price List'!C64+'Cost Source'!I64+'Cost Source'!O64</f>
        <v>89.89</v>
      </c>
      <c r="D64" s="224">
        <f t="shared" si="0"/>
        <v>89.99</v>
      </c>
      <c r="E64" s="32">
        <f>'Price List'!C64+'Cost Source'!V64</f>
        <v>89.89</v>
      </c>
      <c r="F64" s="239">
        <f t="shared" si="1"/>
        <v>89.99</v>
      </c>
      <c r="G64" s="32">
        <f>E64+'Cost Source'!N64</f>
        <v>89.89</v>
      </c>
      <c r="H64" s="258">
        <f t="shared" si="2"/>
        <v>89.99</v>
      </c>
      <c r="I64" s="270"/>
      <c r="J64" s="290">
        <v>10</v>
      </c>
    </row>
    <row r="65" spans="1:10" x14ac:dyDescent="0.25">
      <c r="A65" s="26" t="s">
        <v>432</v>
      </c>
      <c r="B65" s="41" t="s">
        <v>359</v>
      </c>
      <c r="C65" s="27">
        <f>'Price List'!C65+'Cost Source'!I65+'Cost Source'!O65</f>
        <v>93.2</v>
      </c>
      <c r="D65" s="229">
        <f t="shared" si="0"/>
        <v>93.99</v>
      </c>
      <c r="E65" s="27">
        <f>'Price List'!C65+'Cost Source'!V65</f>
        <v>93.2</v>
      </c>
      <c r="F65" s="244">
        <f t="shared" si="1"/>
        <v>93.99</v>
      </c>
      <c r="G65" s="32">
        <f>E65+'Cost Source'!N65</f>
        <v>93.2</v>
      </c>
      <c r="H65" s="260">
        <f t="shared" si="2"/>
        <v>93.99</v>
      </c>
      <c r="I65" s="274"/>
      <c r="J65" s="295">
        <v>10</v>
      </c>
    </row>
    <row r="66" spans="1:10" x14ac:dyDescent="0.25">
      <c r="A66" s="36" t="s">
        <v>432</v>
      </c>
      <c r="B66" s="39" t="s">
        <v>360</v>
      </c>
      <c r="C66" s="35">
        <f>'Price List'!C66+'Cost Source'!I66+'Cost Source'!O66</f>
        <v>87.97999999999999</v>
      </c>
      <c r="D66" s="225">
        <f t="shared" si="0"/>
        <v>87.99</v>
      </c>
      <c r="E66" s="35">
        <f>'Price List'!C66+'Cost Source'!V66</f>
        <v>87.97999999999999</v>
      </c>
      <c r="F66" s="240">
        <f t="shared" si="1"/>
        <v>87.99</v>
      </c>
      <c r="G66" s="32">
        <f>E66+'Cost Source'!N66</f>
        <v>87.97999999999999</v>
      </c>
      <c r="H66" s="259">
        <f t="shared" si="2"/>
        <v>87.99</v>
      </c>
      <c r="I66" s="272"/>
      <c r="J66" s="294">
        <v>10</v>
      </c>
    </row>
    <row r="67" spans="1:10" x14ac:dyDescent="0.25">
      <c r="A67" t="s">
        <v>432</v>
      </c>
      <c r="B67" s="3" t="s">
        <v>361</v>
      </c>
      <c r="C67" s="1">
        <f>'Price List'!C67+'Cost Source'!I67+'Cost Source'!O67</f>
        <v>86.509999999999991</v>
      </c>
      <c r="D67" s="226">
        <f t="shared" si="0"/>
        <v>86.99</v>
      </c>
      <c r="E67" s="1">
        <f>'Price List'!C67+'Cost Source'!V67</f>
        <v>86.509999999999991</v>
      </c>
      <c r="F67" s="241">
        <f t="shared" si="1"/>
        <v>86.99</v>
      </c>
      <c r="G67" s="32">
        <f>E67+'Cost Source'!N67</f>
        <v>86.509999999999991</v>
      </c>
      <c r="H67" s="257">
        <f t="shared" si="2"/>
        <v>86.99</v>
      </c>
      <c r="J67" s="289">
        <v>10</v>
      </c>
    </row>
    <row r="68" spans="1:10" x14ac:dyDescent="0.25">
      <c r="A68" s="30" t="s">
        <v>432</v>
      </c>
      <c r="B68" s="31" t="s">
        <v>362</v>
      </c>
      <c r="C68" s="32">
        <f>'Price List'!C68+'Cost Source'!I68+'Cost Source'!O68</f>
        <v>113.64</v>
      </c>
      <c r="D68" s="224">
        <f t="shared" si="0"/>
        <v>113.99</v>
      </c>
      <c r="E68" s="32">
        <f>'Price List'!C68+'Cost Source'!V68</f>
        <v>113.64</v>
      </c>
      <c r="F68" s="239">
        <f t="shared" si="1"/>
        <v>113.99</v>
      </c>
      <c r="G68" s="32">
        <f>E68+'Cost Source'!N68</f>
        <v>113.64</v>
      </c>
      <c r="H68" s="258">
        <f t="shared" si="2"/>
        <v>113.99</v>
      </c>
      <c r="I68" s="270"/>
      <c r="J68" s="290">
        <v>10</v>
      </c>
    </row>
    <row r="69" spans="1:10" x14ac:dyDescent="0.25">
      <c r="A69" s="26" t="s">
        <v>432</v>
      </c>
      <c r="B69" s="41" t="s">
        <v>363</v>
      </c>
      <c r="C69" s="27">
        <f>'Price List'!C69+'Cost Source'!I69+'Cost Source'!O69</f>
        <v>94.75</v>
      </c>
      <c r="D69" s="229">
        <f t="shared" si="0"/>
        <v>94.99</v>
      </c>
      <c r="E69" s="27">
        <f>'Price List'!C69+'Cost Source'!V69</f>
        <v>94.75</v>
      </c>
      <c r="F69" s="244">
        <f t="shared" si="1"/>
        <v>94.99</v>
      </c>
      <c r="G69" s="149">
        <f>E69+'Cost Source'!N69</f>
        <v>94.75</v>
      </c>
      <c r="H69" s="260">
        <f t="shared" si="2"/>
        <v>94.99</v>
      </c>
      <c r="I69" s="274"/>
      <c r="J69" s="295">
        <v>10</v>
      </c>
    </row>
    <row r="70" spans="1:10" x14ac:dyDescent="0.25">
      <c r="A70" s="147" t="s">
        <v>432</v>
      </c>
      <c r="B70" s="155" t="s">
        <v>593</v>
      </c>
      <c r="C70" s="144">
        <f>'Price List'!C70+'Cost Source'!I70+'Cost Source'!O70</f>
        <v>287.60000000000002</v>
      </c>
      <c r="D70" s="230">
        <f t="shared" si="0"/>
        <v>287.99</v>
      </c>
      <c r="E70" s="144">
        <f>'Price List'!C70+'Cost Source'!V70</f>
        <v>287.60000000000002</v>
      </c>
      <c r="F70" s="245">
        <f t="shared" si="1"/>
        <v>287.99</v>
      </c>
      <c r="G70" s="144">
        <f>E70+'Cost Source'!N70</f>
        <v>287.60000000000002</v>
      </c>
      <c r="H70" s="259">
        <f t="shared" si="2"/>
        <v>287.99</v>
      </c>
      <c r="I70" s="275"/>
      <c r="J70" s="294">
        <v>10</v>
      </c>
    </row>
    <row r="71" spans="1:10" x14ac:dyDescent="0.25">
      <c r="A71" s="152" t="s">
        <v>432</v>
      </c>
      <c r="B71" s="153" t="s">
        <v>364</v>
      </c>
      <c r="C71" s="154">
        <f>'Price List'!C71+'Cost Source'!I71+'Cost Source'!O71</f>
        <v>94.2</v>
      </c>
      <c r="D71" s="231">
        <f t="shared" si="0"/>
        <v>94.99</v>
      </c>
      <c r="E71" s="154">
        <f>'Price List'!C71+'Cost Source'!V71</f>
        <v>94.2</v>
      </c>
      <c r="F71" s="246">
        <f t="shared" si="1"/>
        <v>94.99</v>
      </c>
      <c r="G71" s="150">
        <f>E71+'Cost Source'!N71</f>
        <v>94.2</v>
      </c>
      <c r="H71" s="260">
        <f t="shared" si="2"/>
        <v>94.99</v>
      </c>
      <c r="I71" s="276"/>
      <c r="J71" s="295">
        <v>10</v>
      </c>
    </row>
    <row r="72" spans="1:10" x14ac:dyDescent="0.25">
      <c r="A72" t="s">
        <v>432</v>
      </c>
      <c r="B72" s="3" t="s">
        <v>365</v>
      </c>
      <c r="C72" s="1">
        <f>'Price List'!C72+'Cost Source'!I72+'Cost Source'!O72</f>
        <v>129.84</v>
      </c>
      <c r="D72" s="226">
        <f t="shared" si="0"/>
        <v>129.99</v>
      </c>
      <c r="E72" s="1">
        <f>'Price List'!C72+'Cost Source'!V72</f>
        <v>129.84</v>
      </c>
      <c r="F72" s="241">
        <f t="shared" si="1"/>
        <v>129.99</v>
      </c>
      <c r="G72" s="32">
        <f>E72+'Cost Source'!N72</f>
        <v>129.84</v>
      </c>
      <c r="H72" s="258">
        <f t="shared" si="2"/>
        <v>129.99</v>
      </c>
      <c r="J72" s="290">
        <v>10</v>
      </c>
    </row>
    <row r="73" spans="1:10" x14ac:dyDescent="0.25">
      <c r="A73" s="30" t="s">
        <v>432</v>
      </c>
      <c r="B73" s="31" t="s">
        <v>366</v>
      </c>
      <c r="C73" s="32">
        <f>'Price List'!C73+'Cost Source'!I73+'Cost Source'!O73</f>
        <v>254.28</v>
      </c>
      <c r="D73" s="224">
        <f t="shared" si="0"/>
        <v>254.99</v>
      </c>
      <c r="E73" s="32">
        <f>'Price List'!C73+'Cost Source'!V73</f>
        <v>254.28</v>
      </c>
      <c r="F73" s="239">
        <f t="shared" si="1"/>
        <v>254.99</v>
      </c>
      <c r="G73" s="32">
        <f>E73+'Cost Source'!N73</f>
        <v>254.28</v>
      </c>
      <c r="H73" s="257">
        <f t="shared" si="2"/>
        <v>254.99</v>
      </c>
      <c r="I73" s="270"/>
      <c r="J73" s="289">
        <v>10</v>
      </c>
    </row>
    <row r="74" spans="1:10" x14ac:dyDescent="0.25">
      <c r="A74" s="26" t="s">
        <v>432</v>
      </c>
      <c r="B74" s="41" t="s">
        <v>367</v>
      </c>
      <c r="C74" s="27">
        <f>'Price List'!C74+'Cost Source'!I74+'Cost Source'!O74</f>
        <v>167.5</v>
      </c>
      <c r="D74" s="229">
        <f t="shared" si="0"/>
        <v>167.99</v>
      </c>
      <c r="E74" s="27">
        <f>'Price List'!C74+'Cost Source'!V74</f>
        <v>167.5</v>
      </c>
      <c r="F74" s="244">
        <f t="shared" si="1"/>
        <v>167.99</v>
      </c>
      <c r="G74" s="35">
        <f>E74+'Cost Source'!N74</f>
        <v>167.5</v>
      </c>
      <c r="H74" s="259">
        <f t="shared" ref="H74:H122" si="3">ROUNDUP(G74,0)-0.01</f>
        <v>167.99</v>
      </c>
      <c r="I74" s="274"/>
      <c r="J74" s="294">
        <v>10</v>
      </c>
    </row>
    <row r="75" spans="1:10" x14ac:dyDescent="0.25">
      <c r="A75" s="36" t="s">
        <v>432</v>
      </c>
      <c r="B75" s="39" t="s">
        <v>368</v>
      </c>
      <c r="C75" s="35">
        <f>'Price List'!C75+'Cost Source'!I75+'Cost Source'!O75</f>
        <v>98.61</v>
      </c>
      <c r="D75" s="225">
        <f t="shared" si="0"/>
        <v>98.99</v>
      </c>
      <c r="E75" s="35">
        <f>'Price List'!C75+'Cost Source'!V75</f>
        <v>98.61</v>
      </c>
      <c r="F75" s="240">
        <f t="shared" si="1"/>
        <v>98.99</v>
      </c>
      <c r="G75" s="35">
        <f>E75+'Cost Source'!N75</f>
        <v>98.61</v>
      </c>
      <c r="H75" s="260">
        <f t="shared" si="3"/>
        <v>98.99</v>
      </c>
      <c r="I75" s="272"/>
      <c r="J75" s="295">
        <v>10</v>
      </c>
    </row>
    <row r="76" spans="1:10" x14ac:dyDescent="0.25">
      <c r="A76" t="s">
        <v>432</v>
      </c>
      <c r="B76" s="3" t="s">
        <v>369</v>
      </c>
      <c r="C76" s="1">
        <f>'Price List'!C76+'Cost Source'!I76+'Cost Source'!O76</f>
        <v>173.98</v>
      </c>
      <c r="D76" s="226">
        <f t="shared" si="0"/>
        <v>173.99</v>
      </c>
      <c r="E76" s="1">
        <f>'Price List'!C76+'Cost Source'!V76</f>
        <v>173.98</v>
      </c>
      <c r="F76" s="241">
        <f t="shared" si="1"/>
        <v>173.99</v>
      </c>
      <c r="G76" s="32">
        <f>E76+'Cost Source'!N76</f>
        <v>173.98</v>
      </c>
      <c r="H76" s="258">
        <f t="shared" si="3"/>
        <v>173.99</v>
      </c>
      <c r="J76" s="290">
        <v>10</v>
      </c>
    </row>
    <row r="77" spans="1:10" x14ac:dyDescent="0.25">
      <c r="A77" s="30" t="s">
        <v>432</v>
      </c>
      <c r="B77" s="31" t="s">
        <v>370</v>
      </c>
      <c r="C77" s="32">
        <f>'Price List'!C77+'Cost Source'!I77+'Cost Source'!O77</f>
        <v>228.59</v>
      </c>
      <c r="D77" s="224">
        <f t="shared" ref="D77:D137" si="4">ROUNDUP(C77,0)-0.01</f>
        <v>228.99</v>
      </c>
      <c r="E77" s="32">
        <f>'Price List'!C77+'Cost Source'!V77</f>
        <v>228.59</v>
      </c>
      <c r="F77" s="239">
        <f t="shared" ref="F77:F162" si="5">ROUNDUP(E77,0)-0.01</f>
        <v>228.99</v>
      </c>
      <c r="G77" s="32">
        <f>E77+'Cost Source'!N77</f>
        <v>228.59</v>
      </c>
      <c r="H77" s="258">
        <f t="shared" si="3"/>
        <v>228.99</v>
      </c>
      <c r="I77" s="270"/>
      <c r="J77" s="289">
        <v>10</v>
      </c>
    </row>
    <row r="78" spans="1:10" x14ac:dyDescent="0.25">
      <c r="A78" s="26" t="s">
        <v>432</v>
      </c>
      <c r="B78" s="41" t="s">
        <v>371</v>
      </c>
      <c r="C78" s="27">
        <f>'Price List'!C78+'Cost Source'!I78+'Cost Source'!O78</f>
        <v>159.98000000000002</v>
      </c>
      <c r="D78" s="229">
        <f t="shared" si="4"/>
        <v>159.99</v>
      </c>
      <c r="E78" s="27">
        <f>'Price List'!C78+'Cost Source'!V78</f>
        <v>159.98000000000002</v>
      </c>
      <c r="F78" s="244">
        <f t="shared" si="5"/>
        <v>159.99</v>
      </c>
      <c r="G78" s="35">
        <f>E78+'Cost Source'!N78</f>
        <v>159.98000000000002</v>
      </c>
      <c r="H78" s="260">
        <f t="shared" si="3"/>
        <v>159.99</v>
      </c>
      <c r="I78" s="274"/>
      <c r="J78" s="294">
        <v>15</v>
      </c>
    </row>
    <row r="79" spans="1:10" x14ac:dyDescent="0.25">
      <c r="A79" s="36" t="s">
        <v>432</v>
      </c>
      <c r="B79" s="39" t="s">
        <v>372</v>
      </c>
      <c r="C79" s="35">
        <f>'Price List'!C79+'Cost Source'!I79+'Cost Source'!O79</f>
        <v>119.67</v>
      </c>
      <c r="D79" s="225">
        <f t="shared" si="4"/>
        <v>119.99</v>
      </c>
      <c r="E79" s="35">
        <f>'Price List'!C79+'Cost Source'!V79</f>
        <v>119.67</v>
      </c>
      <c r="F79" s="240">
        <f t="shared" si="5"/>
        <v>119.99</v>
      </c>
      <c r="G79" s="35">
        <f>E79+'Cost Source'!N79</f>
        <v>119.67</v>
      </c>
      <c r="H79" s="259">
        <f t="shared" si="3"/>
        <v>119.99</v>
      </c>
      <c r="I79" s="272"/>
      <c r="J79" s="295">
        <v>15</v>
      </c>
    </row>
    <row r="80" spans="1:10" x14ac:dyDescent="0.25">
      <c r="A80" t="s">
        <v>432</v>
      </c>
      <c r="B80" s="3" t="s">
        <v>373</v>
      </c>
      <c r="C80" s="1">
        <f>'Price List'!C80+'Cost Source'!I80+'Cost Source'!O80</f>
        <v>158.12</v>
      </c>
      <c r="D80" s="226">
        <f t="shared" si="4"/>
        <v>158.99</v>
      </c>
      <c r="E80" s="1">
        <f>'Price List'!C80+'Cost Source'!V80</f>
        <v>158.12</v>
      </c>
      <c r="F80" s="241">
        <f t="shared" si="5"/>
        <v>158.99</v>
      </c>
      <c r="G80" s="32">
        <f>E80+'Cost Source'!N80</f>
        <v>158.12</v>
      </c>
      <c r="H80" s="257">
        <f t="shared" si="3"/>
        <v>158.99</v>
      </c>
      <c r="J80" s="290"/>
    </row>
    <row r="81" spans="1:11" x14ac:dyDescent="0.25">
      <c r="A81" s="30" t="s">
        <v>432</v>
      </c>
      <c r="B81" s="31" t="s">
        <v>374</v>
      </c>
      <c r="C81" s="32">
        <f>'Price List'!C81+'Cost Source'!I81+'Cost Source'!O81</f>
        <v>139.72</v>
      </c>
      <c r="D81" s="224">
        <f t="shared" si="4"/>
        <v>139.99</v>
      </c>
      <c r="E81" s="32">
        <f>'Price List'!C81+'Cost Source'!V81</f>
        <v>139.72</v>
      </c>
      <c r="F81" s="239">
        <f t="shared" si="5"/>
        <v>139.99</v>
      </c>
      <c r="G81" s="32">
        <f>E81+'Cost Source'!N81</f>
        <v>139.72</v>
      </c>
      <c r="H81" s="258">
        <f t="shared" si="3"/>
        <v>139.99</v>
      </c>
      <c r="I81" s="270"/>
      <c r="J81" s="289"/>
    </row>
    <row r="82" spans="1:11" x14ac:dyDescent="0.25">
      <c r="A82" s="26" t="s">
        <v>432</v>
      </c>
      <c r="B82" s="41" t="s">
        <v>375</v>
      </c>
      <c r="C82" s="27">
        <f>'Price List'!C82+'Cost Source'!I82+'Cost Source'!O82</f>
        <v>152.97</v>
      </c>
      <c r="D82" s="229">
        <f t="shared" si="4"/>
        <v>152.99</v>
      </c>
      <c r="E82" s="27">
        <f>'Price List'!C82+'Cost Source'!V82</f>
        <v>152.97</v>
      </c>
      <c r="F82" s="244">
        <f t="shared" si="5"/>
        <v>152.99</v>
      </c>
      <c r="G82" s="198">
        <f>E82+'Cost Source'!N82</f>
        <v>152.97</v>
      </c>
      <c r="H82" s="260">
        <f t="shared" si="3"/>
        <v>152.99</v>
      </c>
      <c r="I82" s="274"/>
      <c r="J82" s="290">
        <v>15</v>
      </c>
    </row>
    <row r="83" spans="1:11" x14ac:dyDescent="0.25">
      <c r="A83" s="158" t="s">
        <v>432</v>
      </c>
      <c r="B83" s="326" t="s">
        <v>732</v>
      </c>
      <c r="C83" s="198">
        <f>'Price List'!C83+'Cost Source'!I83</f>
        <v>313.38</v>
      </c>
      <c r="D83" s="238">
        <f t="shared" si="4"/>
        <v>313.99</v>
      </c>
      <c r="E83" s="198">
        <f>'Price List'!C83+'Cost Source'!V83</f>
        <v>313.38</v>
      </c>
      <c r="F83" s="254">
        <f t="shared" si="5"/>
        <v>313.99</v>
      </c>
      <c r="G83" s="198">
        <f>E83+'Cost Source'!N83</f>
        <v>313.38</v>
      </c>
      <c r="H83" s="269">
        <f t="shared" si="3"/>
        <v>313.99</v>
      </c>
      <c r="I83" s="280"/>
      <c r="J83" s="289">
        <v>15</v>
      </c>
    </row>
    <row r="84" spans="1:11" x14ac:dyDescent="0.25">
      <c r="A84" s="147" t="s">
        <v>432</v>
      </c>
      <c r="B84" s="155" t="s">
        <v>1232</v>
      </c>
      <c r="C84" s="144">
        <f>'Price List'!C84+'Cost Source'!I84</f>
        <v>153.42000000000002</v>
      </c>
      <c r="D84" s="238">
        <f t="shared" si="4"/>
        <v>153.99</v>
      </c>
      <c r="E84" s="198">
        <f>'Price List'!C84+'Cost Source'!I84</f>
        <v>153.42000000000002</v>
      </c>
      <c r="F84" s="254">
        <f t="shared" si="5"/>
        <v>153.99</v>
      </c>
      <c r="G84" s="198">
        <f>'Price List'!C84+'Cost Source'!I84</f>
        <v>153.42000000000002</v>
      </c>
      <c r="H84" s="269">
        <f t="shared" si="3"/>
        <v>153.99</v>
      </c>
      <c r="I84" s="275"/>
      <c r="J84" s="290">
        <v>25</v>
      </c>
      <c r="K84" t="s">
        <v>1029</v>
      </c>
    </row>
    <row r="85" spans="1:11" x14ac:dyDescent="0.25">
      <c r="A85" s="26" t="s">
        <v>432</v>
      </c>
      <c r="B85" s="41" t="s">
        <v>594</v>
      </c>
      <c r="C85" s="27">
        <f>'Price List'!C85+'Cost Source'!I85+'Cost Source'!O85</f>
        <v>89.47999999999999</v>
      </c>
      <c r="D85" s="230">
        <f t="shared" si="4"/>
        <v>89.99</v>
      </c>
      <c r="E85" s="144">
        <f>'Price List'!C85+'Cost Source'!V85</f>
        <v>89.47999999999999</v>
      </c>
      <c r="F85" s="245">
        <f t="shared" si="5"/>
        <v>89.99</v>
      </c>
      <c r="G85" s="144">
        <f>E85+'Cost Source'!N85</f>
        <v>89.47999999999999</v>
      </c>
      <c r="H85" s="259">
        <f t="shared" si="3"/>
        <v>89.99</v>
      </c>
      <c r="I85" s="274"/>
      <c r="J85" s="289">
        <v>10</v>
      </c>
    </row>
    <row r="86" spans="1:11" x14ac:dyDescent="0.25">
      <c r="A86" s="147" t="s">
        <v>432</v>
      </c>
      <c r="B86" s="155" t="s">
        <v>1110</v>
      </c>
      <c r="C86" s="144">
        <f>'Price List'!C86+'Cost Source'!I86</f>
        <v>177.56</v>
      </c>
      <c r="D86" s="230">
        <f t="shared" si="4"/>
        <v>177.99</v>
      </c>
      <c r="E86" s="144">
        <f>'Price List'!C86+'Cost Source'!I86</f>
        <v>177.56</v>
      </c>
      <c r="F86" s="245">
        <f t="shared" si="5"/>
        <v>177.99</v>
      </c>
      <c r="G86" s="144">
        <f>'Price List'!C86+'Cost Source'!I86</f>
        <v>177.56</v>
      </c>
      <c r="H86" s="259">
        <f t="shared" si="3"/>
        <v>177.99</v>
      </c>
      <c r="I86" s="275"/>
      <c r="J86" s="290"/>
    </row>
    <row r="87" spans="1:11" x14ac:dyDescent="0.25">
      <c r="A87" s="341" t="s">
        <v>432</v>
      </c>
      <c r="B87" s="160" t="s">
        <v>376</v>
      </c>
      <c r="C87" s="150">
        <f>'Price List'!C87+'Cost Source'!I87+'Cost Source'!O87</f>
        <v>100.74</v>
      </c>
      <c r="D87" s="228">
        <f t="shared" si="4"/>
        <v>100.99</v>
      </c>
      <c r="E87" s="150">
        <f>'Price List'!C87+'Cost Source'!V87</f>
        <v>100.74</v>
      </c>
      <c r="F87" s="243">
        <f t="shared" si="5"/>
        <v>100.99</v>
      </c>
      <c r="G87" s="150">
        <f>E87+'Cost Source'!N87</f>
        <v>100.74</v>
      </c>
      <c r="H87" s="285">
        <f t="shared" si="3"/>
        <v>100.99</v>
      </c>
      <c r="I87" s="276"/>
      <c r="J87" s="289"/>
    </row>
    <row r="88" spans="1:11" x14ac:dyDescent="0.25">
      <c r="A88" t="s">
        <v>432</v>
      </c>
      <c r="B88" s="3" t="s">
        <v>377</v>
      </c>
      <c r="C88" s="1">
        <f>'Price List'!C88+'Cost Source'!I88+'Cost Source'!O88</f>
        <v>69.44</v>
      </c>
      <c r="D88" s="226">
        <f t="shared" si="4"/>
        <v>69.989999999999995</v>
      </c>
      <c r="E88" s="1">
        <f>'Price List'!C88+'Cost Source'!V88</f>
        <v>69.44</v>
      </c>
      <c r="F88" s="241">
        <f t="shared" si="5"/>
        <v>69.989999999999995</v>
      </c>
      <c r="G88" s="32">
        <f>E88+'Cost Source'!N88</f>
        <v>69.44</v>
      </c>
      <c r="H88" s="257">
        <f t="shared" si="3"/>
        <v>69.989999999999995</v>
      </c>
      <c r="J88" s="290"/>
    </row>
    <row r="89" spans="1:11" x14ac:dyDescent="0.25">
      <c r="A89" s="30" t="s">
        <v>432</v>
      </c>
      <c r="B89" s="31" t="s">
        <v>378</v>
      </c>
      <c r="C89" s="32">
        <f>'Price List'!C89+'Cost Source'!I89+'Cost Source'!O89</f>
        <v>97.05</v>
      </c>
      <c r="D89" s="224">
        <f t="shared" si="4"/>
        <v>97.99</v>
      </c>
      <c r="E89" s="32">
        <f>'Price List'!C89+'Cost Source'!V89</f>
        <v>97.05</v>
      </c>
      <c r="F89" s="239">
        <f t="shared" si="5"/>
        <v>97.99</v>
      </c>
      <c r="G89" s="32">
        <f>E89+'Cost Source'!N89</f>
        <v>97.05</v>
      </c>
      <c r="H89" s="258">
        <f t="shared" si="3"/>
        <v>97.99</v>
      </c>
      <c r="I89" s="270"/>
      <c r="J89" s="289"/>
    </row>
    <row r="90" spans="1:11" x14ac:dyDescent="0.25">
      <c r="A90" s="26" t="s">
        <v>432</v>
      </c>
      <c r="B90" s="41" t="s">
        <v>379</v>
      </c>
      <c r="C90" s="27">
        <f>'Price List'!C90+'Cost Source'!I90+'Cost Source'!O90</f>
        <v>98.95</v>
      </c>
      <c r="D90" s="229">
        <f t="shared" si="4"/>
        <v>98.99</v>
      </c>
      <c r="E90" s="27">
        <f>'Price List'!C90+'Cost Source'!V90</f>
        <v>98.95</v>
      </c>
      <c r="F90" s="244">
        <f t="shared" si="5"/>
        <v>98.99</v>
      </c>
      <c r="G90" s="35">
        <f>E90+'Cost Source'!N90</f>
        <v>98.95</v>
      </c>
      <c r="H90" s="260">
        <f t="shared" si="3"/>
        <v>98.99</v>
      </c>
      <c r="I90" s="274"/>
      <c r="J90" s="290"/>
    </row>
    <row r="91" spans="1:11" x14ac:dyDescent="0.25">
      <c r="A91" s="36" t="s">
        <v>432</v>
      </c>
      <c r="B91" s="39" t="s">
        <v>380</v>
      </c>
      <c r="C91" s="35">
        <f>'Price List'!C91+'Cost Source'!I91+'Cost Source'!O91</f>
        <v>68.83</v>
      </c>
      <c r="D91" s="225">
        <f t="shared" si="4"/>
        <v>68.989999999999995</v>
      </c>
      <c r="E91" s="35">
        <f>'Price List'!C91+'Cost Source'!V91</f>
        <v>68.83</v>
      </c>
      <c r="F91" s="240">
        <f t="shared" si="5"/>
        <v>68.989999999999995</v>
      </c>
      <c r="G91" s="35">
        <f>E91+'Cost Source'!N91</f>
        <v>68.83</v>
      </c>
      <c r="H91" s="259">
        <f t="shared" si="3"/>
        <v>68.989999999999995</v>
      </c>
      <c r="I91" s="272"/>
      <c r="J91" s="289"/>
    </row>
    <row r="92" spans="1:11" x14ac:dyDescent="0.25">
      <c r="A92" t="s">
        <v>432</v>
      </c>
      <c r="B92" s="3" t="s">
        <v>381</v>
      </c>
      <c r="C92" s="1">
        <f>'Price List'!C92+'Cost Source'!I92+'Cost Source'!O92</f>
        <v>69.14</v>
      </c>
      <c r="D92" s="226">
        <f t="shared" si="4"/>
        <v>69.989999999999995</v>
      </c>
      <c r="E92" s="1">
        <f>'Price List'!C92+'Cost Source'!V92</f>
        <v>69.14</v>
      </c>
      <c r="F92" s="241">
        <f t="shared" si="5"/>
        <v>69.989999999999995</v>
      </c>
      <c r="G92" s="32">
        <f>E92+'Cost Source'!N92</f>
        <v>69.14</v>
      </c>
      <c r="H92" s="257">
        <f t="shared" si="3"/>
        <v>69.989999999999995</v>
      </c>
      <c r="J92" s="290"/>
    </row>
    <row r="93" spans="1:11" x14ac:dyDescent="0.25">
      <c r="A93" s="30" t="s">
        <v>432</v>
      </c>
      <c r="B93" s="31" t="s">
        <v>382</v>
      </c>
      <c r="C93" s="32">
        <f>'Price List'!C93+'Cost Source'!I93+'Cost Source'!O93</f>
        <v>79.150000000000006</v>
      </c>
      <c r="D93" s="224">
        <f t="shared" si="4"/>
        <v>79.989999999999995</v>
      </c>
      <c r="E93" s="32">
        <f>'Price List'!C93+'Cost Source'!V93</f>
        <v>79.150000000000006</v>
      </c>
      <c r="F93" s="239">
        <f t="shared" si="5"/>
        <v>79.989999999999995</v>
      </c>
      <c r="G93" s="32">
        <f>E93+'Cost Source'!N93</f>
        <v>79.150000000000006</v>
      </c>
      <c r="H93" s="258">
        <f t="shared" si="3"/>
        <v>79.989999999999995</v>
      </c>
      <c r="I93" s="270"/>
      <c r="J93" s="289"/>
    </row>
    <row r="94" spans="1:11" x14ac:dyDescent="0.25">
      <c r="A94" s="26" t="s">
        <v>432</v>
      </c>
      <c r="B94" s="41" t="s">
        <v>383</v>
      </c>
      <c r="C94" s="27">
        <f>'Price List'!C94+'Cost Source'!I94+'Cost Source'!O94</f>
        <v>104.55</v>
      </c>
      <c r="D94" s="229">
        <f t="shared" si="4"/>
        <v>104.99</v>
      </c>
      <c r="E94" s="27">
        <f>'Price List'!C94+'Cost Source'!V94</f>
        <v>104.55</v>
      </c>
      <c r="F94" s="244">
        <f t="shared" si="5"/>
        <v>104.99</v>
      </c>
      <c r="G94" s="35">
        <f>E94+'Cost Source'!N94</f>
        <v>104.55</v>
      </c>
      <c r="H94" s="260">
        <f t="shared" si="3"/>
        <v>104.99</v>
      </c>
      <c r="I94" s="274"/>
      <c r="J94" s="290"/>
    </row>
    <row r="95" spans="1:11" x14ac:dyDescent="0.25">
      <c r="A95" s="36" t="s">
        <v>432</v>
      </c>
      <c r="B95" s="39" t="s">
        <v>384</v>
      </c>
      <c r="C95" s="35">
        <f>'Price List'!C95+'Cost Source'!I95+'Cost Source'!O95</f>
        <v>98.44</v>
      </c>
      <c r="D95" s="225">
        <f t="shared" si="4"/>
        <v>98.99</v>
      </c>
      <c r="E95" s="35">
        <f>'Price List'!C95+'Cost Source'!V95</f>
        <v>98.44</v>
      </c>
      <c r="F95" s="240">
        <f t="shared" si="5"/>
        <v>98.99</v>
      </c>
      <c r="G95" s="35">
        <f>E95+'Cost Source'!N95</f>
        <v>98.44</v>
      </c>
      <c r="H95" s="259">
        <f t="shared" si="3"/>
        <v>98.99</v>
      </c>
      <c r="I95" s="272"/>
      <c r="J95" s="289"/>
    </row>
    <row r="96" spans="1:11" x14ac:dyDescent="0.25">
      <c r="A96" t="s">
        <v>432</v>
      </c>
      <c r="B96" s="3" t="s">
        <v>385</v>
      </c>
      <c r="C96" s="1">
        <f>'Price List'!C96+'Cost Source'!I96+'Cost Source'!O96</f>
        <v>95.5</v>
      </c>
      <c r="D96" s="226">
        <f t="shared" si="4"/>
        <v>95.99</v>
      </c>
      <c r="E96" s="1">
        <f>'Price List'!C96+'Cost Source'!V96</f>
        <v>95.5</v>
      </c>
      <c r="F96" s="241">
        <f t="shared" si="5"/>
        <v>95.99</v>
      </c>
      <c r="G96" s="32">
        <f>E96+'Cost Source'!N96</f>
        <v>95.5</v>
      </c>
      <c r="H96" s="257">
        <f t="shared" si="3"/>
        <v>95.99</v>
      </c>
      <c r="J96" s="290"/>
    </row>
    <row r="97" spans="1:10" x14ac:dyDescent="0.25">
      <c r="A97" s="30" t="s">
        <v>432</v>
      </c>
      <c r="B97" s="31" t="s">
        <v>386</v>
      </c>
      <c r="C97" s="32">
        <f>'Price List'!C97+'Cost Source'!I97+'Cost Source'!O97</f>
        <v>76.81</v>
      </c>
      <c r="D97" s="224">
        <f t="shared" si="4"/>
        <v>76.989999999999995</v>
      </c>
      <c r="E97" s="32">
        <f>'Price List'!C97+'Cost Source'!V97</f>
        <v>76.81</v>
      </c>
      <c r="F97" s="239">
        <f t="shared" si="5"/>
        <v>76.989999999999995</v>
      </c>
      <c r="G97" s="32">
        <f>E97+'Cost Source'!N97</f>
        <v>76.81</v>
      </c>
      <c r="H97" s="258">
        <f t="shared" si="3"/>
        <v>76.989999999999995</v>
      </c>
      <c r="I97" s="270"/>
      <c r="J97" s="289"/>
    </row>
    <row r="98" spans="1:10" x14ac:dyDescent="0.25">
      <c r="A98" s="26" t="s">
        <v>432</v>
      </c>
      <c r="B98" s="41" t="s">
        <v>387</v>
      </c>
      <c r="C98" s="27">
        <f>'Price List'!C98+'Cost Source'!I98+'Cost Source'!O98</f>
        <v>95.44</v>
      </c>
      <c r="D98" s="229">
        <f t="shared" si="4"/>
        <v>95.99</v>
      </c>
      <c r="E98" s="27">
        <f>'Price List'!C98+'Cost Source'!V98</f>
        <v>95.44</v>
      </c>
      <c r="F98" s="244">
        <f t="shared" si="5"/>
        <v>95.99</v>
      </c>
      <c r="G98" s="35">
        <f>E98+'Cost Source'!N98</f>
        <v>95.44</v>
      </c>
      <c r="H98" s="260">
        <f t="shared" si="3"/>
        <v>95.99</v>
      </c>
      <c r="I98" s="274"/>
      <c r="J98" s="290"/>
    </row>
    <row r="99" spans="1:10" x14ac:dyDescent="0.25">
      <c r="A99" s="36" t="s">
        <v>432</v>
      </c>
      <c r="B99" s="39" t="s">
        <v>388</v>
      </c>
      <c r="C99" s="35">
        <f>'Price List'!C99+'Cost Source'!I99+'Cost Source'!O99</f>
        <v>69.84</v>
      </c>
      <c r="D99" s="225">
        <f t="shared" si="4"/>
        <v>69.989999999999995</v>
      </c>
      <c r="E99" s="35">
        <f>'Price List'!C99+'Cost Source'!V99</f>
        <v>69.84</v>
      </c>
      <c r="F99" s="240">
        <f t="shared" si="5"/>
        <v>69.989999999999995</v>
      </c>
      <c r="G99" s="35">
        <f>E99+'Cost Source'!N99</f>
        <v>69.84</v>
      </c>
      <c r="H99" s="259">
        <f t="shared" si="3"/>
        <v>69.989999999999995</v>
      </c>
      <c r="I99" s="272"/>
      <c r="J99" s="289"/>
    </row>
    <row r="100" spans="1:10" x14ac:dyDescent="0.25">
      <c r="A100" t="s">
        <v>432</v>
      </c>
      <c r="B100" s="3" t="s">
        <v>389</v>
      </c>
      <c r="C100" s="1">
        <f>'Price List'!C100+'Cost Source'!I100+'Cost Source'!O100</f>
        <v>102.62</v>
      </c>
      <c r="D100" s="226">
        <f t="shared" si="4"/>
        <v>102.99</v>
      </c>
      <c r="E100" s="1">
        <f>'Price List'!C100+'Cost Source'!V100</f>
        <v>102.62</v>
      </c>
      <c r="F100" s="241">
        <f t="shared" si="5"/>
        <v>102.99</v>
      </c>
      <c r="G100" s="32">
        <f>E100+'Cost Source'!N100</f>
        <v>102.62</v>
      </c>
      <c r="H100" s="257">
        <f t="shared" si="3"/>
        <v>102.99</v>
      </c>
      <c r="J100" s="290"/>
    </row>
    <row r="101" spans="1:10" x14ac:dyDescent="0.25">
      <c r="A101" s="30" t="s">
        <v>432</v>
      </c>
      <c r="B101" s="31" t="s">
        <v>390</v>
      </c>
      <c r="C101" s="32">
        <f>'Price List'!C101+'Cost Source'!I101+'Cost Source'!O101</f>
        <v>39.409999999999997</v>
      </c>
      <c r="D101" s="224">
        <f t="shared" si="4"/>
        <v>39.99</v>
      </c>
      <c r="E101" s="32">
        <f>'Price List'!C101+'Cost Source'!V101</f>
        <v>39.409999999999997</v>
      </c>
      <c r="F101" s="239">
        <f t="shared" si="5"/>
        <v>39.99</v>
      </c>
      <c r="G101" s="32">
        <f>E101+'Cost Source'!N101</f>
        <v>39.409999999999997</v>
      </c>
      <c r="H101" s="258">
        <f t="shared" si="3"/>
        <v>39.99</v>
      </c>
      <c r="I101" s="270"/>
      <c r="J101" s="289"/>
    </row>
    <row r="102" spans="1:10" x14ac:dyDescent="0.25">
      <c r="A102" s="26" t="s">
        <v>432</v>
      </c>
      <c r="B102" s="41" t="s">
        <v>391</v>
      </c>
      <c r="C102" s="27">
        <f>'Price List'!C102+'Cost Source'!I102+'Cost Source'!O102</f>
        <v>91.93</v>
      </c>
      <c r="D102" s="229">
        <f t="shared" si="4"/>
        <v>91.99</v>
      </c>
      <c r="E102" s="27">
        <f>'Price List'!C102+'Cost Source'!V102</f>
        <v>91.93</v>
      </c>
      <c r="F102" s="244">
        <f t="shared" si="5"/>
        <v>91.99</v>
      </c>
      <c r="G102" s="35">
        <f>E102+'Cost Source'!N102</f>
        <v>91.93</v>
      </c>
      <c r="H102" s="260">
        <f t="shared" si="3"/>
        <v>91.99</v>
      </c>
      <c r="I102" s="274"/>
      <c r="J102" s="290"/>
    </row>
    <row r="103" spans="1:10" x14ac:dyDescent="0.25">
      <c r="A103" s="36" t="s">
        <v>432</v>
      </c>
      <c r="B103" s="39" t="s">
        <v>392</v>
      </c>
      <c r="C103" s="35">
        <f>'Price List'!C103+'Cost Source'!I103+'Cost Source'!O103</f>
        <v>72.72</v>
      </c>
      <c r="D103" s="225">
        <f t="shared" si="4"/>
        <v>72.989999999999995</v>
      </c>
      <c r="E103" s="35">
        <f>'Price List'!C103+'Cost Source'!V103</f>
        <v>72.72</v>
      </c>
      <c r="F103" s="240">
        <f t="shared" si="5"/>
        <v>72.989999999999995</v>
      </c>
      <c r="G103" s="35">
        <f>E103+'Cost Source'!N103</f>
        <v>72.72</v>
      </c>
      <c r="H103" s="259">
        <f t="shared" si="3"/>
        <v>72.989999999999995</v>
      </c>
      <c r="I103" s="272"/>
      <c r="J103" s="289"/>
    </row>
    <row r="104" spans="1:10" x14ac:dyDescent="0.25">
      <c r="A104" t="s">
        <v>432</v>
      </c>
      <c r="B104" s="3" t="s">
        <v>393</v>
      </c>
      <c r="C104" s="1">
        <f>'Price List'!C104+'Cost Source'!I104+'Cost Source'!O104</f>
        <v>80.78</v>
      </c>
      <c r="D104" s="226">
        <f t="shared" si="4"/>
        <v>80.989999999999995</v>
      </c>
      <c r="E104" s="1">
        <f>'Price List'!C104+'Cost Source'!V104</f>
        <v>80.78</v>
      </c>
      <c r="F104" s="241">
        <f t="shared" si="5"/>
        <v>80.989999999999995</v>
      </c>
      <c r="G104" s="32">
        <f>E104+'Cost Source'!N104</f>
        <v>80.78</v>
      </c>
      <c r="H104" s="257">
        <f t="shared" si="3"/>
        <v>80.989999999999995</v>
      </c>
      <c r="J104" s="290"/>
    </row>
    <row r="105" spans="1:10" x14ac:dyDescent="0.25">
      <c r="A105" s="30" t="s">
        <v>432</v>
      </c>
      <c r="B105" s="31" t="s">
        <v>394</v>
      </c>
      <c r="C105" s="32">
        <f>'Price List'!C105+'Cost Source'!I105+'Cost Source'!O105</f>
        <v>79.84</v>
      </c>
      <c r="D105" s="224">
        <f t="shared" si="4"/>
        <v>79.989999999999995</v>
      </c>
      <c r="E105" s="32">
        <f>'Price List'!C105+'Cost Source'!V105</f>
        <v>79.84</v>
      </c>
      <c r="F105" s="239">
        <f t="shared" si="5"/>
        <v>79.989999999999995</v>
      </c>
      <c r="G105" s="32">
        <f>E105+'Cost Source'!N105</f>
        <v>79.84</v>
      </c>
      <c r="H105" s="258">
        <f t="shared" si="3"/>
        <v>79.989999999999995</v>
      </c>
      <c r="I105" s="270"/>
      <c r="J105" s="289"/>
    </row>
    <row r="106" spans="1:10" x14ac:dyDescent="0.25">
      <c r="A106" s="26" t="s">
        <v>432</v>
      </c>
      <c r="B106" s="41" t="s">
        <v>395</v>
      </c>
      <c r="C106" s="27">
        <f>'Price List'!C106+'Cost Source'!I106+'Cost Source'!O106</f>
        <v>100.17</v>
      </c>
      <c r="D106" s="229">
        <f t="shared" si="4"/>
        <v>100.99</v>
      </c>
      <c r="E106" s="27">
        <f>'Price List'!C106+'Cost Source'!V106</f>
        <v>100.17</v>
      </c>
      <c r="F106" s="244">
        <f t="shared" si="5"/>
        <v>100.99</v>
      </c>
      <c r="G106" s="35">
        <f>E106+'Cost Source'!N106</f>
        <v>100.17</v>
      </c>
      <c r="H106" s="260">
        <f t="shared" si="3"/>
        <v>100.99</v>
      </c>
      <c r="I106" s="274"/>
      <c r="J106" s="290"/>
    </row>
    <row r="107" spans="1:10" x14ac:dyDescent="0.25">
      <c r="A107" s="36" t="s">
        <v>432</v>
      </c>
      <c r="B107" s="39" t="s">
        <v>396</v>
      </c>
      <c r="C107" s="35">
        <f>'Price List'!C107+'Cost Source'!I107+'Cost Source'!O107</f>
        <v>89.89</v>
      </c>
      <c r="D107" s="225">
        <f t="shared" si="4"/>
        <v>89.99</v>
      </c>
      <c r="E107" s="35">
        <f>'Price List'!C107+'Cost Source'!V107</f>
        <v>89.89</v>
      </c>
      <c r="F107" s="240">
        <f t="shared" si="5"/>
        <v>89.99</v>
      </c>
      <c r="G107" s="35">
        <f>E107+'Cost Source'!N107</f>
        <v>89.89</v>
      </c>
      <c r="H107" s="259">
        <f t="shared" si="3"/>
        <v>89.99</v>
      </c>
      <c r="I107" s="272"/>
      <c r="J107" s="289"/>
    </row>
    <row r="108" spans="1:10" x14ac:dyDescent="0.25">
      <c r="A108" t="s">
        <v>432</v>
      </c>
      <c r="B108" s="3" t="s">
        <v>397</v>
      </c>
      <c r="C108" s="1">
        <f>'Price List'!C108+'Cost Source'!I108+'Cost Source'!O108</f>
        <v>57.379999999999995</v>
      </c>
      <c r="D108" s="226">
        <f t="shared" si="4"/>
        <v>57.99</v>
      </c>
      <c r="E108" s="1">
        <f>'Price List'!C108+'Cost Source'!V108</f>
        <v>57.379999999999995</v>
      </c>
      <c r="F108" s="241">
        <f t="shared" si="5"/>
        <v>57.99</v>
      </c>
      <c r="G108" s="32">
        <f>E108+'Cost Source'!N108</f>
        <v>57.379999999999995</v>
      </c>
      <c r="H108" s="257">
        <f t="shared" si="3"/>
        <v>57.99</v>
      </c>
      <c r="J108" s="290"/>
    </row>
    <row r="109" spans="1:10" x14ac:dyDescent="0.25">
      <c r="A109" s="30" t="s">
        <v>432</v>
      </c>
      <c r="B109" s="31" t="s">
        <v>398</v>
      </c>
      <c r="C109" s="32">
        <f>'Price List'!C109+'Cost Source'!I109+'Cost Source'!O109</f>
        <v>79.09</v>
      </c>
      <c r="D109" s="224">
        <f t="shared" si="4"/>
        <v>79.989999999999995</v>
      </c>
      <c r="E109" s="32">
        <f>'Price List'!C109+'Cost Source'!V109</f>
        <v>79.09</v>
      </c>
      <c r="F109" s="239">
        <f t="shared" si="5"/>
        <v>79.989999999999995</v>
      </c>
      <c r="G109" s="32">
        <f>E109+'Cost Source'!N109</f>
        <v>79.09</v>
      </c>
      <c r="H109" s="258">
        <f t="shared" si="3"/>
        <v>79.989999999999995</v>
      </c>
      <c r="I109" s="270"/>
      <c r="J109" s="289"/>
    </row>
    <row r="110" spans="1:10" x14ac:dyDescent="0.25">
      <c r="A110" s="26" t="s">
        <v>432</v>
      </c>
      <c r="B110" s="41" t="s">
        <v>399</v>
      </c>
      <c r="C110" s="27">
        <f>'Price List'!C110+'Cost Source'!I110+'Cost Source'!O110</f>
        <v>107.03</v>
      </c>
      <c r="D110" s="229">
        <f t="shared" si="4"/>
        <v>107.99</v>
      </c>
      <c r="E110" s="27">
        <f>'Price List'!C110+'Cost Source'!V110</f>
        <v>107.03</v>
      </c>
      <c r="F110" s="244">
        <f t="shared" si="5"/>
        <v>107.99</v>
      </c>
      <c r="G110" s="35">
        <f>E110+'Cost Source'!N110</f>
        <v>107.03</v>
      </c>
      <c r="H110" s="260">
        <f t="shared" si="3"/>
        <v>107.99</v>
      </c>
      <c r="I110" s="274"/>
      <c r="J110" s="290"/>
    </row>
    <row r="111" spans="1:10" x14ac:dyDescent="0.25">
      <c r="A111" s="36" t="s">
        <v>432</v>
      </c>
      <c r="B111" s="39" t="s">
        <v>400</v>
      </c>
      <c r="C111" s="35">
        <f>'Price List'!C111+'Cost Source'!I111+'Cost Source'!O111</f>
        <v>80.02000000000001</v>
      </c>
      <c r="D111" s="225">
        <f t="shared" si="4"/>
        <v>80.989999999999995</v>
      </c>
      <c r="E111" s="35">
        <f>'Price List'!C111+'Cost Source'!V111</f>
        <v>80.02000000000001</v>
      </c>
      <c r="F111" s="240">
        <f t="shared" si="5"/>
        <v>80.989999999999995</v>
      </c>
      <c r="G111" s="35">
        <f>E111+'Cost Source'!N111</f>
        <v>80.02000000000001</v>
      </c>
      <c r="H111" s="259">
        <f t="shared" si="3"/>
        <v>80.989999999999995</v>
      </c>
      <c r="I111" s="272"/>
      <c r="J111" s="289"/>
    </row>
    <row r="112" spans="1:10" x14ac:dyDescent="0.25">
      <c r="A112" t="s">
        <v>432</v>
      </c>
      <c r="B112" s="3" t="s">
        <v>401</v>
      </c>
      <c r="C112" s="1">
        <f>'Price List'!C112+'Cost Source'!I112+'Cost Source'!O112</f>
        <v>92.759999999999991</v>
      </c>
      <c r="D112" s="226">
        <f t="shared" si="4"/>
        <v>92.99</v>
      </c>
      <c r="E112" s="1">
        <f>'Price List'!C112+'Cost Source'!V112</f>
        <v>92.759999999999991</v>
      </c>
      <c r="F112" s="241">
        <f t="shared" si="5"/>
        <v>92.99</v>
      </c>
      <c r="G112" s="32">
        <f>E112+'Cost Source'!N112</f>
        <v>92.759999999999991</v>
      </c>
      <c r="H112" s="257">
        <f t="shared" si="3"/>
        <v>92.99</v>
      </c>
      <c r="J112" s="290"/>
    </row>
    <row r="113" spans="1:10" x14ac:dyDescent="0.25">
      <c r="A113" s="30" t="s">
        <v>432</v>
      </c>
      <c r="B113" s="31" t="s">
        <v>402</v>
      </c>
      <c r="C113" s="32">
        <f>'Price List'!C113+'Cost Source'!I113+'Cost Source'!O113</f>
        <v>86.85</v>
      </c>
      <c r="D113" s="224">
        <f t="shared" si="4"/>
        <v>86.99</v>
      </c>
      <c r="E113" s="32">
        <f>'Price List'!C113+'Cost Source'!V113</f>
        <v>86.85</v>
      </c>
      <c r="F113" s="239">
        <f t="shared" si="5"/>
        <v>86.99</v>
      </c>
      <c r="G113" s="32">
        <f>E113+'Cost Source'!N113</f>
        <v>86.85</v>
      </c>
      <c r="H113" s="258">
        <f t="shared" si="3"/>
        <v>86.99</v>
      </c>
      <c r="I113" s="270"/>
      <c r="J113" s="289"/>
    </row>
    <row r="114" spans="1:10" x14ac:dyDescent="0.25">
      <c r="A114" s="156" t="s">
        <v>432</v>
      </c>
      <c r="B114" s="3" t="s">
        <v>595</v>
      </c>
      <c r="C114" s="32">
        <f>'Price List'!C114+'Cost Source'!I114+'Cost Source'!O114</f>
        <v>84.92</v>
      </c>
      <c r="D114" s="224">
        <f t="shared" si="4"/>
        <v>84.99</v>
      </c>
      <c r="E114" s="32">
        <f>'Price List'!C114+'Cost Source'!V114</f>
        <v>84.92</v>
      </c>
      <c r="F114" s="239">
        <f t="shared" si="5"/>
        <v>84.99</v>
      </c>
      <c r="G114" s="32">
        <f>E114+'Cost Source'!N114</f>
        <v>84.92</v>
      </c>
      <c r="H114" s="258">
        <f t="shared" si="3"/>
        <v>84.99</v>
      </c>
      <c r="J114" s="290"/>
    </row>
    <row r="115" spans="1:10" x14ac:dyDescent="0.25">
      <c r="A115" s="147" t="s">
        <v>432</v>
      </c>
      <c r="B115" s="155" t="s">
        <v>403</v>
      </c>
      <c r="C115" s="144">
        <f>'Price List'!C115+'Cost Source'!I115+'Cost Source'!O115</f>
        <v>86.3</v>
      </c>
      <c r="D115" s="230">
        <f t="shared" si="4"/>
        <v>86.99</v>
      </c>
      <c r="E115" s="144">
        <f>'Price List'!C115+'Cost Source'!V115</f>
        <v>86.3</v>
      </c>
      <c r="F115" s="245">
        <f t="shared" si="5"/>
        <v>86.99</v>
      </c>
      <c r="G115" s="144">
        <f>E115+'Cost Source'!N115</f>
        <v>86.3</v>
      </c>
      <c r="H115" s="259">
        <f t="shared" si="3"/>
        <v>86.99</v>
      </c>
      <c r="I115" s="275"/>
      <c r="J115" s="289"/>
    </row>
    <row r="116" spans="1:10" x14ac:dyDescent="0.25">
      <c r="A116" s="152" t="s">
        <v>432</v>
      </c>
      <c r="B116" s="153" t="s">
        <v>404</v>
      </c>
      <c r="C116" s="154">
        <f>'Price List'!C116+'Cost Source'!I116+'Cost Source'!O116</f>
        <v>90.490000000000009</v>
      </c>
      <c r="D116" s="231">
        <f t="shared" si="4"/>
        <v>90.99</v>
      </c>
      <c r="E116" s="154">
        <f>'Price List'!C116+'Cost Source'!V116</f>
        <v>90.490000000000009</v>
      </c>
      <c r="F116" s="246">
        <f t="shared" si="5"/>
        <v>90.99</v>
      </c>
      <c r="G116" s="154">
        <f>E116+'Cost Source'!N116</f>
        <v>90.490000000000009</v>
      </c>
      <c r="H116" s="260">
        <f t="shared" si="3"/>
        <v>90.99</v>
      </c>
      <c r="I116" s="276"/>
      <c r="J116" s="290"/>
    </row>
    <row r="117" spans="1:10" x14ac:dyDescent="0.25">
      <c r="A117" t="s">
        <v>432</v>
      </c>
      <c r="B117" s="3" t="s">
        <v>405</v>
      </c>
      <c r="C117" s="1">
        <f>'Price List'!C117+'Cost Source'!I117+'Cost Source'!O117</f>
        <v>86.35</v>
      </c>
      <c r="D117" s="226">
        <f t="shared" si="4"/>
        <v>86.99</v>
      </c>
      <c r="E117" s="1">
        <f>'Price List'!C117+'Cost Source'!V117</f>
        <v>86.35</v>
      </c>
      <c r="F117" s="241">
        <f t="shared" si="5"/>
        <v>86.99</v>
      </c>
      <c r="G117" s="32">
        <f>E117+'Cost Source'!N117</f>
        <v>86.35</v>
      </c>
      <c r="H117" s="258">
        <f t="shared" si="3"/>
        <v>86.99</v>
      </c>
      <c r="J117" s="289"/>
    </row>
    <row r="118" spans="1:10" x14ac:dyDescent="0.25">
      <c r="A118" s="30" t="s">
        <v>432</v>
      </c>
      <c r="B118" s="31" t="s">
        <v>406</v>
      </c>
      <c r="C118" s="32">
        <f>'Price List'!C118+'Cost Source'!I118+'Cost Source'!O118</f>
        <v>64.45</v>
      </c>
      <c r="D118" s="224">
        <f t="shared" si="4"/>
        <v>64.989999999999995</v>
      </c>
      <c r="E118" s="32">
        <f>'Price List'!C118+'Cost Source'!V118</f>
        <v>64.45</v>
      </c>
      <c r="F118" s="239">
        <f t="shared" si="5"/>
        <v>64.989999999999995</v>
      </c>
      <c r="G118" s="32">
        <f>E118+'Cost Source'!N118</f>
        <v>64.45</v>
      </c>
      <c r="H118" s="257">
        <f t="shared" si="3"/>
        <v>64.989999999999995</v>
      </c>
      <c r="I118" s="270"/>
      <c r="J118" s="290"/>
    </row>
    <row r="119" spans="1:10" x14ac:dyDescent="0.25">
      <c r="A119" s="26" t="s">
        <v>432</v>
      </c>
      <c r="B119" s="41" t="s">
        <v>407</v>
      </c>
      <c r="C119" s="27">
        <f>'Price List'!C119+'Cost Source'!I119+'Cost Source'!O119</f>
        <v>91.09</v>
      </c>
      <c r="D119" s="229">
        <f t="shared" si="4"/>
        <v>91.99</v>
      </c>
      <c r="E119" s="27">
        <f>'Price List'!C119+'Cost Source'!V119</f>
        <v>91.09</v>
      </c>
      <c r="F119" s="244">
        <f t="shared" si="5"/>
        <v>91.99</v>
      </c>
      <c r="G119" s="35">
        <f>E119+'Cost Source'!N119</f>
        <v>91.09</v>
      </c>
      <c r="H119" s="259">
        <f t="shared" si="3"/>
        <v>91.99</v>
      </c>
      <c r="I119" s="274"/>
      <c r="J119" s="289"/>
    </row>
    <row r="120" spans="1:10" x14ac:dyDescent="0.25">
      <c r="A120" s="36" t="s">
        <v>432</v>
      </c>
      <c r="B120" s="39" t="s">
        <v>408</v>
      </c>
      <c r="C120" s="35">
        <f>'Price List'!C120+'Cost Source'!I120+'Cost Source'!O120</f>
        <v>156.69</v>
      </c>
      <c r="D120" s="225">
        <f t="shared" si="4"/>
        <v>156.99</v>
      </c>
      <c r="E120" s="35">
        <f>'Price List'!C120+'Cost Source'!V120</f>
        <v>156.69</v>
      </c>
      <c r="F120" s="240">
        <f t="shared" si="5"/>
        <v>156.99</v>
      </c>
      <c r="G120" s="35">
        <f>E120+'Cost Source'!N120</f>
        <v>156.69</v>
      </c>
      <c r="H120" s="260">
        <f t="shared" si="3"/>
        <v>156.99</v>
      </c>
      <c r="I120" s="272"/>
      <c r="J120" s="290"/>
    </row>
    <row r="121" spans="1:10" x14ac:dyDescent="0.25">
      <c r="A121" t="s">
        <v>432</v>
      </c>
      <c r="B121" s="3" t="s">
        <v>409</v>
      </c>
      <c r="C121" s="1">
        <f>'Price List'!C121+'Cost Source'!I121+'Cost Source'!O121</f>
        <v>117.65</v>
      </c>
      <c r="D121" s="226">
        <f t="shared" si="4"/>
        <v>117.99</v>
      </c>
      <c r="E121" s="1">
        <f>'Price List'!C121+'Cost Source'!V121</f>
        <v>117.65</v>
      </c>
      <c r="F121" s="241">
        <f t="shared" si="5"/>
        <v>117.99</v>
      </c>
      <c r="G121" s="149">
        <f>E121+'Cost Source'!N121</f>
        <v>117.65</v>
      </c>
      <c r="H121" s="258">
        <f t="shared" si="3"/>
        <v>117.99</v>
      </c>
      <c r="J121" s="289"/>
    </row>
    <row r="122" spans="1:10" x14ac:dyDescent="0.25">
      <c r="A122" s="140" t="s">
        <v>432</v>
      </c>
      <c r="B122" s="141" t="s">
        <v>596</v>
      </c>
      <c r="C122" s="146">
        <f>'Price List'!C122+'Cost Source'!I122+'Cost Source'!O122</f>
        <v>210.83</v>
      </c>
      <c r="D122" s="227">
        <f t="shared" si="4"/>
        <v>210.99</v>
      </c>
      <c r="E122" s="146">
        <f>'Price List'!C122+'Cost Source'!V122</f>
        <v>210.83</v>
      </c>
      <c r="F122" s="242">
        <f t="shared" si="5"/>
        <v>210.99</v>
      </c>
      <c r="G122" s="149">
        <f>E122+'Cost Source'!N122</f>
        <v>210.83</v>
      </c>
      <c r="H122" s="258">
        <f t="shared" si="3"/>
        <v>210.99</v>
      </c>
      <c r="I122" s="271"/>
      <c r="J122" s="290"/>
    </row>
    <row r="123" spans="1:10" x14ac:dyDescent="0.25">
      <c r="A123" s="30" t="s">
        <v>433</v>
      </c>
      <c r="B123" s="31" t="s">
        <v>410</v>
      </c>
      <c r="C123" s="32">
        <f>'Price List'!C123+'Cost Source'!F123+'Cost Source'!O123</f>
        <v>68.819999999999993</v>
      </c>
      <c r="D123" s="224">
        <f t="shared" si="4"/>
        <v>68.989999999999995</v>
      </c>
      <c r="E123" s="32">
        <f>'Price List'!C123+'Cost Source'!S123</f>
        <v>60.82</v>
      </c>
      <c r="F123" s="239">
        <f t="shared" si="5"/>
        <v>60.99</v>
      </c>
      <c r="G123" s="32">
        <f>'Price List'!C123+'Cost Source'!N123</f>
        <v>60.82</v>
      </c>
      <c r="H123" s="262">
        <f t="shared" ref="H123:H137" si="6">ROUNDUP(G123,0)-0.01</f>
        <v>60.99</v>
      </c>
      <c r="I123" s="270"/>
      <c r="J123" s="290"/>
    </row>
    <row r="124" spans="1:10" x14ac:dyDescent="0.25">
      <c r="A124" s="26" t="s">
        <v>433</v>
      </c>
      <c r="B124" s="41" t="s">
        <v>411</v>
      </c>
      <c r="C124" s="27">
        <f>'Price List'!C124+'Cost Source'!F124+'Cost Source'!O124</f>
        <v>50.3</v>
      </c>
      <c r="D124" s="229">
        <f t="shared" si="4"/>
        <v>50.99</v>
      </c>
      <c r="E124" s="27">
        <f>'Price List'!C124+'Cost Source'!S124</f>
        <v>40.299999999999997</v>
      </c>
      <c r="F124" s="244">
        <f t="shared" si="5"/>
        <v>40.99</v>
      </c>
      <c r="G124" s="27">
        <f>'Price List'!C124+'Cost Source'!N124</f>
        <v>36.299999999999997</v>
      </c>
      <c r="H124" s="260">
        <f t="shared" si="6"/>
        <v>36.99</v>
      </c>
      <c r="I124" s="272">
        <f>'Cost Source'!P124</f>
        <v>0</v>
      </c>
      <c r="J124" s="295">
        <v>15</v>
      </c>
    </row>
    <row r="125" spans="1:10" x14ac:dyDescent="0.25">
      <c r="A125" s="36" t="s">
        <v>433</v>
      </c>
      <c r="B125" s="39" t="s">
        <v>412</v>
      </c>
      <c r="C125" s="35">
        <f>'Price List'!C125+'Cost Source'!F125+'Cost Source'!O125</f>
        <v>55.230000000000004</v>
      </c>
      <c r="D125" s="225">
        <f t="shared" si="4"/>
        <v>55.99</v>
      </c>
      <c r="E125" s="35">
        <f>'Price List'!C125+'Cost Source'!S125</f>
        <v>45.230000000000004</v>
      </c>
      <c r="F125" s="240">
        <f t="shared" si="5"/>
        <v>45.99</v>
      </c>
      <c r="G125" s="35">
        <f>'Price List'!C125+'Cost Source'!N125</f>
        <v>42.230000000000004</v>
      </c>
      <c r="H125" s="263">
        <f t="shared" si="6"/>
        <v>42.99</v>
      </c>
      <c r="I125" s="272">
        <f>'Cost Source'!P125</f>
        <v>0</v>
      </c>
      <c r="J125" s="294">
        <v>15</v>
      </c>
    </row>
    <row r="126" spans="1:10" x14ac:dyDescent="0.25">
      <c r="A126" t="s">
        <v>433</v>
      </c>
      <c r="B126" s="3" t="s">
        <v>413</v>
      </c>
      <c r="C126" s="1">
        <f>'Price List'!C126+'Cost Source'!F126+'Cost Source'!O126</f>
        <v>53.489999999999995</v>
      </c>
      <c r="D126" s="226">
        <f t="shared" si="4"/>
        <v>53.99</v>
      </c>
      <c r="E126" s="1">
        <f>'Price List'!C126+'Cost Source'!S126</f>
        <v>43.489999999999995</v>
      </c>
      <c r="F126" s="241">
        <f t="shared" si="5"/>
        <v>43.99</v>
      </c>
      <c r="G126" s="1">
        <f>'Price List'!C126+'Cost Source'!N126</f>
        <v>39.489999999999995</v>
      </c>
      <c r="H126" s="257">
        <f t="shared" si="6"/>
        <v>39.99</v>
      </c>
      <c r="I126" s="277">
        <f>'Cost Source'!P126</f>
        <v>0</v>
      </c>
      <c r="J126" s="289">
        <v>15</v>
      </c>
    </row>
    <row r="127" spans="1:10" x14ac:dyDescent="0.25">
      <c r="A127" s="30" t="s">
        <v>433</v>
      </c>
      <c r="B127" s="31" t="s">
        <v>414</v>
      </c>
      <c r="C127" s="32">
        <f>'Price List'!C127+'Cost Source'!F127+'Cost Source'!O127</f>
        <v>50.58</v>
      </c>
      <c r="D127" s="224">
        <f t="shared" si="4"/>
        <v>50.99</v>
      </c>
      <c r="E127" s="32">
        <f>'Price List'!C127+'Cost Source'!S127</f>
        <v>40.58</v>
      </c>
      <c r="F127" s="239">
        <f t="shared" si="5"/>
        <v>40.99</v>
      </c>
      <c r="G127" s="32">
        <f>'Price List'!C127+'Cost Source'!N127</f>
        <v>36.58</v>
      </c>
      <c r="H127" s="262">
        <f t="shared" si="6"/>
        <v>36.99</v>
      </c>
      <c r="I127" s="277">
        <f>'Cost Source'!P127</f>
        <v>0</v>
      </c>
      <c r="J127" s="290">
        <v>15</v>
      </c>
    </row>
    <row r="128" spans="1:10" x14ac:dyDescent="0.25">
      <c r="A128" s="26" t="s">
        <v>433</v>
      </c>
      <c r="B128" s="41" t="s">
        <v>415</v>
      </c>
      <c r="C128" s="27">
        <f>'Price List'!C128+'Cost Source'!F128+'Cost Source'!O128</f>
        <v>50.2</v>
      </c>
      <c r="D128" s="229">
        <f t="shared" si="4"/>
        <v>50.99</v>
      </c>
      <c r="E128" s="27">
        <f>'Price List'!C128+'Cost Source'!S128</f>
        <v>40.200000000000003</v>
      </c>
      <c r="F128" s="244">
        <f t="shared" si="5"/>
        <v>40.99</v>
      </c>
      <c r="G128" s="27">
        <f>'Price List'!C128+'Cost Source'!N128</f>
        <v>36.200000000000003</v>
      </c>
      <c r="H128" s="260">
        <f t="shared" si="6"/>
        <v>36.99</v>
      </c>
      <c r="I128" s="272">
        <f>'Cost Source'!P128</f>
        <v>0</v>
      </c>
      <c r="J128" s="295">
        <v>15</v>
      </c>
    </row>
    <row r="129" spans="1:10" x14ac:dyDescent="0.25">
      <c r="A129" s="36" t="s">
        <v>433</v>
      </c>
      <c r="B129" s="39" t="s">
        <v>416</v>
      </c>
      <c r="C129" s="35">
        <f>'Price List'!C129+'Cost Source'!F129+'Cost Source'!O129</f>
        <v>62.33</v>
      </c>
      <c r="D129" s="225">
        <f t="shared" si="4"/>
        <v>62.99</v>
      </c>
      <c r="E129" s="35">
        <f>'Price List'!C129+'Cost Source'!S129</f>
        <v>54.33</v>
      </c>
      <c r="F129" s="240">
        <f t="shared" si="5"/>
        <v>54.99</v>
      </c>
      <c r="G129" s="35">
        <f>'Price List'!C129+'Cost Source'!N129</f>
        <v>58.33</v>
      </c>
      <c r="H129" s="263">
        <f t="shared" si="6"/>
        <v>58.99</v>
      </c>
      <c r="I129" s="272">
        <f>'Cost Source'!P129</f>
        <v>0</v>
      </c>
      <c r="J129" s="294">
        <v>15</v>
      </c>
    </row>
    <row r="130" spans="1:10" x14ac:dyDescent="0.25">
      <c r="A130" s="26"/>
      <c r="B130" s="5">
        <v>84311</v>
      </c>
      <c r="C130" s="27"/>
      <c r="D130" s="229"/>
      <c r="E130" s="27"/>
      <c r="F130" s="244"/>
      <c r="G130" s="27"/>
      <c r="H130" s="260"/>
      <c r="I130" s="277">
        <f>'Cost Source'!P130</f>
        <v>0</v>
      </c>
      <c r="J130" s="289"/>
    </row>
    <row r="131" spans="1:10" x14ac:dyDescent="0.25">
      <c r="A131" s="147"/>
      <c r="B131" s="151">
        <v>84312</v>
      </c>
      <c r="C131" s="144"/>
      <c r="D131" s="230"/>
      <c r="E131" s="144"/>
      <c r="F131" s="245"/>
      <c r="G131" s="144"/>
      <c r="H131" s="259"/>
      <c r="I131" s="277">
        <f>'Cost Source'!P131</f>
        <v>0</v>
      </c>
      <c r="J131" s="290"/>
    </row>
    <row r="132" spans="1:10" x14ac:dyDescent="0.25">
      <c r="A132" s="26" t="s">
        <v>434</v>
      </c>
      <c r="B132" s="41" t="s">
        <v>597</v>
      </c>
      <c r="C132" s="27">
        <f>'Price List'!C132+'Cost Source'!G132+'Cost Source'!O132</f>
        <v>39.31</v>
      </c>
      <c r="D132" s="230">
        <f t="shared" si="4"/>
        <v>39.99</v>
      </c>
      <c r="E132" s="27"/>
      <c r="F132" s="244"/>
      <c r="G132" s="27">
        <f>'Price List'!C132+'Cost Source'!N132</f>
        <v>17.310000000000002</v>
      </c>
      <c r="H132" s="259">
        <f t="shared" si="6"/>
        <v>17.989999999999998</v>
      </c>
      <c r="I132" s="272">
        <f>'Cost Source'!P132</f>
        <v>-5</v>
      </c>
      <c r="J132" s="290"/>
    </row>
    <row r="133" spans="1:10" x14ac:dyDescent="0.25">
      <c r="A133" s="147" t="s">
        <v>434</v>
      </c>
      <c r="B133" s="155" t="s">
        <v>417</v>
      </c>
      <c r="C133" s="144">
        <f>'Price List'!C133+'Cost Source'!F133+'Cost Source'!O133</f>
        <v>39.81</v>
      </c>
      <c r="D133" s="230">
        <f t="shared" si="4"/>
        <v>39.99</v>
      </c>
      <c r="E133" s="144">
        <f>'Price List'!C133+'Cost Source'!F133</f>
        <v>29.810000000000002</v>
      </c>
      <c r="F133" s="245">
        <f t="shared" si="5"/>
        <v>29.99</v>
      </c>
      <c r="G133" s="144">
        <f>'Price List'!C133+'Cost Source'!N133</f>
        <v>23.810000000000002</v>
      </c>
      <c r="H133" s="259">
        <f t="shared" si="6"/>
        <v>23.99</v>
      </c>
      <c r="I133" s="272">
        <f>'Cost Source'!P133</f>
        <v>0</v>
      </c>
      <c r="J133" s="295">
        <v>10</v>
      </c>
    </row>
    <row r="134" spans="1:10" x14ac:dyDescent="0.25">
      <c r="B134" s="3" t="s">
        <v>599</v>
      </c>
      <c r="C134" s="1"/>
      <c r="D134" s="226"/>
      <c r="E134" s="1"/>
      <c r="F134" s="241"/>
      <c r="G134" s="1"/>
      <c r="H134" s="257"/>
      <c r="I134" s="277">
        <f>'Cost Source'!P134</f>
        <v>0</v>
      </c>
      <c r="J134" s="290">
        <v>15</v>
      </c>
    </row>
    <row r="135" spans="1:10" x14ac:dyDescent="0.25">
      <c r="A135" s="30" t="s">
        <v>434</v>
      </c>
      <c r="B135" s="31" t="s">
        <v>418</v>
      </c>
      <c r="C135" s="32">
        <f>'Price List'!C135+'Cost Source'!F135+'Cost Source'!O135</f>
        <v>40.93</v>
      </c>
      <c r="D135" s="224">
        <f t="shared" si="4"/>
        <v>40.99</v>
      </c>
      <c r="E135" s="32">
        <f>'Price List'!C135+'Cost Source'!F135</f>
        <v>30.93</v>
      </c>
      <c r="F135" s="239">
        <f t="shared" si="5"/>
        <v>30.99</v>
      </c>
      <c r="G135" s="32">
        <f>'Price List'!C135+'Cost Source'!N135</f>
        <v>24.93</v>
      </c>
      <c r="H135" s="262">
        <f t="shared" si="6"/>
        <v>24.99</v>
      </c>
      <c r="I135" s="277">
        <f>'Cost Source'!P135</f>
        <v>0</v>
      </c>
      <c r="J135" s="289">
        <v>15</v>
      </c>
    </row>
    <row r="136" spans="1:10" x14ac:dyDescent="0.25">
      <c r="A136" s="147" t="s">
        <v>434</v>
      </c>
      <c r="B136" s="155" t="s">
        <v>419</v>
      </c>
      <c r="C136" s="144">
        <f>'Price List'!C136+'Cost Source'!F136+'Cost Source'!O136</f>
        <v>47.93</v>
      </c>
      <c r="D136" s="230">
        <f t="shared" si="4"/>
        <v>47.99</v>
      </c>
      <c r="E136" s="144">
        <f>'Price List'!C136+'Cost Source'!F136</f>
        <v>37.93</v>
      </c>
      <c r="F136" s="245">
        <f t="shared" si="5"/>
        <v>37.99</v>
      </c>
      <c r="G136" s="144">
        <f>'Price List'!C136+'Cost Source'!N136</f>
        <v>31.93</v>
      </c>
      <c r="H136" s="259">
        <f t="shared" si="6"/>
        <v>31.99</v>
      </c>
      <c r="I136" s="277">
        <f>'Cost Source'!P136</f>
        <v>0</v>
      </c>
      <c r="J136" s="290">
        <v>15</v>
      </c>
    </row>
    <row r="137" spans="1:10" x14ac:dyDescent="0.25">
      <c r="A137" s="26"/>
      <c r="B137" s="41" t="s">
        <v>600</v>
      </c>
      <c r="C137" s="144">
        <f>'Price List'!C137+'Cost Source'!F137+'Cost Source'!O137</f>
        <v>69.41</v>
      </c>
      <c r="D137" s="230">
        <f t="shared" si="4"/>
        <v>69.989999999999995</v>
      </c>
      <c r="E137" s="144">
        <f>'Price List'!C137+'Cost Source'!F137</f>
        <v>54.41</v>
      </c>
      <c r="F137" s="245">
        <f t="shared" si="5"/>
        <v>54.99</v>
      </c>
      <c r="G137" s="144">
        <f>'Price List'!C137+'Cost Source'!N137</f>
        <v>53.41</v>
      </c>
      <c r="H137" s="259">
        <f t="shared" si="6"/>
        <v>53.99</v>
      </c>
      <c r="I137" s="277">
        <f>'Cost Source'!P137</f>
        <v>0</v>
      </c>
      <c r="J137" s="289">
        <v>15</v>
      </c>
    </row>
    <row r="138" spans="1:10" x14ac:dyDescent="0.25">
      <c r="A138" s="147" t="s">
        <v>434</v>
      </c>
      <c r="B138" s="155" t="s">
        <v>1285</v>
      </c>
      <c r="C138" s="144"/>
      <c r="D138" s="230"/>
      <c r="E138" s="144"/>
      <c r="F138" s="245"/>
      <c r="G138" s="144"/>
      <c r="H138" s="259"/>
      <c r="I138" s="279"/>
      <c r="J138" s="290"/>
    </row>
    <row r="139" spans="1:10" x14ac:dyDescent="0.25">
      <c r="A139" s="147"/>
      <c r="B139" s="141" t="s">
        <v>601</v>
      </c>
      <c r="C139" s="144"/>
      <c r="D139" s="230"/>
      <c r="E139" s="144"/>
      <c r="F139" s="245"/>
      <c r="G139" s="144"/>
      <c r="H139" s="259"/>
      <c r="I139" s="277">
        <f>'Cost Source'!P139</f>
        <v>0</v>
      </c>
      <c r="J139" s="290"/>
    </row>
    <row r="140" spans="1:10" x14ac:dyDescent="0.25">
      <c r="A140" s="26" t="s">
        <v>430</v>
      </c>
      <c r="B140" s="3" t="s">
        <v>602</v>
      </c>
      <c r="C140" s="27">
        <f>'Price List'!C140+'Cost Source'!J140+'Cost Source'!O140</f>
        <v>116.37</v>
      </c>
      <c r="D140" s="225">
        <f t="shared" ref="D140" si="7">ROUNDUP(C140,0)-0.01</f>
        <v>116.99</v>
      </c>
      <c r="E140" s="27">
        <f>'Price List'!C140+'Cost Source'!W140</f>
        <v>116.37</v>
      </c>
      <c r="F140" s="240">
        <f t="shared" si="5"/>
        <v>116.99</v>
      </c>
      <c r="G140" s="35">
        <f t="shared" ref="G140" si="8">E140</f>
        <v>116.37</v>
      </c>
      <c r="H140" s="263">
        <f t="shared" ref="H140:H170" si="9">ROUNDUP(G140,0)-0.01</f>
        <v>116.99</v>
      </c>
      <c r="I140" s="272">
        <f>'Cost Source'!P140</f>
        <v>0</v>
      </c>
      <c r="J140" s="295">
        <v>10</v>
      </c>
    </row>
    <row r="141" spans="1:10" x14ac:dyDescent="0.25">
      <c r="A141" s="147"/>
      <c r="B141" s="141" t="s">
        <v>603</v>
      </c>
      <c r="C141" s="144"/>
      <c r="D141" s="225"/>
      <c r="E141" s="144"/>
      <c r="F141" s="240"/>
      <c r="G141" s="35"/>
      <c r="H141" s="263"/>
      <c r="I141" s="277">
        <f>'Cost Source'!P141</f>
        <v>0</v>
      </c>
      <c r="J141" s="290"/>
    </row>
    <row r="142" spans="1:10" x14ac:dyDescent="0.25">
      <c r="A142" s="147" t="s">
        <v>430</v>
      </c>
      <c r="B142" s="151">
        <v>23567793</v>
      </c>
      <c r="C142" s="35">
        <f>'Price List'!C142+'Cost Source'!J142+'Cost Source'!O142</f>
        <v>139.16</v>
      </c>
      <c r="D142" s="225">
        <f>ROUNDUP(C142,0)-0.01</f>
        <v>139.99</v>
      </c>
      <c r="E142" s="35">
        <f>'Price List'!C142+'Cost Source'!W142</f>
        <v>139.16</v>
      </c>
      <c r="F142" s="240">
        <f t="shared" si="5"/>
        <v>139.99</v>
      </c>
      <c r="G142" s="144">
        <f>'Price List'!C142+'Cost Source'!W142</f>
        <v>139.16</v>
      </c>
      <c r="H142" s="263">
        <f t="shared" si="9"/>
        <v>139.99</v>
      </c>
      <c r="I142" s="279"/>
      <c r="J142" s="289"/>
    </row>
    <row r="143" spans="1:10" x14ac:dyDescent="0.25">
      <c r="A143" s="147" t="s">
        <v>430</v>
      </c>
      <c r="B143" s="151">
        <v>23582260</v>
      </c>
      <c r="C143" s="35">
        <f>'Price List'!C143+'Cost Source'!J143+'Cost Source'!O143</f>
        <v>36.15</v>
      </c>
      <c r="D143" s="225">
        <f>ROUNDUP(C143,0)-0.01</f>
        <v>36.99</v>
      </c>
      <c r="E143" s="35">
        <f>'Price List'!C143+'Cost Source'!W143</f>
        <v>36.15</v>
      </c>
      <c r="F143" s="240">
        <f t="shared" si="5"/>
        <v>36.99</v>
      </c>
      <c r="G143" s="35">
        <f>E143</f>
        <v>36.15</v>
      </c>
      <c r="H143" s="263">
        <f t="shared" si="9"/>
        <v>36.99</v>
      </c>
      <c r="I143" s="279"/>
      <c r="J143" s="290">
        <v>10</v>
      </c>
    </row>
    <row r="144" spans="1:10" x14ac:dyDescent="0.25">
      <c r="A144" s="36" t="s">
        <v>430</v>
      </c>
      <c r="B144" s="39" t="s">
        <v>185</v>
      </c>
      <c r="C144" s="35">
        <f>'Price List'!C144+'Cost Source'!J144+'Cost Source'!O144</f>
        <v>23.401600000000002</v>
      </c>
      <c r="D144" s="225">
        <f>ROUNDUP(C144,0)-0.01</f>
        <v>23.99</v>
      </c>
      <c r="E144" s="35">
        <f>'Price List'!C144+'Cost Source'!W144</f>
        <v>23.401600000000002</v>
      </c>
      <c r="F144" s="240">
        <f t="shared" si="5"/>
        <v>23.99</v>
      </c>
      <c r="G144" s="35">
        <f>E144</f>
        <v>23.401600000000002</v>
      </c>
      <c r="H144" s="263">
        <f t="shared" si="9"/>
        <v>23.99</v>
      </c>
      <c r="I144" s="272">
        <f>'Cost Source'!P144</f>
        <v>0</v>
      </c>
      <c r="J144" s="294">
        <v>10</v>
      </c>
    </row>
    <row r="145" spans="1:10" x14ac:dyDescent="0.25">
      <c r="A145" t="s">
        <v>430</v>
      </c>
      <c r="B145" s="3" t="s">
        <v>186</v>
      </c>
      <c r="C145" s="1">
        <f>'Price List'!C145+'Cost Source'!J145+'Cost Source'!O145</f>
        <v>24.115200000000002</v>
      </c>
      <c r="D145" s="226">
        <f t="shared" ref="D145:D231" si="10">ROUNDUP(C145,0)-0.01</f>
        <v>24.99</v>
      </c>
      <c r="E145" s="1">
        <f>'Price List'!C145+'Cost Source'!W145</f>
        <v>24.115200000000002</v>
      </c>
      <c r="F145" s="241">
        <f t="shared" si="5"/>
        <v>24.99</v>
      </c>
      <c r="G145" s="1">
        <f t="shared" ref="G145:G168" si="11">E145</f>
        <v>24.115200000000002</v>
      </c>
      <c r="H145" s="257">
        <f t="shared" si="9"/>
        <v>24.99</v>
      </c>
      <c r="I145" s="277">
        <f>'Cost Source'!P145</f>
        <v>0</v>
      </c>
      <c r="J145" s="290">
        <v>10</v>
      </c>
    </row>
    <row r="146" spans="1:10" x14ac:dyDescent="0.25">
      <c r="A146" s="30" t="s">
        <v>430</v>
      </c>
      <c r="B146" s="31" t="s">
        <v>187</v>
      </c>
      <c r="C146" s="32">
        <f>'Price List'!C146+'Cost Source'!J146+'Cost Source'!O146</f>
        <v>25.9008</v>
      </c>
      <c r="D146" s="224">
        <f t="shared" si="10"/>
        <v>25.99</v>
      </c>
      <c r="E146" s="32">
        <f>'Price List'!C146+'Cost Source'!W146</f>
        <v>25.9008</v>
      </c>
      <c r="F146" s="239">
        <f t="shared" si="5"/>
        <v>25.99</v>
      </c>
      <c r="G146" s="32">
        <f t="shared" si="11"/>
        <v>25.9008</v>
      </c>
      <c r="H146" s="262">
        <f t="shared" si="9"/>
        <v>25.99</v>
      </c>
      <c r="I146" s="277">
        <f>'Cost Source'!P146</f>
        <v>0</v>
      </c>
      <c r="J146" s="289">
        <v>10</v>
      </c>
    </row>
    <row r="147" spans="1:10" x14ac:dyDescent="0.25">
      <c r="A147" s="158" t="s">
        <v>430</v>
      </c>
      <c r="B147" s="41" t="s">
        <v>797</v>
      </c>
      <c r="C147" s="1">
        <f>'Price List'!C147+'Cost Source'!J147+'Cost Source'!O147</f>
        <v>23.3264</v>
      </c>
      <c r="D147" s="224">
        <f t="shared" si="10"/>
        <v>23.99</v>
      </c>
      <c r="E147" s="1">
        <f>'Price List'!C147+'Cost Source'!W147</f>
        <v>23.3264</v>
      </c>
      <c r="F147" s="239">
        <f t="shared" si="5"/>
        <v>23.99</v>
      </c>
      <c r="G147" s="32">
        <f t="shared" si="11"/>
        <v>23.3264</v>
      </c>
      <c r="H147" s="262">
        <f t="shared" si="9"/>
        <v>23.99</v>
      </c>
      <c r="I147" s="277">
        <f>'Cost Source'!P147</f>
        <v>0</v>
      </c>
      <c r="J147" s="290">
        <v>10</v>
      </c>
    </row>
    <row r="148" spans="1:10" x14ac:dyDescent="0.25">
      <c r="A148" s="147" t="s">
        <v>430</v>
      </c>
      <c r="B148" s="155" t="s">
        <v>188</v>
      </c>
      <c r="C148" s="144">
        <f>'Price List'!C148+'Cost Source'!J148+'Cost Source'!O148</f>
        <v>27.017600000000002</v>
      </c>
      <c r="D148" s="230">
        <f t="shared" si="10"/>
        <v>27.99</v>
      </c>
      <c r="E148" s="144">
        <f>'Price List'!C148+'Cost Source'!W148</f>
        <v>27.017600000000002</v>
      </c>
      <c r="F148" s="245">
        <f t="shared" si="5"/>
        <v>27.99</v>
      </c>
      <c r="G148" s="144">
        <f t="shared" si="11"/>
        <v>27.017600000000002</v>
      </c>
      <c r="H148" s="259">
        <f t="shared" si="9"/>
        <v>27.99</v>
      </c>
      <c r="I148" s="272">
        <f>'Cost Source'!P148</f>
        <v>0</v>
      </c>
      <c r="J148" s="295">
        <v>10</v>
      </c>
    </row>
    <row r="149" spans="1:10" x14ac:dyDescent="0.25">
      <c r="A149" s="36" t="s">
        <v>430</v>
      </c>
      <c r="B149" s="39" t="s">
        <v>189</v>
      </c>
      <c r="C149" s="35">
        <f>'Price List'!C149+'Cost Source'!J149+'Cost Source'!O149</f>
        <v>23.04</v>
      </c>
      <c r="D149" s="225">
        <f t="shared" si="10"/>
        <v>23.99</v>
      </c>
      <c r="E149" s="35">
        <f>'Price List'!C149+'Cost Source'!W149</f>
        <v>23.04</v>
      </c>
      <c r="F149" s="240">
        <f t="shared" si="5"/>
        <v>23.99</v>
      </c>
      <c r="G149" s="35">
        <f t="shared" si="11"/>
        <v>23.04</v>
      </c>
      <c r="H149" s="263">
        <f t="shared" si="9"/>
        <v>23.99</v>
      </c>
      <c r="I149" s="272">
        <f>'Cost Source'!P149</f>
        <v>0</v>
      </c>
      <c r="J149" s="294">
        <v>10</v>
      </c>
    </row>
    <row r="150" spans="1:10" x14ac:dyDescent="0.25">
      <c r="A150" s="36" t="s">
        <v>430</v>
      </c>
      <c r="B150" s="41" t="s">
        <v>604</v>
      </c>
      <c r="C150" s="35">
        <f>'Price List'!C150+'Cost Source'!J150+'Cost Source'!O150</f>
        <v>34.219200000000001</v>
      </c>
      <c r="D150" s="225">
        <f t="shared" si="10"/>
        <v>34.99</v>
      </c>
      <c r="E150" s="35">
        <f>'Price List'!C150+'Cost Source'!W150</f>
        <v>34.219200000000001</v>
      </c>
      <c r="F150" s="240">
        <f t="shared" si="5"/>
        <v>34.99</v>
      </c>
      <c r="G150" s="35">
        <f t="shared" si="11"/>
        <v>34.219200000000001</v>
      </c>
      <c r="H150" s="263">
        <f t="shared" si="9"/>
        <v>34.99</v>
      </c>
      <c r="I150" s="272">
        <f>'Cost Source'!P150</f>
        <v>0</v>
      </c>
      <c r="J150" s="295">
        <v>10</v>
      </c>
    </row>
    <row r="151" spans="1:10" x14ac:dyDescent="0.25">
      <c r="A151" s="26" t="s">
        <v>430</v>
      </c>
      <c r="B151" s="155" t="s">
        <v>190</v>
      </c>
      <c r="C151" s="27">
        <f>'Price List'!C151+'Cost Source'!J151+'Cost Source'!O151</f>
        <v>29.9056</v>
      </c>
      <c r="D151" s="229">
        <f t="shared" si="10"/>
        <v>29.99</v>
      </c>
      <c r="E151" s="27">
        <f>'Price List'!C151+'Cost Source'!W151</f>
        <v>29.9056</v>
      </c>
      <c r="F151" s="244">
        <f t="shared" si="5"/>
        <v>29.99</v>
      </c>
      <c r="G151" s="27">
        <f t="shared" si="11"/>
        <v>29.9056</v>
      </c>
      <c r="H151" s="260">
        <f t="shared" si="9"/>
        <v>29.99</v>
      </c>
      <c r="I151" s="272">
        <f>'Cost Source'!P151</f>
        <v>0</v>
      </c>
      <c r="J151" s="294">
        <v>10</v>
      </c>
    </row>
    <row r="152" spans="1:10" x14ac:dyDescent="0.25">
      <c r="A152" s="36" t="s">
        <v>430</v>
      </c>
      <c r="B152" s="326" t="s">
        <v>191</v>
      </c>
      <c r="C152" s="198">
        <f>'Price List'!C152+'Cost Source'!J152+'Cost Source'!O152</f>
        <v>24.019200000000001</v>
      </c>
      <c r="D152" s="238">
        <f t="shared" si="10"/>
        <v>24.99</v>
      </c>
      <c r="E152" s="198">
        <f>'Price List'!C152+'Cost Source'!W152</f>
        <v>24.019200000000001</v>
      </c>
      <c r="F152" s="254">
        <f t="shared" si="5"/>
        <v>24.99</v>
      </c>
      <c r="G152" s="198">
        <f t="shared" si="11"/>
        <v>24.019200000000001</v>
      </c>
      <c r="H152" s="269">
        <f t="shared" si="9"/>
        <v>24.99</v>
      </c>
      <c r="I152" s="280">
        <f>'Cost Source'!P152</f>
        <v>0</v>
      </c>
      <c r="J152" s="295">
        <v>10</v>
      </c>
    </row>
    <row r="153" spans="1:10" x14ac:dyDescent="0.25">
      <c r="A153" s="36" t="s">
        <v>430</v>
      </c>
      <c r="B153" s="155" t="s">
        <v>1071</v>
      </c>
      <c r="C153" s="144">
        <f>'Price List'!C153+'Cost Source'!J153</f>
        <v>40.31</v>
      </c>
      <c r="D153" s="230">
        <f t="shared" si="10"/>
        <v>40.99</v>
      </c>
      <c r="E153" s="144">
        <f>'Price List'!C153+'Cost Source'!W153</f>
        <v>40.31</v>
      </c>
      <c r="F153" s="245">
        <f t="shared" si="5"/>
        <v>40.99</v>
      </c>
      <c r="G153" s="144">
        <f>'Price List'!C153+'Cost Source'!N153</f>
        <v>40.31</v>
      </c>
      <c r="H153" s="259">
        <f t="shared" si="9"/>
        <v>40.99</v>
      </c>
      <c r="I153" s="275"/>
      <c r="J153" s="294"/>
    </row>
    <row r="154" spans="1:10" x14ac:dyDescent="0.25">
      <c r="A154" t="s">
        <v>430</v>
      </c>
      <c r="B154" s="3" t="s">
        <v>192</v>
      </c>
      <c r="C154" s="1">
        <f>'Price List'!C154+'Cost Source'!J154+'Cost Source'!O154</f>
        <v>56.113599999999998</v>
      </c>
      <c r="D154" s="226">
        <f t="shared" si="10"/>
        <v>56.99</v>
      </c>
      <c r="E154" s="1">
        <f>'Price List'!C154+'Cost Source'!W154</f>
        <v>56.113599999999998</v>
      </c>
      <c r="F154" s="241">
        <f t="shared" si="5"/>
        <v>56.99</v>
      </c>
      <c r="G154" s="1">
        <f t="shared" si="11"/>
        <v>56.113599999999998</v>
      </c>
      <c r="H154" s="257">
        <f t="shared" si="9"/>
        <v>56.99</v>
      </c>
      <c r="I154" s="282">
        <f>'Cost Source'!P154</f>
        <v>0</v>
      </c>
      <c r="J154" s="292">
        <v>10</v>
      </c>
    </row>
    <row r="155" spans="1:10" x14ac:dyDescent="0.25">
      <c r="A155" s="30" t="s">
        <v>430</v>
      </c>
      <c r="B155" s="31" t="s">
        <v>193</v>
      </c>
      <c r="C155" s="32">
        <f>'Price List'!C155+'Cost Source'!J155+'Cost Source'!O155</f>
        <v>32.779200000000003</v>
      </c>
      <c r="D155" s="224">
        <f t="shared" si="10"/>
        <v>32.99</v>
      </c>
      <c r="E155" s="32">
        <f>'Price List'!C155+'Cost Source'!W155</f>
        <v>32.779200000000003</v>
      </c>
      <c r="F155" s="239">
        <f t="shared" si="5"/>
        <v>32.99</v>
      </c>
      <c r="G155" s="32">
        <f t="shared" si="11"/>
        <v>32.779200000000003</v>
      </c>
      <c r="H155" s="262">
        <f t="shared" si="9"/>
        <v>32.99</v>
      </c>
      <c r="I155" s="277">
        <f>'Cost Source'!P155</f>
        <v>0</v>
      </c>
      <c r="J155" s="289">
        <v>10</v>
      </c>
    </row>
    <row r="156" spans="1:10" x14ac:dyDescent="0.25">
      <c r="A156" s="26" t="s">
        <v>430</v>
      </c>
      <c r="B156" s="41" t="s">
        <v>194</v>
      </c>
      <c r="C156" s="27">
        <f>'Price List'!C156+'Cost Source'!J156+'Cost Source'!O156</f>
        <v>35.123199999999997</v>
      </c>
      <c r="D156" s="229">
        <f t="shared" si="10"/>
        <v>35.99</v>
      </c>
      <c r="E156" s="27">
        <f>'Price List'!C156+'Cost Source'!W156</f>
        <v>35.123199999999997</v>
      </c>
      <c r="F156" s="244">
        <f t="shared" si="5"/>
        <v>35.99</v>
      </c>
      <c r="G156" s="27">
        <f t="shared" si="11"/>
        <v>35.123199999999997</v>
      </c>
      <c r="H156" s="260">
        <f t="shared" si="9"/>
        <v>35.99</v>
      </c>
      <c r="I156" s="272">
        <f>'Cost Source'!P156</f>
        <v>0</v>
      </c>
      <c r="J156" s="294">
        <v>10</v>
      </c>
    </row>
    <row r="157" spans="1:10" x14ac:dyDescent="0.25">
      <c r="A157" s="147" t="s">
        <v>430</v>
      </c>
      <c r="B157" s="155" t="s">
        <v>918</v>
      </c>
      <c r="C157" s="144">
        <f>'Price List'!C157+'Cost Source'!J157+'Cost Source'!O157</f>
        <v>32.864000000000004</v>
      </c>
      <c r="D157" s="230"/>
      <c r="E157" s="144">
        <f>'Price List'!C157+'Cost Source'!W157</f>
        <v>32.864000000000004</v>
      </c>
      <c r="F157" s="245">
        <f t="shared" si="5"/>
        <v>32.99</v>
      </c>
      <c r="G157" s="144">
        <f t="shared" si="11"/>
        <v>32.864000000000004</v>
      </c>
      <c r="H157" s="259">
        <f t="shared" si="9"/>
        <v>32.99</v>
      </c>
      <c r="I157" s="272">
        <f>'Cost Source'!P157</f>
        <v>0</v>
      </c>
      <c r="J157" s="295"/>
    </row>
    <row r="158" spans="1:10" x14ac:dyDescent="0.25">
      <c r="A158" s="168" t="s">
        <v>430</v>
      </c>
      <c r="B158" s="141" t="s">
        <v>605</v>
      </c>
      <c r="C158" s="200">
        <f>'Price List'!C158+'Cost Source'!J158+'Cost Source'!O158</f>
        <v>26.91</v>
      </c>
      <c r="D158" s="232">
        <f t="shared" si="10"/>
        <v>26.99</v>
      </c>
      <c r="E158" s="200">
        <f>'Price List'!C158+'Cost Source'!W158</f>
        <v>26.91</v>
      </c>
      <c r="F158" s="255">
        <f t="shared" si="5"/>
        <v>26.99</v>
      </c>
      <c r="G158" s="200">
        <f t="shared" si="11"/>
        <v>26.91</v>
      </c>
      <c r="H158" s="264">
        <f t="shared" si="9"/>
        <v>26.99</v>
      </c>
      <c r="I158" s="277">
        <f>'Cost Source'!P158</f>
        <v>0</v>
      </c>
      <c r="J158" s="296">
        <v>10</v>
      </c>
    </row>
    <row r="159" spans="1:10" x14ac:dyDescent="0.25">
      <c r="A159" s="168" t="s">
        <v>430</v>
      </c>
      <c r="B159" s="141" t="s">
        <v>1079</v>
      </c>
      <c r="C159" s="200">
        <f>'Price List'!C159+'Cost Source'!J159+'Cost Source'!O159</f>
        <v>24.67</v>
      </c>
      <c r="D159" s="232">
        <f t="shared" si="10"/>
        <v>24.99</v>
      </c>
      <c r="E159" s="200">
        <f>'Price List'!C159+'Cost Source'!W159</f>
        <v>24.67</v>
      </c>
      <c r="F159" s="255">
        <f t="shared" si="5"/>
        <v>24.99</v>
      </c>
      <c r="G159" s="200">
        <f>'Price List'!C159+'Cost Source'!N159</f>
        <v>24.67</v>
      </c>
      <c r="H159" s="264">
        <f t="shared" si="9"/>
        <v>24.99</v>
      </c>
      <c r="I159" s="279"/>
      <c r="J159" s="293">
        <v>10</v>
      </c>
    </row>
    <row r="160" spans="1:10" x14ac:dyDescent="0.25">
      <c r="A160" s="37" t="s">
        <v>430</v>
      </c>
      <c r="B160" s="31" t="s">
        <v>195</v>
      </c>
      <c r="C160" s="38">
        <f>'Price List'!C160+'Cost Source'!J160+'Cost Source'!O160</f>
        <v>61.19</v>
      </c>
      <c r="D160" s="232">
        <f t="shared" si="10"/>
        <v>61.99</v>
      </c>
      <c r="E160" s="38">
        <f>'Price List'!C160+'Cost Source'!W160</f>
        <v>61.19</v>
      </c>
      <c r="F160" s="253">
        <f t="shared" si="5"/>
        <v>61.99</v>
      </c>
      <c r="G160" s="38">
        <f t="shared" si="11"/>
        <v>61.19</v>
      </c>
      <c r="H160" s="266">
        <f t="shared" si="9"/>
        <v>61.99</v>
      </c>
      <c r="I160" s="277">
        <f>'Cost Source'!P160</f>
        <v>0</v>
      </c>
      <c r="J160" s="293">
        <v>10</v>
      </c>
    </row>
    <row r="161" spans="1:14" x14ac:dyDescent="0.25">
      <c r="A161" s="140" t="s">
        <v>430</v>
      </c>
      <c r="B161" s="3" t="s">
        <v>606</v>
      </c>
      <c r="C161" s="35">
        <f>'Price List'!C161+'Cost Source'!J161+'Cost Source'!O161</f>
        <v>53.38</v>
      </c>
      <c r="D161" s="225">
        <f t="shared" si="10"/>
        <v>53.99</v>
      </c>
      <c r="E161" s="35">
        <f>'Price List'!C161+'Cost Source'!W161</f>
        <v>53.38</v>
      </c>
      <c r="F161" s="240">
        <f t="shared" si="5"/>
        <v>53.99</v>
      </c>
      <c r="G161" s="35">
        <f t="shared" si="11"/>
        <v>53.38</v>
      </c>
      <c r="H161" s="263">
        <f t="shared" si="9"/>
        <v>53.99</v>
      </c>
      <c r="I161" s="272">
        <f>'Cost Source'!P161</f>
        <v>0</v>
      </c>
      <c r="J161" s="294"/>
    </row>
    <row r="162" spans="1:14" x14ac:dyDescent="0.25">
      <c r="A162" s="140" t="s">
        <v>430</v>
      </c>
      <c r="B162" s="141" t="s">
        <v>196</v>
      </c>
      <c r="C162" s="146">
        <f>'Price List'!C162+'Cost Source'!J162+'Cost Source'!O162</f>
        <v>39.340000000000003</v>
      </c>
      <c r="D162" s="227">
        <f t="shared" si="10"/>
        <v>39.99</v>
      </c>
      <c r="E162" s="146">
        <f>'Price List'!C162+'Cost Source'!W162</f>
        <v>39.340000000000003</v>
      </c>
      <c r="F162" s="242">
        <f t="shared" si="5"/>
        <v>39.99</v>
      </c>
      <c r="G162" s="146">
        <f t="shared" si="11"/>
        <v>39.340000000000003</v>
      </c>
      <c r="H162" s="258">
        <f t="shared" si="9"/>
        <v>39.99</v>
      </c>
      <c r="I162" s="277">
        <f>'Cost Source'!P162</f>
        <v>0</v>
      </c>
      <c r="J162" s="289">
        <v>10</v>
      </c>
    </row>
    <row r="163" spans="1:14" x14ac:dyDescent="0.25">
      <c r="A163" s="30" t="s">
        <v>430</v>
      </c>
      <c r="B163" s="31" t="s">
        <v>197</v>
      </c>
      <c r="C163" s="32">
        <f>'Price List'!C163+'Cost Source'!J163+'Cost Source'!O163</f>
        <v>34.769999999999996</v>
      </c>
      <c r="D163" s="224">
        <f t="shared" si="10"/>
        <v>34.99</v>
      </c>
      <c r="E163" s="32">
        <f>'Price List'!C163+'Cost Source'!W163</f>
        <v>34.769999999999996</v>
      </c>
      <c r="F163" s="239">
        <f t="shared" ref="F163:F245" si="12">ROUNDUP(E163,0)-0.01</f>
        <v>34.99</v>
      </c>
      <c r="G163" s="32">
        <f t="shared" si="11"/>
        <v>34.769999999999996</v>
      </c>
      <c r="H163" s="262">
        <f t="shared" si="9"/>
        <v>34.99</v>
      </c>
      <c r="I163" s="277">
        <f>'Cost Source'!P163</f>
        <v>0</v>
      </c>
      <c r="J163" s="290">
        <v>10</v>
      </c>
    </row>
    <row r="164" spans="1:14" x14ac:dyDescent="0.25">
      <c r="A164" s="26" t="s">
        <v>430</v>
      </c>
      <c r="B164" s="41" t="s">
        <v>201</v>
      </c>
      <c r="C164" s="27">
        <f>'Price List'!C164+'Cost Source'!J164+'Cost Source'!O164</f>
        <v>19.78</v>
      </c>
      <c r="D164" s="229">
        <f t="shared" si="10"/>
        <v>19.989999999999998</v>
      </c>
      <c r="E164" s="27">
        <f>'Price List'!C164+'Cost Source'!W164</f>
        <v>19.78</v>
      </c>
      <c r="F164" s="244">
        <f t="shared" si="12"/>
        <v>19.989999999999998</v>
      </c>
      <c r="G164" s="27">
        <f t="shared" si="11"/>
        <v>19.78</v>
      </c>
      <c r="H164" s="260">
        <f t="shared" si="9"/>
        <v>19.989999999999998</v>
      </c>
      <c r="I164" s="277">
        <f>'Cost Source'!P164</f>
        <v>0</v>
      </c>
      <c r="J164" s="289"/>
    </row>
    <row r="165" spans="1:14" x14ac:dyDescent="0.25">
      <c r="A165" s="36" t="s">
        <v>430</v>
      </c>
      <c r="B165" s="39" t="s">
        <v>200</v>
      </c>
      <c r="C165" s="35">
        <f>'Price List'!C165+'Cost Source'!J165+'Cost Source'!O165</f>
        <v>19.27</v>
      </c>
      <c r="D165" s="225">
        <f t="shared" si="10"/>
        <v>19.989999999999998</v>
      </c>
      <c r="E165" s="35">
        <f>'Price List'!C165+'Cost Source'!W165</f>
        <v>19.27</v>
      </c>
      <c r="F165" s="240">
        <f t="shared" si="12"/>
        <v>19.989999999999998</v>
      </c>
      <c r="G165" s="35">
        <f t="shared" si="11"/>
        <v>19.27</v>
      </c>
      <c r="H165" s="263">
        <f t="shared" si="9"/>
        <v>19.989999999999998</v>
      </c>
      <c r="I165" s="277">
        <f>'Cost Source'!P165</f>
        <v>0</v>
      </c>
      <c r="J165" s="290"/>
    </row>
    <row r="166" spans="1:14" x14ac:dyDescent="0.25">
      <c r="A166" t="s">
        <v>430</v>
      </c>
      <c r="B166" s="3" t="s">
        <v>199</v>
      </c>
      <c r="C166" s="1">
        <f>'Price List'!C166+'Cost Source'!J166+'Cost Source'!O166</f>
        <v>25.369999999999997</v>
      </c>
      <c r="D166" s="226">
        <f t="shared" si="10"/>
        <v>25.99</v>
      </c>
      <c r="E166" s="1">
        <f>'Price List'!C166+'Cost Source'!W166</f>
        <v>25.369999999999997</v>
      </c>
      <c r="F166" s="241">
        <f t="shared" si="12"/>
        <v>25.99</v>
      </c>
      <c r="G166" s="1">
        <f t="shared" si="11"/>
        <v>25.369999999999997</v>
      </c>
      <c r="H166" s="257">
        <f t="shared" si="9"/>
        <v>25.99</v>
      </c>
      <c r="I166" s="278">
        <f>'Cost Source'!P166</f>
        <v>0</v>
      </c>
      <c r="J166" s="289"/>
      <c r="N166" t="s">
        <v>184</v>
      </c>
    </row>
    <row r="167" spans="1:14" x14ac:dyDescent="0.25">
      <c r="A167" s="140" t="s">
        <v>430</v>
      </c>
      <c r="B167" s="141" t="s">
        <v>1019</v>
      </c>
      <c r="C167" s="146">
        <f>'Price List'!C167+'Cost Source'!J167+'Cost Source'!O167</f>
        <v>36.03</v>
      </c>
      <c r="D167" s="227">
        <f t="shared" si="10"/>
        <v>36.99</v>
      </c>
      <c r="E167" s="146">
        <f>'Price List'!C167+'Cost Source'!W167</f>
        <v>36.03</v>
      </c>
      <c r="F167" s="242">
        <f t="shared" si="12"/>
        <v>36.99</v>
      </c>
      <c r="G167" s="146">
        <f t="shared" si="11"/>
        <v>36.03</v>
      </c>
      <c r="H167" s="262">
        <f t="shared" si="9"/>
        <v>36.99</v>
      </c>
      <c r="I167" s="279"/>
      <c r="J167" s="290"/>
    </row>
    <row r="168" spans="1:14" x14ac:dyDescent="0.25">
      <c r="A168" s="30" t="s">
        <v>430</v>
      </c>
      <c r="B168" s="141" t="s">
        <v>964</v>
      </c>
      <c r="C168" s="32">
        <f>'Price List'!C168+'Cost Source'!J168+'Cost Source'!O168</f>
        <v>83.64</v>
      </c>
      <c r="D168" s="224">
        <f t="shared" si="10"/>
        <v>83.99</v>
      </c>
      <c r="E168" s="32">
        <f>'Price List'!C168+'Cost Source'!W168</f>
        <v>83.64</v>
      </c>
      <c r="F168" s="239">
        <f t="shared" si="12"/>
        <v>83.99</v>
      </c>
      <c r="G168" s="32">
        <f t="shared" si="11"/>
        <v>83.64</v>
      </c>
      <c r="H168" s="262">
        <f t="shared" si="9"/>
        <v>83.99</v>
      </c>
      <c r="I168" s="277">
        <f>'Cost Source'!P168</f>
        <v>0</v>
      </c>
      <c r="J168" s="289"/>
    </row>
    <row r="169" spans="1:14" x14ac:dyDescent="0.25">
      <c r="A169" s="26" t="s">
        <v>421</v>
      </c>
      <c r="B169" s="42">
        <v>1183619</v>
      </c>
      <c r="C169" s="27">
        <f>'Price List'!C169+'Cost Source'!O169</f>
        <v>41.07</v>
      </c>
      <c r="D169" s="229">
        <f t="shared" si="10"/>
        <v>41.99</v>
      </c>
      <c r="E169" s="27">
        <f>'Price List'!C169+'Cost Source'!O169</f>
        <v>41.07</v>
      </c>
      <c r="F169" s="244">
        <f t="shared" si="12"/>
        <v>41.99</v>
      </c>
      <c r="G169" s="27">
        <f>'Price List'!C169+'Cost Source'!N169</f>
        <v>42.07</v>
      </c>
      <c r="H169" s="260">
        <f t="shared" si="9"/>
        <v>42.99</v>
      </c>
      <c r="I169" s="277">
        <f>'Cost Source'!P169</f>
        <v>0</v>
      </c>
      <c r="J169" s="290"/>
    </row>
    <row r="170" spans="1:14" x14ac:dyDescent="0.25">
      <c r="A170" s="36" t="s">
        <v>421</v>
      </c>
      <c r="B170" s="40">
        <v>1210145</v>
      </c>
      <c r="C170" s="35"/>
      <c r="D170" s="225"/>
      <c r="E170" s="35"/>
      <c r="F170" s="240"/>
      <c r="G170" s="35">
        <f>'Price List'!C170+'Cost Source'!N170</f>
        <v>14.91</v>
      </c>
      <c r="H170" s="263">
        <f t="shared" si="9"/>
        <v>14.99</v>
      </c>
      <c r="I170" s="277">
        <f>'Cost Source'!P170</f>
        <v>0</v>
      </c>
      <c r="J170" s="289"/>
    </row>
    <row r="171" spans="1:14" x14ac:dyDescent="0.25">
      <c r="A171" t="s">
        <v>421</v>
      </c>
      <c r="B171" s="4">
        <v>1752949</v>
      </c>
      <c r="C171" s="1">
        <f>'Price List'!C171+'Cost Source'!F171+'Cost Source'!O171</f>
        <v>65.5</v>
      </c>
      <c r="D171" s="226">
        <f t="shared" si="10"/>
        <v>65.989999999999995</v>
      </c>
      <c r="E171" s="23">
        <f>'Price List'!C171+'Cost Source'!S171</f>
        <v>45.5</v>
      </c>
      <c r="F171" s="247">
        <f t="shared" si="12"/>
        <v>45.99</v>
      </c>
      <c r="G171" s="1">
        <f>'Price List'!C171+'Cost Source'!N171</f>
        <v>52.5</v>
      </c>
      <c r="H171" s="257">
        <f t="shared" ref="H171:H245" si="13">ROUNDUP(G171,0)-0.01</f>
        <v>52.99</v>
      </c>
      <c r="I171" s="277">
        <f>'Cost Source'!P171</f>
        <v>0</v>
      </c>
      <c r="J171" s="290">
        <v>10</v>
      </c>
    </row>
    <row r="172" spans="1:14" x14ac:dyDescent="0.25">
      <c r="A172" s="30" t="s">
        <v>421</v>
      </c>
      <c r="B172" s="34" t="s">
        <v>202</v>
      </c>
      <c r="C172" s="32">
        <f>'Price List'!C172+'Cost Source'!G172+'Cost Source'!O172</f>
        <v>68.44</v>
      </c>
      <c r="D172" s="224">
        <f t="shared" si="10"/>
        <v>68.989999999999995</v>
      </c>
      <c r="E172" s="32"/>
      <c r="F172" s="239"/>
      <c r="G172" s="32">
        <f>'Price List'!C172+'Cost Source'!N172</f>
        <v>51.44</v>
      </c>
      <c r="H172" s="262">
        <f t="shared" si="13"/>
        <v>51.99</v>
      </c>
      <c r="I172" s="277">
        <f>'Cost Source'!P172</f>
        <v>-10</v>
      </c>
      <c r="J172" s="289">
        <v>20</v>
      </c>
    </row>
    <row r="173" spans="1:14" x14ac:dyDescent="0.25">
      <c r="A173" s="26" t="s">
        <v>421</v>
      </c>
      <c r="B173" s="43" t="s">
        <v>203</v>
      </c>
      <c r="C173" s="27">
        <f>'Price List'!C173+'Cost Source'!E173+'Cost Source'!O173</f>
        <v>57.14</v>
      </c>
      <c r="D173" s="229">
        <f t="shared" si="10"/>
        <v>57.99</v>
      </c>
      <c r="E173" s="27"/>
      <c r="F173" s="244"/>
      <c r="G173" s="27">
        <f>'Price List'!C173+'Cost Source'!N173</f>
        <v>44.14</v>
      </c>
      <c r="H173" s="260">
        <f t="shared" si="13"/>
        <v>44.99</v>
      </c>
      <c r="I173" s="272">
        <f>'Cost Source'!P173</f>
        <v>-10</v>
      </c>
      <c r="J173" s="294">
        <v>10</v>
      </c>
    </row>
    <row r="174" spans="1:14" x14ac:dyDescent="0.25">
      <c r="A174" s="36" t="s">
        <v>421</v>
      </c>
      <c r="B174" s="44" t="s">
        <v>204</v>
      </c>
      <c r="C174" s="35">
        <f>'Price List'!C174+'Cost Source'!E174+'Cost Source'!O174</f>
        <v>52.510000000000005</v>
      </c>
      <c r="D174" s="225">
        <f t="shared" si="10"/>
        <v>52.99</v>
      </c>
      <c r="E174" s="35"/>
      <c r="F174" s="240"/>
      <c r="G174" s="35">
        <f>'Price List'!C174+'Cost Source'!N174</f>
        <v>38.510000000000005</v>
      </c>
      <c r="H174" s="263">
        <f t="shared" si="13"/>
        <v>38.99</v>
      </c>
      <c r="I174" s="272">
        <f>'Cost Source'!P174</f>
        <v>-10</v>
      </c>
      <c r="J174" s="295">
        <v>10</v>
      </c>
    </row>
    <row r="175" spans="1:14" x14ac:dyDescent="0.25">
      <c r="A175" t="s">
        <v>421</v>
      </c>
      <c r="B175" s="5" t="s">
        <v>205</v>
      </c>
      <c r="C175" s="1">
        <f>'Price List'!C175+'Cost Source'!G175+'Cost Source'!O175</f>
        <v>55.78</v>
      </c>
      <c r="D175" s="226">
        <f t="shared" si="10"/>
        <v>55.99</v>
      </c>
      <c r="E175" s="1"/>
      <c r="F175" s="241"/>
      <c r="G175" s="1">
        <f>'Price List'!C175+'Cost Source'!N175</f>
        <v>36.78</v>
      </c>
      <c r="H175" s="257">
        <f t="shared" si="13"/>
        <v>36.99</v>
      </c>
      <c r="I175" s="277">
        <f>'Cost Source'!P175</f>
        <v>-10</v>
      </c>
      <c r="J175" s="290">
        <v>20</v>
      </c>
    </row>
    <row r="176" spans="1:14" x14ac:dyDescent="0.25">
      <c r="A176" s="30" t="s">
        <v>421</v>
      </c>
      <c r="B176" s="34" t="s">
        <v>206</v>
      </c>
      <c r="C176" s="32">
        <f>'Price List'!C176+'Cost Source'!G176+'Cost Source'!O176</f>
        <v>77.2</v>
      </c>
      <c r="D176" s="224">
        <f t="shared" si="10"/>
        <v>77.989999999999995</v>
      </c>
      <c r="E176" s="32">
        <f>'Price List'!C176+'Cost Source'!T176</f>
        <v>22.200000000000003</v>
      </c>
      <c r="F176" s="239">
        <f t="shared" si="12"/>
        <v>22.99</v>
      </c>
      <c r="G176" s="32">
        <f>'Price List'!C176+'Cost Source'!N176</f>
        <v>66.2</v>
      </c>
      <c r="H176" s="262">
        <f t="shared" si="13"/>
        <v>66.989999999999995</v>
      </c>
      <c r="I176" s="277">
        <f>'Cost Source'!P176</f>
        <v>-15</v>
      </c>
      <c r="J176" s="289">
        <v>20</v>
      </c>
    </row>
    <row r="177" spans="1:11" x14ac:dyDescent="0.25">
      <c r="A177" s="26" t="s">
        <v>421</v>
      </c>
      <c r="B177" s="42">
        <v>2492347</v>
      </c>
      <c r="C177" s="27">
        <f>'Price List'!C177+'Cost Source'!G177+'Cost Source'!O177</f>
        <v>64.31</v>
      </c>
      <c r="D177" s="229">
        <f t="shared" si="10"/>
        <v>64.989999999999995</v>
      </c>
      <c r="E177" s="27">
        <f>'Price List'!C177+'Cost Source'!T177</f>
        <v>24.310000000000002</v>
      </c>
      <c r="F177" s="244">
        <f t="shared" si="12"/>
        <v>24.99</v>
      </c>
      <c r="G177" s="27">
        <f>'Price List'!C177+'Cost Source'!N177</f>
        <v>50.31</v>
      </c>
      <c r="H177" s="260">
        <f t="shared" si="13"/>
        <v>50.99</v>
      </c>
      <c r="I177" s="272">
        <f>'Cost Source'!P177</f>
        <v>-10</v>
      </c>
      <c r="J177" s="294">
        <v>15</v>
      </c>
      <c r="K177" t="s">
        <v>1029</v>
      </c>
    </row>
    <row r="178" spans="1:11" x14ac:dyDescent="0.25">
      <c r="A178" s="36" t="s">
        <v>421</v>
      </c>
      <c r="B178" s="40">
        <v>2568753</v>
      </c>
      <c r="C178" s="35">
        <f>'Price List'!C178+'Cost Source'!F178+'Cost Source'!O178</f>
        <v>63.49</v>
      </c>
      <c r="D178" s="225">
        <f t="shared" si="10"/>
        <v>63.99</v>
      </c>
      <c r="E178" s="35">
        <f>'Price List'!C178+'Cost Source'!S178</f>
        <v>43.49</v>
      </c>
      <c r="F178" s="240">
        <f t="shared" si="12"/>
        <v>43.99</v>
      </c>
      <c r="G178" s="35">
        <f>'Price List'!C178+'Cost Source'!N178</f>
        <v>50.49</v>
      </c>
      <c r="H178" s="263">
        <f t="shared" si="13"/>
        <v>50.99</v>
      </c>
      <c r="I178" s="272">
        <f>'Cost Source'!P178</f>
        <v>0</v>
      </c>
      <c r="J178" s="295">
        <v>10</v>
      </c>
    </row>
    <row r="179" spans="1:11" x14ac:dyDescent="0.25">
      <c r="A179" t="s">
        <v>421</v>
      </c>
      <c r="B179" s="4" t="s">
        <v>582</v>
      </c>
      <c r="C179" s="1">
        <f>'Price List'!C179+'Cost Source'!O179</f>
        <v>114.86</v>
      </c>
      <c r="D179" s="226">
        <f t="shared" si="10"/>
        <v>114.99</v>
      </c>
      <c r="E179" s="1">
        <f>'Price List'!C179+'Cost Source'!O179</f>
        <v>114.86</v>
      </c>
      <c r="F179" s="241">
        <f t="shared" si="12"/>
        <v>114.99</v>
      </c>
      <c r="G179" s="1">
        <f>'Price List'!C179+'Cost Source'!N179</f>
        <v>114.86</v>
      </c>
      <c r="H179" s="257">
        <f t="shared" si="13"/>
        <v>114.99</v>
      </c>
      <c r="I179" s="277">
        <f>'Cost Source'!P179</f>
        <v>0</v>
      </c>
      <c r="J179" s="290"/>
    </row>
    <row r="180" spans="1:11" x14ac:dyDescent="0.25">
      <c r="A180" s="30" t="s">
        <v>421</v>
      </c>
      <c r="B180" s="33">
        <v>3805839</v>
      </c>
      <c r="C180" s="32">
        <f>'Price List'!C180+'Cost Source'!K180+'Cost Source'!O180</f>
        <v>141.05000000000001</v>
      </c>
      <c r="D180" s="224">
        <f t="shared" si="10"/>
        <v>141.99</v>
      </c>
      <c r="E180" s="32">
        <f>'Price List'!C180+'Cost Source'!X180</f>
        <v>121.05</v>
      </c>
      <c r="F180" s="239">
        <f t="shared" si="12"/>
        <v>121.99</v>
      </c>
      <c r="G180" s="32">
        <f>'Price List'!C180+'Cost Source'!N180</f>
        <v>116.05</v>
      </c>
      <c r="H180" s="262">
        <f t="shared" si="13"/>
        <v>116.99</v>
      </c>
      <c r="I180" s="277">
        <f>'Cost Source'!P180</f>
        <v>0</v>
      </c>
      <c r="J180" s="289">
        <v>30</v>
      </c>
    </row>
    <row r="181" spans="1:11" x14ac:dyDescent="0.25">
      <c r="A181" s="26" t="s">
        <v>421</v>
      </c>
      <c r="B181" s="42">
        <v>3805840</v>
      </c>
      <c r="C181" s="27">
        <f>'Price List'!C181+'Cost Source'!K181+'Cost Source'!O181</f>
        <v>172.15</v>
      </c>
      <c r="D181" s="229">
        <f t="shared" si="10"/>
        <v>172.99</v>
      </c>
      <c r="E181" s="27">
        <f>'Price List'!C181+'Cost Source'!X181</f>
        <v>152.15</v>
      </c>
      <c r="F181" s="244">
        <f t="shared" si="12"/>
        <v>152.99</v>
      </c>
      <c r="G181" s="27">
        <f>'Price List'!C181+'Cost Source'!N181</f>
        <v>150.15</v>
      </c>
      <c r="H181" s="260">
        <f t="shared" si="13"/>
        <v>150.99</v>
      </c>
      <c r="I181" s="272">
        <f>'Cost Source'!P181</f>
        <v>0</v>
      </c>
      <c r="J181" s="294">
        <v>30</v>
      </c>
    </row>
    <row r="182" spans="1:11" x14ac:dyDescent="0.25">
      <c r="A182" s="36" t="s">
        <v>421</v>
      </c>
      <c r="B182" s="44" t="s">
        <v>436</v>
      </c>
      <c r="C182" s="35">
        <f>'Price List'!C182+'Cost Source'!F182+'Cost Source'!O182</f>
        <v>86.789999999999992</v>
      </c>
      <c r="D182" s="225">
        <f t="shared" si="10"/>
        <v>86.99</v>
      </c>
      <c r="E182" s="35">
        <f>'Price List'!C182+'Cost Source'!U183</f>
        <v>76.789999999999992</v>
      </c>
      <c r="F182" s="240">
        <f t="shared" si="12"/>
        <v>76.989999999999995</v>
      </c>
      <c r="G182" s="35">
        <f>'Price List'!C182+'Cost Source'!N182</f>
        <v>72.789999999999992</v>
      </c>
      <c r="H182" s="263">
        <f t="shared" si="13"/>
        <v>72.989999999999995</v>
      </c>
      <c r="I182" s="272">
        <f>'Cost Source'!P182</f>
        <v>0</v>
      </c>
      <c r="J182" s="295">
        <v>15</v>
      </c>
    </row>
    <row r="183" spans="1:11" x14ac:dyDescent="0.25">
      <c r="A183" t="s">
        <v>421</v>
      </c>
      <c r="B183" s="4">
        <v>4355142</v>
      </c>
      <c r="C183" s="1">
        <f>'Price List'!C183+'Cost Source'!H183+'Cost Source'!O183</f>
        <v>52.36</v>
      </c>
      <c r="D183" s="227">
        <f t="shared" si="10"/>
        <v>52.99</v>
      </c>
      <c r="E183" s="146">
        <f>'Price List'!C183+'Cost Source'!U183</f>
        <v>42.36</v>
      </c>
      <c r="F183" s="242">
        <f t="shared" si="12"/>
        <v>42.99</v>
      </c>
      <c r="G183" s="146">
        <f>'Price List'!C183+'Cost Source'!N183</f>
        <v>32.36</v>
      </c>
      <c r="H183" s="258">
        <f t="shared" si="13"/>
        <v>32.99</v>
      </c>
      <c r="I183" s="278">
        <f>'Cost Source'!P183</f>
        <v>0</v>
      </c>
      <c r="J183" s="291">
        <v>15</v>
      </c>
    </row>
    <row r="184" spans="1:11" x14ac:dyDescent="0.25">
      <c r="A184" s="140" t="s">
        <v>421</v>
      </c>
      <c r="B184" s="145" t="s">
        <v>1199</v>
      </c>
      <c r="C184" s="149">
        <f>'Price List'!C184+'Cost Source'!E184+'Cost Source'!O184</f>
        <v>52.769999999999996</v>
      </c>
      <c r="D184" s="226">
        <f t="shared" si="10"/>
        <v>52.99</v>
      </c>
      <c r="E184" s="1">
        <f>'Price List'!C184+'Cost Source'!R184</f>
        <v>42.769999999999996</v>
      </c>
      <c r="F184" s="241">
        <f t="shared" si="12"/>
        <v>42.99</v>
      </c>
      <c r="G184" s="1">
        <f>'Price List'!C184+'Cost Source'!N184</f>
        <v>36.769999999999996</v>
      </c>
      <c r="H184" s="257">
        <f t="shared" si="13"/>
        <v>36.99</v>
      </c>
      <c r="I184" s="279"/>
      <c r="J184" s="290">
        <v>15</v>
      </c>
    </row>
    <row r="185" spans="1:11" x14ac:dyDescent="0.25">
      <c r="A185" s="159" t="s">
        <v>421</v>
      </c>
      <c r="B185" s="164" t="s">
        <v>437</v>
      </c>
      <c r="C185" s="146"/>
      <c r="D185" s="227"/>
      <c r="E185" s="146">
        <f>'Price List'!C185+'Cost Source'!N185</f>
        <v>117.75</v>
      </c>
      <c r="F185" s="242">
        <f t="shared" si="12"/>
        <v>117.99</v>
      </c>
      <c r="G185" s="146">
        <f>'Price List'!C185+'Cost Source'!N185</f>
        <v>117.75</v>
      </c>
      <c r="H185" s="258">
        <f t="shared" si="13"/>
        <v>117.99</v>
      </c>
      <c r="I185" s="282">
        <f>'Cost Source'!P185</f>
        <v>0</v>
      </c>
      <c r="J185" s="289"/>
    </row>
    <row r="186" spans="1:11" x14ac:dyDescent="0.25">
      <c r="A186" t="s">
        <v>853</v>
      </c>
      <c r="B186" s="5" t="s">
        <v>1154</v>
      </c>
      <c r="C186" s="1">
        <f>'Price List'!C186+'Cost Source'!L186</f>
        <v>7.34</v>
      </c>
      <c r="D186" s="227">
        <f t="shared" si="10"/>
        <v>7.99</v>
      </c>
      <c r="E186" s="1">
        <f>'Price List'!C186+'Cost Source'!Y186</f>
        <v>7.34</v>
      </c>
      <c r="F186" s="239">
        <f t="shared" si="12"/>
        <v>7.99</v>
      </c>
      <c r="G186" s="1">
        <f>'Price List'!C186+'Cost Source'!N186</f>
        <v>7.34</v>
      </c>
      <c r="H186" s="259">
        <f t="shared" si="13"/>
        <v>7.99</v>
      </c>
      <c r="I186" s="277">
        <f>'Cost Source'!P186</f>
        <v>0</v>
      </c>
      <c r="J186" s="290"/>
    </row>
    <row r="187" spans="1:11" x14ac:dyDescent="0.25">
      <c r="A187" s="140" t="s">
        <v>853</v>
      </c>
      <c r="B187" s="151"/>
      <c r="C187" s="146"/>
      <c r="D187" s="227"/>
      <c r="E187" s="146"/>
      <c r="F187" s="239"/>
      <c r="G187" s="146"/>
      <c r="H187" s="259"/>
      <c r="I187" s="277">
        <f>'Cost Source'!P187</f>
        <v>0</v>
      </c>
      <c r="J187" s="289"/>
    </row>
    <row r="188" spans="1:11" x14ac:dyDescent="0.25">
      <c r="A188" t="s">
        <v>613</v>
      </c>
      <c r="B188" s="5" t="s">
        <v>607</v>
      </c>
      <c r="C188" s="1"/>
      <c r="D188" s="227"/>
      <c r="E188" s="1"/>
      <c r="F188" s="239"/>
      <c r="G188" s="1"/>
      <c r="H188" s="259"/>
      <c r="I188" s="277">
        <f>'Cost Source'!P188</f>
        <v>0</v>
      </c>
      <c r="J188" s="290"/>
    </row>
    <row r="189" spans="1:11" x14ac:dyDescent="0.25">
      <c r="A189" s="147" t="s">
        <v>613</v>
      </c>
      <c r="B189" s="157" t="s">
        <v>609</v>
      </c>
      <c r="C189" s="144">
        <f>'Price List'!C189+'Cost Source'!L189</f>
        <v>17.5</v>
      </c>
      <c r="D189" s="227">
        <f t="shared" si="10"/>
        <v>17.989999999999998</v>
      </c>
      <c r="E189" s="144">
        <f>'Price List'!C189+'Cost Source'!Y189</f>
        <v>17.5</v>
      </c>
      <c r="F189" s="239">
        <f t="shared" si="12"/>
        <v>17.989999999999998</v>
      </c>
      <c r="G189" s="144">
        <f>'Price List'!C189+'Cost Source'!N189</f>
        <v>17.5</v>
      </c>
      <c r="H189" s="259">
        <f t="shared" si="13"/>
        <v>17.989999999999998</v>
      </c>
      <c r="I189" s="272">
        <f>'Cost Source'!P189</f>
        <v>0</v>
      </c>
      <c r="J189" s="295"/>
    </row>
    <row r="190" spans="1:11" x14ac:dyDescent="0.25">
      <c r="A190" s="26" t="s">
        <v>613</v>
      </c>
      <c r="B190" s="43" t="s">
        <v>610</v>
      </c>
      <c r="C190" s="144">
        <f>'Price List'!C190+'Cost Source'!L190</f>
        <v>19.95</v>
      </c>
      <c r="D190" s="226">
        <f t="shared" si="10"/>
        <v>19.989999999999998</v>
      </c>
      <c r="E190" s="144">
        <f>'Price List'!C190+'Cost Source'!Y190</f>
        <v>19.95</v>
      </c>
      <c r="F190" s="239">
        <f t="shared" si="12"/>
        <v>19.989999999999998</v>
      </c>
      <c r="G190" s="27">
        <f>'Price List'!C190+'Cost Source'!N190</f>
        <v>19.95</v>
      </c>
      <c r="H190" s="260">
        <f t="shared" si="13"/>
        <v>19.989999999999998</v>
      </c>
      <c r="I190" s="272">
        <f>'Cost Source'!P190</f>
        <v>0</v>
      </c>
      <c r="J190" s="294"/>
    </row>
    <row r="191" spans="1:11" x14ac:dyDescent="0.25">
      <c r="A191" s="140" t="s">
        <v>613</v>
      </c>
      <c r="B191" s="151">
        <v>23539623</v>
      </c>
      <c r="C191" s="144">
        <f>'Price List'!C191+'Cost Source'!L191</f>
        <v>22.1</v>
      </c>
      <c r="D191" s="227">
        <f t="shared" si="10"/>
        <v>22.99</v>
      </c>
      <c r="E191" s="144">
        <f>'Price List'!C191+'Cost Source'!Y191</f>
        <v>22.1</v>
      </c>
      <c r="F191" s="239">
        <f t="shared" si="12"/>
        <v>22.99</v>
      </c>
      <c r="G191" s="146">
        <f>'Price List'!C191+'Cost Source'!N191</f>
        <v>22.1</v>
      </c>
      <c r="H191" s="264">
        <f t="shared" si="13"/>
        <v>22.99</v>
      </c>
      <c r="I191" s="277">
        <f>'Cost Source'!P191</f>
        <v>0</v>
      </c>
      <c r="J191" s="289"/>
    </row>
    <row r="192" spans="1:11" x14ac:dyDescent="0.25">
      <c r="A192" t="s">
        <v>613</v>
      </c>
      <c r="B192" s="5" t="s">
        <v>611</v>
      </c>
      <c r="C192" s="144">
        <f>'Price List'!C192+'Cost Source'!L192</f>
        <v>20.25</v>
      </c>
      <c r="D192" s="226">
        <f t="shared" si="10"/>
        <v>20.99</v>
      </c>
      <c r="E192" s="144">
        <f>'Price List'!C192+'Cost Source'!Y192</f>
        <v>20.25</v>
      </c>
      <c r="F192" s="239">
        <f t="shared" si="12"/>
        <v>20.99</v>
      </c>
      <c r="G192" s="1">
        <f>'Price List'!C192+'Cost Source'!N192</f>
        <v>20.25</v>
      </c>
      <c r="H192" s="265">
        <f t="shared" si="13"/>
        <v>20.99</v>
      </c>
      <c r="I192" s="277">
        <f>'Cost Source'!P192</f>
        <v>0</v>
      </c>
      <c r="J192" s="290"/>
    </row>
    <row r="193" spans="1:11" x14ac:dyDescent="0.25">
      <c r="A193" s="147" t="s">
        <v>613</v>
      </c>
      <c r="B193" s="157" t="s">
        <v>904</v>
      </c>
      <c r="C193" s="144">
        <f>'Price List'!C193+'Cost Source'!L193</f>
        <v>20.58</v>
      </c>
      <c r="D193" s="227">
        <f t="shared" si="10"/>
        <v>20.99</v>
      </c>
      <c r="E193" s="144">
        <f>'Price List'!C193+'Cost Source'!Y193</f>
        <v>20.58</v>
      </c>
      <c r="F193" s="239">
        <f t="shared" si="12"/>
        <v>20.99</v>
      </c>
      <c r="G193" s="144">
        <f>'Price List'!C193+'Cost Source'!N193</f>
        <v>20.58</v>
      </c>
      <c r="H193" s="259">
        <f t="shared" si="13"/>
        <v>20.99</v>
      </c>
      <c r="I193" s="272">
        <f>'Cost Source'!P193</f>
        <v>0</v>
      </c>
      <c r="J193" s="295"/>
    </row>
    <row r="194" spans="1:11" x14ac:dyDescent="0.25">
      <c r="A194" s="26" t="s">
        <v>613</v>
      </c>
      <c r="B194" s="43" t="s">
        <v>612</v>
      </c>
      <c r="C194" s="144">
        <f>'Price List'!C194+'Cost Source'!L194</f>
        <v>19.5</v>
      </c>
      <c r="D194" s="226">
        <f t="shared" si="10"/>
        <v>19.989999999999998</v>
      </c>
      <c r="E194" s="144">
        <f>'Price List'!C194+'Cost Source'!Y194</f>
        <v>19.5</v>
      </c>
      <c r="F194" s="239">
        <f t="shared" si="12"/>
        <v>19.989999999999998</v>
      </c>
      <c r="G194" s="27">
        <f>'Price List'!C194+'Cost Source'!N194</f>
        <v>19.5</v>
      </c>
      <c r="H194" s="260">
        <f t="shared" si="13"/>
        <v>19.989999999999998</v>
      </c>
      <c r="I194" s="272">
        <f>'Cost Source'!P194</f>
        <v>0</v>
      </c>
      <c r="J194" s="294"/>
    </row>
    <row r="195" spans="1:11" x14ac:dyDescent="0.25">
      <c r="A195" s="140" t="s">
        <v>614</v>
      </c>
      <c r="B195" s="151">
        <v>80301</v>
      </c>
      <c r="C195" s="146"/>
      <c r="D195" s="227"/>
      <c r="E195" s="1">
        <f>'Price List'!C195+'Cost Source'!L195</f>
        <v>23.16</v>
      </c>
      <c r="F195" s="245">
        <f t="shared" si="12"/>
        <v>23.99</v>
      </c>
      <c r="G195" s="146">
        <f>'Price List'!C195+'Cost Source'!N195</f>
        <v>23.16</v>
      </c>
      <c r="H195" s="259">
        <f t="shared" si="13"/>
        <v>23.99</v>
      </c>
      <c r="I195" s="277">
        <f>'Cost Source'!P195</f>
        <v>0</v>
      </c>
      <c r="J195" s="290"/>
    </row>
    <row r="196" spans="1:11" x14ac:dyDescent="0.25">
      <c r="A196" t="s">
        <v>614</v>
      </c>
      <c r="B196" s="5">
        <v>7002525</v>
      </c>
      <c r="C196" s="1"/>
      <c r="D196" s="226"/>
      <c r="E196" s="146">
        <f>'Price List'!C196+'Cost Source'!L196</f>
        <v>23.16</v>
      </c>
      <c r="F196" s="245">
        <f t="shared" si="12"/>
        <v>23.99</v>
      </c>
      <c r="G196" s="146">
        <f>'Price List'!C196+'Cost Source'!N196</f>
        <v>23.16</v>
      </c>
      <c r="H196" s="259">
        <f t="shared" si="13"/>
        <v>23.99</v>
      </c>
      <c r="I196" s="277">
        <f>'Cost Source'!P196</f>
        <v>0</v>
      </c>
      <c r="J196" s="289"/>
    </row>
    <row r="197" spans="1:11" x14ac:dyDescent="0.25">
      <c r="A197" s="147" t="s">
        <v>422</v>
      </c>
      <c r="B197" s="157" t="s">
        <v>207</v>
      </c>
      <c r="C197" s="144"/>
      <c r="D197" s="230"/>
      <c r="E197" s="144">
        <f>'Price List'!C197+'Cost Source'!N197</f>
        <v>22.1</v>
      </c>
      <c r="F197" s="245">
        <f t="shared" si="12"/>
        <v>22.99</v>
      </c>
      <c r="G197" s="144">
        <f>'Price List'!C197+'Cost Source'!N197</f>
        <v>22.1</v>
      </c>
      <c r="H197" s="259">
        <f t="shared" si="13"/>
        <v>22.99</v>
      </c>
      <c r="I197" s="272">
        <f>'Cost Source'!P197</f>
        <v>0</v>
      </c>
      <c r="J197" s="294"/>
    </row>
    <row r="198" spans="1:11" x14ac:dyDescent="0.25">
      <c r="A198" s="36" t="s">
        <v>422</v>
      </c>
      <c r="B198" s="40">
        <v>23505720</v>
      </c>
      <c r="C198" s="35"/>
      <c r="D198" s="225"/>
      <c r="E198" s="35">
        <f>'Price List'!C198+'Cost Source'!N198</f>
        <v>17.25</v>
      </c>
      <c r="F198" s="240">
        <f t="shared" si="12"/>
        <v>17.989999999999998</v>
      </c>
      <c r="G198" s="35">
        <f>'Price List'!C198+'Cost Source'!N198</f>
        <v>17.25</v>
      </c>
      <c r="H198" s="263">
        <f t="shared" si="13"/>
        <v>17.989999999999998</v>
      </c>
      <c r="I198" s="272">
        <f>'Cost Source'!P198</f>
        <v>0</v>
      </c>
      <c r="J198" s="295"/>
    </row>
    <row r="199" spans="1:11" x14ac:dyDescent="0.25">
      <c r="A199" t="s">
        <v>422</v>
      </c>
      <c r="B199" s="4">
        <v>23506722</v>
      </c>
      <c r="C199" s="1"/>
      <c r="D199" s="226"/>
      <c r="E199" s="1">
        <f>'Price List'!C199+'Cost Source'!N199</f>
        <v>26.22</v>
      </c>
      <c r="F199" s="241">
        <f t="shared" si="12"/>
        <v>26.99</v>
      </c>
      <c r="G199" s="1">
        <f>'Price List'!C199+'Cost Source'!N199</f>
        <v>26.22</v>
      </c>
      <c r="H199" s="257">
        <f t="shared" si="13"/>
        <v>26.99</v>
      </c>
      <c r="I199" s="277">
        <f>'Cost Source'!P199</f>
        <v>0</v>
      </c>
      <c r="J199" s="290"/>
    </row>
    <row r="200" spans="1:11" x14ac:dyDescent="0.25">
      <c r="A200" s="30" t="s">
        <v>422</v>
      </c>
      <c r="B200" s="33">
        <v>23521528</v>
      </c>
      <c r="C200" s="32">
        <f>'Price List'!C200+'Cost Source'!F200+'Cost Source'!O200</f>
        <v>35.86</v>
      </c>
      <c r="D200" s="224">
        <f t="shared" si="10"/>
        <v>35.99</v>
      </c>
      <c r="E200" s="30"/>
      <c r="F200" s="239"/>
      <c r="G200" s="32">
        <f>'Price List'!C200+'Cost Source'!N200</f>
        <v>19.86</v>
      </c>
      <c r="H200" s="262">
        <f t="shared" si="13"/>
        <v>19.989999999999998</v>
      </c>
      <c r="I200" s="277">
        <f>'Cost Source'!P200</f>
        <v>0</v>
      </c>
      <c r="J200" s="289">
        <v>15</v>
      </c>
    </row>
    <row r="201" spans="1:11" x14ac:dyDescent="0.25">
      <c r="A201" s="26" t="s">
        <v>422</v>
      </c>
      <c r="B201" s="42">
        <v>23530573</v>
      </c>
      <c r="C201" s="27">
        <f>'Price List'!C201+'Cost Source'!G201+'Cost Source'!O201</f>
        <v>53.15</v>
      </c>
      <c r="D201" s="229">
        <f t="shared" si="10"/>
        <v>53.99</v>
      </c>
      <c r="E201" s="26"/>
      <c r="F201" s="244"/>
      <c r="G201" s="27">
        <f>'Price List'!C201+'Cost Source'!N201</f>
        <v>34.15</v>
      </c>
      <c r="H201" s="260">
        <f t="shared" si="13"/>
        <v>34.99</v>
      </c>
      <c r="I201" s="272">
        <v>-10</v>
      </c>
      <c r="J201" s="294">
        <v>15</v>
      </c>
      <c r="K201" t="s">
        <v>1029</v>
      </c>
    </row>
    <row r="202" spans="1:11" x14ac:dyDescent="0.25">
      <c r="A202" s="36" t="s">
        <v>422</v>
      </c>
      <c r="B202" s="40">
        <v>23530706</v>
      </c>
      <c r="C202" s="35">
        <f>'Price List'!C202+'Cost Source'!E202+'Cost Source'!O202</f>
        <v>40.42</v>
      </c>
      <c r="D202" s="225">
        <f t="shared" si="10"/>
        <v>40.99</v>
      </c>
      <c r="E202" s="36"/>
      <c r="F202" s="240"/>
      <c r="G202" s="35">
        <f>'Price List'!C202+'Cost Source'!N202</f>
        <v>23.42</v>
      </c>
      <c r="H202" s="263">
        <f t="shared" si="13"/>
        <v>23.99</v>
      </c>
      <c r="I202" s="272">
        <f>'Cost Source'!P202</f>
        <v>-5</v>
      </c>
      <c r="J202" s="295">
        <v>10</v>
      </c>
    </row>
    <row r="203" spans="1:11" x14ac:dyDescent="0.25">
      <c r="A203" t="s">
        <v>422</v>
      </c>
      <c r="B203" s="4">
        <v>23530707</v>
      </c>
      <c r="C203" s="1">
        <f>'Price List'!C203+'Cost Source'!E203+'Cost Source'!O203</f>
        <v>40.9</v>
      </c>
      <c r="D203" s="226">
        <f t="shared" si="10"/>
        <v>40.99</v>
      </c>
      <c r="F203" s="241"/>
      <c r="G203" s="1">
        <f>'Price List'!C203+'Cost Source'!N203</f>
        <v>23.9</v>
      </c>
      <c r="H203" s="257">
        <f t="shared" si="13"/>
        <v>23.99</v>
      </c>
      <c r="I203" s="277">
        <f>'Cost Source'!P203</f>
        <v>-5</v>
      </c>
      <c r="J203" s="290">
        <v>10</v>
      </c>
    </row>
    <row r="204" spans="1:11" x14ac:dyDescent="0.25">
      <c r="A204" s="30" t="s">
        <v>422</v>
      </c>
      <c r="B204" s="33">
        <v>23533816</v>
      </c>
      <c r="C204" s="32">
        <f>'Price List'!C204+'Cost Source'!F204+'Cost Source'!O204</f>
        <v>51</v>
      </c>
      <c r="D204" s="224">
        <f t="shared" si="10"/>
        <v>50.99</v>
      </c>
      <c r="E204" s="30"/>
      <c r="F204" s="239"/>
      <c r="G204" s="32">
        <f>'Price List'!C204+'Cost Source'!N204</f>
        <v>36</v>
      </c>
      <c r="H204" s="262">
        <f t="shared" si="13"/>
        <v>35.99</v>
      </c>
      <c r="I204" s="277">
        <f>'Cost Source'!P204</f>
        <v>-5</v>
      </c>
      <c r="J204" s="289">
        <v>15</v>
      </c>
    </row>
    <row r="205" spans="1:11" x14ac:dyDescent="0.25">
      <c r="A205" s="26" t="s">
        <v>422</v>
      </c>
      <c r="B205" s="42">
        <v>29540479</v>
      </c>
      <c r="C205" s="27">
        <f>'Price List'!C205+'Cost Source'!G205+'Cost Source'!O205</f>
        <v>225.44</v>
      </c>
      <c r="D205" s="229">
        <f t="shared" si="10"/>
        <v>225.99</v>
      </c>
      <c r="E205" s="27">
        <f>'Price List'!C205+'Cost Source'!T205</f>
        <v>210.44</v>
      </c>
      <c r="F205" s="244">
        <f t="shared" si="12"/>
        <v>210.99</v>
      </c>
      <c r="G205" s="27">
        <f>'Price List'!C205+'Cost Source'!N205</f>
        <v>206.44</v>
      </c>
      <c r="H205" s="260">
        <f t="shared" si="13"/>
        <v>206.99</v>
      </c>
      <c r="I205" s="277">
        <f>'Cost Source'!P205</f>
        <v>0</v>
      </c>
      <c r="J205" s="290"/>
    </row>
    <row r="206" spans="1:11" x14ac:dyDescent="0.25">
      <c r="A206" s="36" t="s">
        <v>422</v>
      </c>
      <c r="B206" s="40">
        <v>29545776</v>
      </c>
      <c r="C206" s="35">
        <f>'Price List'!C206+'Cost Source'!G206+'Cost Source'!O206</f>
        <v>86.68</v>
      </c>
      <c r="D206" s="225">
        <f t="shared" si="10"/>
        <v>86.99</v>
      </c>
      <c r="E206" s="35">
        <f>'Price List'!C206+'Cost Source'!T206</f>
        <v>71.680000000000007</v>
      </c>
      <c r="F206" s="240">
        <f t="shared" si="12"/>
        <v>71.989999999999995</v>
      </c>
      <c r="G206" s="35">
        <f>'Price List'!C206+'Cost Source'!N206</f>
        <v>67.680000000000007</v>
      </c>
      <c r="H206" s="263">
        <f t="shared" si="13"/>
        <v>67.989999999999995</v>
      </c>
      <c r="I206" s="277">
        <f>'Cost Source'!P206</f>
        <v>0</v>
      </c>
      <c r="J206" s="289"/>
    </row>
    <row r="207" spans="1:11" x14ac:dyDescent="0.25">
      <c r="A207" t="s">
        <v>422</v>
      </c>
      <c r="B207" s="4">
        <v>320628</v>
      </c>
      <c r="C207" s="1"/>
      <c r="D207" s="226"/>
      <c r="E207" s="1">
        <f>'Price List'!C207+'Cost Source'!O207</f>
        <v>22.490000000000002</v>
      </c>
      <c r="F207" s="241">
        <f t="shared" si="12"/>
        <v>22.99</v>
      </c>
      <c r="G207" s="1">
        <f>'Price List'!C207+'Cost Source'!N207</f>
        <v>14.49</v>
      </c>
      <c r="H207" s="257">
        <f t="shared" si="13"/>
        <v>14.99</v>
      </c>
      <c r="I207" s="277">
        <f>'Cost Source'!P207</f>
        <v>0</v>
      </c>
      <c r="J207" s="290"/>
    </row>
    <row r="208" spans="1:11" x14ac:dyDescent="0.25">
      <c r="A208" s="30" t="s">
        <v>422</v>
      </c>
      <c r="B208" s="31" t="s">
        <v>208</v>
      </c>
      <c r="C208" s="32"/>
      <c r="D208" s="224"/>
      <c r="E208" s="32">
        <f>'Price List'!C208+'Cost Source'!O208</f>
        <v>112.42</v>
      </c>
      <c r="F208" s="239">
        <f t="shared" si="12"/>
        <v>112.99</v>
      </c>
      <c r="G208" s="32">
        <f>'Price List'!C208+'Cost Source'!N208</f>
        <v>111.42</v>
      </c>
      <c r="H208" s="262">
        <f t="shared" si="13"/>
        <v>111.99</v>
      </c>
      <c r="I208" s="277">
        <f>'Cost Source'!P208</f>
        <v>0</v>
      </c>
      <c r="J208" s="289"/>
    </row>
    <row r="209" spans="1:11" x14ac:dyDescent="0.25">
      <c r="A209" s="26" t="s">
        <v>422</v>
      </c>
      <c r="B209" s="41" t="s">
        <v>209</v>
      </c>
      <c r="C209" s="27">
        <f>'Price List'!C209+'Cost Source'!O209</f>
        <v>27.96</v>
      </c>
      <c r="D209" s="229">
        <f t="shared" si="10"/>
        <v>27.99</v>
      </c>
      <c r="E209" s="27">
        <f>'Price List'!C209+'Cost Source'!O209</f>
        <v>27.96</v>
      </c>
      <c r="F209" s="244">
        <f t="shared" si="12"/>
        <v>27.99</v>
      </c>
      <c r="G209" s="27">
        <f>'Price List'!C209+'Cost Source'!N209</f>
        <v>20.96</v>
      </c>
      <c r="H209" s="260">
        <f t="shared" si="13"/>
        <v>20.99</v>
      </c>
      <c r="I209" s="272">
        <f>'Cost Source'!P209</f>
        <v>0</v>
      </c>
      <c r="J209" s="294">
        <v>10</v>
      </c>
    </row>
    <row r="210" spans="1:11" x14ac:dyDescent="0.25">
      <c r="A210" s="36" t="s">
        <v>422</v>
      </c>
      <c r="B210" s="39" t="s">
        <v>210</v>
      </c>
      <c r="C210" s="35">
        <f>'Price List'!C210+'Cost Source'!F210+'Cost Source'!O210</f>
        <v>130</v>
      </c>
      <c r="D210" s="225">
        <f t="shared" si="10"/>
        <v>129.99</v>
      </c>
      <c r="E210" s="35">
        <f>'Price List'!C210+'Cost Source'!S210</f>
        <v>120</v>
      </c>
      <c r="F210" s="240">
        <f t="shared" si="12"/>
        <v>119.99</v>
      </c>
      <c r="G210" s="35">
        <f>'Price List'!C210+'Cost Source'!N210</f>
        <v>105</v>
      </c>
      <c r="H210" s="263">
        <f t="shared" si="13"/>
        <v>104.99</v>
      </c>
      <c r="I210" s="272">
        <f>'Cost Source'!P210</f>
        <v>0</v>
      </c>
      <c r="J210" s="295">
        <v>20</v>
      </c>
    </row>
    <row r="211" spans="1:11" x14ac:dyDescent="0.25">
      <c r="A211" s="147" t="s">
        <v>422</v>
      </c>
      <c r="B211" s="155" t="s">
        <v>756</v>
      </c>
      <c r="C211" s="144">
        <f>'Price List'!C211+'Cost Source'!F211+'Cost Source'!O211</f>
        <v>120.37</v>
      </c>
      <c r="D211" s="230">
        <f t="shared" si="10"/>
        <v>120.99</v>
      </c>
      <c r="E211" s="144">
        <f>'Price List'!C211+'Cost Source'!S211</f>
        <v>110.37</v>
      </c>
      <c r="F211" s="245">
        <f t="shared" si="12"/>
        <v>110.99</v>
      </c>
      <c r="G211" s="144">
        <f>'Price List'!C211+'Cost Source'!N211</f>
        <v>110.37</v>
      </c>
      <c r="H211" s="263">
        <f t="shared" si="13"/>
        <v>110.99</v>
      </c>
      <c r="I211" s="272">
        <f>'Cost Source'!P211</f>
        <v>0</v>
      </c>
      <c r="J211" s="294">
        <v>20</v>
      </c>
    </row>
    <row r="212" spans="1:11" x14ac:dyDescent="0.25">
      <c r="A212" t="s">
        <v>422</v>
      </c>
      <c r="B212" s="3" t="s">
        <v>211</v>
      </c>
      <c r="C212" s="1">
        <f>'Price List'!C212+'Cost Source'!F212+'Cost Source'!O212</f>
        <v>199.01</v>
      </c>
      <c r="D212" s="226">
        <f t="shared" si="10"/>
        <v>199.99</v>
      </c>
      <c r="E212" s="1">
        <f>'Price List'!C212+'Cost Source'!S212</f>
        <v>189.01</v>
      </c>
      <c r="F212" s="241">
        <f t="shared" si="12"/>
        <v>189.99</v>
      </c>
      <c r="G212" s="1">
        <f>'Price List'!C212+'Cost Source'!N212</f>
        <v>177.01</v>
      </c>
      <c r="H212" s="257">
        <f t="shared" si="13"/>
        <v>177.99</v>
      </c>
      <c r="I212" s="277">
        <f>'Cost Source'!P212</f>
        <v>0</v>
      </c>
      <c r="J212" s="289">
        <v>20</v>
      </c>
    </row>
    <row r="213" spans="1:11" x14ac:dyDescent="0.25">
      <c r="A213" s="30" t="s">
        <v>422</v>
      </c>
      <c r="B213" s="31" t="s">
        <v>212</v>
      </c>
      <c r="C213" s="32">
        <f>'Price List'!C213+'Cost Source'!E213+'Cost Source'!O213</f>
        <v>136.31</v>
      </c>
      <c r="D213" s="224">
        <f t="shared" si="10"/>
        <v>136.99</v>
      </c>
      <c r="E213" s="32">
        <f>'Price List'!C213+'Cost Source'!R213</f>
        <v>35.31</v>
      </c>
      <c r="F213" s="239">
        <f t="shared" si="12"/>
        <v>35.99</v>
      </c>
      <c r="G213" s="32">
        <f>'Price List'!C213+'Cost Source'!N213</f>
        <v>127.31</v>
      </c>
      <c r="H213" s="262">
        <f t="shared" si="13"/>
        <v>127.99</v>
      </c>
      <c r="I213" s="277">
        <v>-30</v>
      </c>
      <c r="J213" s="290">
        <v>25</v>
      </c>
    </row>
    <row r="214" spans="1:11" x14ac:dyDescent="0.25">
      <c r="A214" s="147" t="s">
        <v>422</v>
      </c>
      <c r="B214" s="141" t="s">
        <v>1295</v>
      </c>
      <c r="C214" s="146">
        <f>'Price List'!C214+'Cost Source'!F214+'Cost Source'!O214</f>
        <v>107.39</v>
      </c>
      <c r="D214" s="227">
        <f t="shared" si="10"/>
        <v>107.99</v>
      </c>
      <c r="E214" s="146">
        <f>'Price List'!C214+'Cost Source'!S214</f>
        <v>97.39</v>
      </c>
      <c r="F214" s="242">
        <f t="shared" si="12"/>
        <v>97.99</v>
      </c>
      <c r="G214" s="146">
        <f>'Price List'!C214+'Cost Source'!N214</f>
        <v>80.39</v>
      </c>
      <c r="H214" s="258">
        <f t="shared" si="13"/>
        <v>80.989999999999995</v>
      </c>
      <c r="I214" s="279"/>
      <c r="J214" s="290">
        <v>25</v>
      </c>
    </row>
    <row r="215" spans="1:11" x14ac:dyDescent="0.25">
      <c r="A215" s="26" t="s">
        <v>422</v>
      </c>
      <c r="B215" s="41" t="s">
        <v>213</v>
      </c>
      <c r="C215" s="27">
        <f>'Price List'!C215+'Cost Source'!M215+'Cost Source'!O215</f>
        <v>133.55000000000001</v>
      </c>
      <c r="D215" s="231">
        <f t="shared" si="10"/>
        <v>133.99</v>
      </c>
      <c r="E215" s="154">
        <f>'Price List'!C215+'Cost Source'!Z215</f>
        <v>118.55</v>
      </c>
      <c r="F215" s="246">
        <f t="shared" si="12"/>
        <v>118.99</v>
      </c>
      <c r="G215" s="27">
        <f>'Price List'!C215+'Cost Source'!N215</f>
        <v>90.55</v>
      </c>
      <c r="H215" s="260">
        <f t="shared" si="13"/>
        <v>90.99</v>
      </c>
      <c r="I215" s="276">
        <f>'Cost Source'!P215</f>
        <v>0</v>
      </c>
      <c r="J215" s="295">
        <v>50</v>
      </c>
    </row>
    <row r="216" spans="1:11" x14ac:dyDescent="0.25">
      <c r="A216" s="36" t="s">
        <v>422</v>
      </c>
      <c r="B216" s="39" t="s">
        <v>519</v>
      </c>
      <c r="C216" s="35">
        <f>'Price List'!C216+'Cost Source'!M216+'Cost Source'!O216</f>
        <v>181.7</v>
      </c>
      <c r="D216" s="231">
        <f t="shared" si="10"/>
        <v>181.99</v>
      </c>
      <c r="E216" s="27">
        <f>'Price List'!C216+'Cost Source'!Z216</f>
        <v>166.7</v>
      </c>
      <c r="F216" s="246">
        <f t="shared" si="12"/>
        <v>166.99</v>
      </c>
      <c r="G216" s="35">
        <f>'Price List'!C216+'Cost Source'!N216</f>
        <v>138.69999999999999</v>
      </c>
      <c r="H216" s="263">
        <f t="shared" si="13"/>
        <v>138.99</v>
      </c>
      <c r="I216" s="272">
        <f>'Cost Source'!P216</f>
        <v>0</v>
      </c>
      <c r="J216" s="294">
        <v>50</v>
      </c>
    </row>
    <row r="217" spans="1:11" x14ac:dyDescent="0.25">
      <c r="A217" s="147" t="s">
        <v>422</v>
      </c>
      <c r="B217" s="155" t="s">
        <v>1193</v>
      </c>
      <c r="C217" s="144">
        <f>'Price List'!C217+'Cost Source'!F217+'Cost Source'!O217</f>
        <v>199.01</v>
      </c>
      <c r="D217" s="225">
        <f t="shared" si="10"/>
        <v>199.99</v>
      </c>
      <c r="E217" s="144">
        <f>'Price List'!C217+'Cost Source'!S217</f>
        <v>189.01</v>
      </c>
      <c r="F217" s="240">
        <f t="shared" si="12"/>
        <v>189.99</v>
      </c>
      <c r="G217" s="144">
        <f>'Price List'!C217+'Cost Source'!N217</f>
        <v>177.01</v>
      </c>
      <c r="H217" s="263">
        <f t="shared" si="13"/>
        <v>177.99</v>
      </c>
      <c r="I217" s="275">
        <v>0</v>
      </c>
      <c r="J217" s="294">
        <v>20</v>
      </c>
    </row>
    <row r="218" spans="1:11" x14ac:dyDescent="0.25">
      <c r="A218" s="147" t="s">
        <v>422</v>
      </c>
      <c r="B218" s="155" t="s">
        <v>1211</v>
      </c>
      <c r="C218" s="144">
        <f>'Price List'!C218+'Cost Source'!M218+'Cost Source'!O218</f>
        <v>211.23</v>
      </c>
      <c r="D218" s="225">
        <f t="shared" si="10"/>
        <v>211.99</v>
      </c>
      <c r="E218" s="144">
        <f>'Price List'!C218+'Cost Source'!Z218</f>
        <v>196.23</v>
      </c>
      <c r="F218" s="240">
        <f t="shared" si="12"/>
        <v>196.99</v>
      </c>
      <c r="G218" s="144">
        <f>'Price List'!C218+'Cost Source'!N218</f>
        <v>171.23</v>
      </c>
      <c r="H218" s="263">
        <f t="shared" si="13"/>
        <v>171.99</v>
      </c>
      <c r="I218" s="275"/>
      <c r="J218" s="294">
        <v>50</v>
      </c>
    </row>
    <row r="219" spans="1:11" x14ac:dyDescent="0.25">
      <c r="A219" s="147" t="s">
        <v>422</v>
      </c>
      <c r="B219" s="155" t="s">
        <v>1212</v>
      </c>
      <c r="C219" s="144">
        <f>'Price List'!C219+'Cost Source'!L219+'Cost Source'!O219</f>
        <v>67</v>
      </c>
      <c r="D219" s="225">
        <f t="shared" si="10"/>
        <v>66.989999999999995</v>
      </c>
      <c r="E219" s="144">
        <f>'Price List'!C219+'Cost Source'!Y219</f>
        <v>57</v>
      </c>
      <c r="F219" s="240">
        <f t="shared" si="12"/>
        <v>56.99</v>
      </c>
      <c r="G219" s="144">
        <f>'Price List'!C219+'Cost Source'!N219</f>
        <v>53</v>
      </c>
      <c r="H219" s="263">
        <f t="shared" si="13"/>
        <v>52.99</v>
      </c>
      <c r="I219" s="275"/>
      <c r="J219" s="294">
        <v>20</v>
      </c>
    </row>
    <row r="220" spans="1:11" x14ac:dyDescent="0.25">
      <c r="A220" s="30" t="s">
        <v>422</v>
      </c>
      <c r="B220" s="31" t="s">
        <v>214</v>
      </c>
      <c r="C220" s="32"/>
      <c r="D220" s="227"/>
      <c r="E220" s="30"/>
      <c r="F220" s="239"/>
      <c r="G220" s="32">
        <f>'Price List'!C220+'Cost Source'!N220</f>
        <v>36.29</v>
      </c>
      <c r="H220" s="263">
        <f t="shared" si="13"/>
        <v>36.99</v>
      </c>
      <c r="I220" s="277">
        <f>'Cost Source'!P220</f>
        <v>0</v>
      </c>
      <c r="J220" s="290"/>
      <c r="K220" t="s">
        <v>1020</v>
      </c>
    </row>
    <row r="221" spans="1:11" x14ac:dyDescent="0.25">
      <c r="A221" s="26" t="s">
        <v>422</v>
      </c>
      <c r="B221" s="41" t="s">
        <v>215</v>
      </c>
      <c r="C221" s="27">
        <f>'Price List'!C221+'Cost Source'!L221+'Cost Source'!O221</f>
        <v>25.83</v>
      </c>
      <c r="D221" s="226">
        <f t="shared" si="10"/>
        <v>25.99</v>
      </c>
      <c r="E221" s="27">
        <f>'Price List'!C221+'Cost Source'!Y221</f>
        <v>25.83</v>
      </c>
      <c r="F221" s="244">
        <f t="shared" si="12"/>
        <v>25.99</v>
      </c>
      <c r="G221" s="27">
        <f>'Price List'!C221+'Cost Source'!N221</f>
        <v>25.83</v>
      </c>
      <c r="H221" s="260">
        <f t="shared" si="13"/>
        <v>25.99</v>
      </c>
      <c r="I221" s="272">
        <f>'Cost Source'!P221</f>
        <v>0</v>
      </c>
      <c r="J221" s="294"/>
    </row>
    <row r="222" spans="1:11" x14ac:dyDescent="0.25">
      <c r="A222" s="36" t="s">
        <v>422</v>
      </c>
      <c r="B222" s="39" t="s">
        <v>216</v>
      </c>
      <c r="C222" s="35">
        <f>'Price List'!C222+'Cost Source'!G222+'Cost Source'!O222</f>
        <v>72.8</v>
      </c>
      <c r="D222" s="225">
        <f t="shared" si="10"/>
        <v>72.989999999999995</v>
      </c>
      <c r="E222" s="35">
        <f>'Price List'!C222+'Cost Source'!T222</f>
        <v>52.8</v>
      </c>
      <c r="F222" s="240">
        <f t="shared" si="12"/>
        <v>52.99</v>
      </c>
      <c r="G222" s="35">
        <f>'Price List'!C222+'Cost Source'!N222</f>
        <v>43.8</v>
      </c>
      <c r="H222" s="263">
        <f t="shared" si="13"/>
        <v>43.99</v>
      </c>
      <c r="I222" s="272">
        <f>'Cost Source'!P222</f>
        <v>0</v>
      </c>
      <c r="J222" s="295">
        <v>15</v>
      </c>
    </row>
    <row r="223" spans="1:11" x14ac:dyDescent="0.25">
      <c r="A223" t="s">
        <v>422</v>
      </c>
      <c r="B223" s="3" t="s">
        <v>217</v>
      </c>
      <c r="C223" s="1">
        <f>'Price List'!C223+'Cost Source'!O223</f>
        <v>16.47</v>
      </c>
      <c r="D223" s="226">
        <f t="shared" si="10"/>
        <v>16.989999999999998</v>
      </c>
      <c r="E223" s="1">
        <f>'Price List'!C223+'Cost Source'!O223</f>
        <v>16.47</v>
      </c>
      <c r="F223" s="241">
        <f t="shared" si="12"/>
        <v>16.989999999999998</v>
      </c>
      <c r="G223" s="1">
        <f>'Price List'!C223+'Cost Source'!N223</f>
        <v>13.469999999999999</v>
      </c>
      <c r="H223" s="257">
        <f t="shared" si="13"/>
        <v>13.99</v>
      </c>
      <c r="I223" s="277">
        <f>'Cost Source'!P223</f>
        <v>0</v>
      </c>
      <c r="J223" s="290"/>
    </row>
    <row r="224" spans="1:11" x14ac:dyDescent="0.25">
      <c r="A224" s="30" t="s">
        <v>422</v>
      </c>
      <c r="B224" s="31" t="s">
        <v>218</v>
      </c>
      <c r="C224" s="32">
        <f>'Price List'!C224+'Cost Source'!E224+'Cost Source'!O224</f>
        <v>135.79000000000002</v>
      </c>
      <c r="D224" s="224">
        <f t="shared" si="10"/>
        <v>135.99</v>
      </c>
      <c r="E224" s="30"/>
      <c r="F224" s="242"/>
      <c r="G224" s="32">
        <f>'Price List'!C224+'Cost Source'!N224</f>
        <v>120.79</v>
      </c>
      <c r="H224" s="262">
        <f t="shared" si="13"/>
        <v>120.99</v>
      </c>
      <c r="I224" s="277">
        <v>-30</v>
      </c>
      <c r="J224" s="289">
        <v>30</v>
      </c>
    </row>
    <row r="225" spans="1:10" x14ac:dyDescent="0.25">
      <c r="A225" s="26" t="s">
        <v>422</v>
      </c>
      <c r="B225" s="41" t="s">
        <v>219</v>
      </c>
      <c r="C225" s="27">
        <f>'Price List'!C225+'Cost Source'!L225</f>
        <v>71.56</v>
      </c>
      <c r="D225" s="224">
        <f t="shared" si="10"/>
        <v>71.989999999999995</v>
      </c>
      <c r="E225" s="27">
        <f>'Price List'!C225+'Cost Source'!Y225</f>
        <v>71.56</v>
      </c>
      <c r="F225" s="242">
        <f t="shared" si="12"/>
        <v>71.989999999999995</v>
      </c>
      <c r="G225" s="27">
        <f>'Price List'!C225+'Cost Source'!N225</f>
        <v>71.56</v>
      </c>
      <c r="H225" s="260">
        <f t="shared" si="13"/>
        <v>71.989999999999995</v>
      </c>
      <c r="I225" s="272">
        <f>'Cost Source'!P225</f>
        <v>0</v>
      </c>
      <c r="J225" s="294"/>
    </row>
    <row r="226" spans="1:10" x14ac:dyDescent="0.25">
      <c r="A226" s="36" t="s">
        <v>422</v>
      </c>
      <c r="B226" s="39" t="s">
        <v>220</v>
      </c>
      <c r="C226" s="35">
        <f>'Price List'!C226+'Cost Source'!G226+'Cost Source'!O226</f>
        <v>67.990000000000009</v>
      </c>
      <c r="D226" s="225">
        <f t="shared" si="10"/>
        <v>67.989999999999995</v>
      </c>
      <c r="E226" s="36"/>
      <c r="F226" s="242"/>
      <c r="G226" s="35">
        <f>'Price List'!C226+'Cost Source'!N226</f>
        <v>51.99</v>
      </c>
      <c r="H226" s="263">
        <f t="shared" si="13"/>
        <v>51.99</v>
      </c>
      <c r="I226" s="272">
        <f>'Cost Source'!P226</f>
        <v>-10</v>
      </c>
      <c r="J226" s="295">
        <v>20</v>
      </c>
    </row>
    <row r="227" spans="1:10" x14ac:dyDescent="0.25">
      <c r="A227" t="s">
        <v>422</v>
      </c>
      <c r="B227" s="3" t="s">
        <v>221</v>
      </c>
      <c r="C227" s="1">
        <f>'Price List'!C227+'Cost Source'!L227</f>
        <v>151.41</v>
      </c>
      <c r="D227" s="225">
        <f t="shared" si="10"/>
        <v>151.99</v>
      </c>
      <c r="E227" s="1">
        <f>'Price List'!C227+'Cost Source'!Y227</f>
        <v>151.41</v>
      </c>
      <c r="F227" s="242">
        <f t="shared" si="12"/>
        <v>151.99</v>
      </c>
      <c r="G227" s="1">
        <f>'Price List'!C227+'Cost Source'!N227</f>
        <v>151.41</v>
      </c>
      <c r="H227" s="257">
        <f t="shared" si="13"/>
        <v>151.99</v>
      </c>
      <c r="I227" s="277">
        <f>'Cost Source'!P227</f>
        <v>0</v>
      </c>
      <c r="J227" s="290"/>
    </row>
    <row r="228" spans="1:10" x14ac:dyDescent="0.25">
      <c r="A228" s="30" t="s">
        <v>422</v>
      </c>
      <c r="B228" s="31" t="s">
        <v>222</v>
      </c>
      <c r="C228" s="32">
        <f>'Price List'!C228+'Cost Source'!L228</f>
        <v>247.18</v>
      </c>
      <c r="D228" s="225">
        <f t="shared" si="10"/>
        <v>247.99</v>
      </c>
      <c r="E228" s="32">
        <f>'Price List'!C228+'Cost Source'!Y228</f>
        <v>247.18</v>
      </c>
      <c r="F228" s="242">
        <f t="shared" si="12"/>
        <v>247.99</v>
      </c>
      <c r="G228" s="32">
        <f>'Price List'!C228+'Cost Source'!N228</f>
        <v>247.18</v>
      </c>
      <c r="H228" s="262">
        <f t="shared" si="13"/>
        <v>247.99</v>
      </c>
      <c r="I228" s="277">
        <f>'Cost Source'!P228</f>
        <v>0</v>
      </c>
      <c r="J228" s="289"/>
    </row>
    <row r="229" spans="1:10" x14ac:dyDescent="0.25">
      <c r="A229" s="26" t="s">
        <v>422</v>
      </c>
      <c r="B229" s="41" t="s">
        <v>223</v>
      </c>
      <c r="C229" s="27">
        <f>'Price List'!C229+'Cost Source'!L229</f>
        <v>158.43</v>
      </c>
      <c r="D229" s="225">
        <f t="shared" si="10"/>
        <v>158.99</v>
      </c>
      <c r="E229" s="27">
        <f>'Price List'!C229+'Cost Source'!Y229</f>
        <v>158.43</v>
      </c>
      <c r="F229" s="242">
        <f t="shared" si="12"/>
        <v>158.99</v>
      </c>
      <c r="G229" s="27">
        <f>'Price List'!C229+'Cost Source'!N229</f>
        <v>158.43</v>
      </c>
      <c r="H229" s="260">
        <f t="shared" si="13"/>
        <v>158.99</v>
      </c>
      <c r="I229" s="272">
        <f>'Cost Source'!P229</f>
        <v>0</v>
      </c>
      <c r="J229" s="294"/>
    </row>
    <row r="230" spans="1:10" x14ac:dyDescent="0.25">
      <c r="A230" s="158" t="s">
        <v>422</v>
      </c>
      <c r="B230" s="326" t="s">
        <v>520</v>
      </c>
      <c r="C230" s="198">
        <f>'Price List'!C230+'Cost Source'!E230+'Cost Source'!O230</f>
        <v>145.87</v>
      </c>
      <c r="D230" s="238">
        <f t="shared" si="10"/>
        <v>145.99</v>
      </c>
      <c r="E230" s="198"/>
      <c r="F230" s="283"/>
      <c r="G230" s="198">
        <f>'Price List'!C230+'Cost Source'!N230</f>
        <v>130.87</v>
      </c>
      <c r="H230" s="269">
        <f t="shared" si="13"/>
        <v>130.99</v>
      </c>
      <c r="I230" s="280">
        <v>-30</v>
      </c>
      <c r="J230" s="295">
        <v>30</v>
      </c>
    </row>
    <row r="231" spans="1:10" x14ac:dyDescent="0.25">
      <c r="A231" s="147" t="s">
        <v>422</v>
      </c>
      <c r="B231" s="155" t="s">
        <v>1209</v>
      </c>
      <c r="C231" s="144">
        <f>'Price List'!C231+'Cost Source'!L231</f>
        <v>143.97</v>
      </c>
      <c r="D231" s="230">
        <f t="shared" si="10"/>
        <v>143.99</v>
      </c>
      <c r="E231" s="144">
        <f>'Price List'!C231+'Cost Source'!Y231</f>
        <v>143.97</v>
      </c>
      <c r="F231" s="242">
        <f t="shared" si="12"/>
        <v>143.99</v>
      </c>
      <c r="G231" s="144">
        <f>'Price List'!C231+'Cost Source'!N231</f>
        <v>143.97</v>
      </c>
      <c r="H231" s="259">
        <f t="shared" si="13"/>
        <v>143.99</v>
      </c>
      <c r="I231" s="275"/>
      <c r="J231" s="294"/>
    </row>
    <row r="232" spans="1:10" x14ac:dyDescent="0.25">
      <c r="A232" t="s">
        <v>422</v>
      </c>
      <c r="B232" s="3" t="s">
        <v>224</v>
      </c>
      <c r="C232" s="1"/>
      <c r="D232" s="237"/>
      <c r="E232" s="1"/>
      <c r="F232" s="241"/>
      <c r="G232" s="1">
        <f>'Price List'!C232+'Cost Source'!N232</f>
        <v>122.65</v>
      </c>
      <c r="H232" s="257">
        <f t="shared" si="13"/>
        <v>122.99</v>
      </c>
      <c r="I232" s="282">
        <f>'Cost Source'!P232</f>
        <v>0</v>
      </c>
      <c r="J232" s="292"/>
    </row>
    <row r="233" spans="1:10" x14ac:dyDescent="0.25">
      <c r="A233" s="30" t="s">
        <v>422</v>
      </c>
      <c r="B233" s="31" t="s">
        <v>225</v>
      </c>
      <c r="C233" s="32"/>
      <c r="D233" s="232"/>
      <c r="E233" s="32"/>
      <c r="F233" s="239"/>
      <c r="G233" s="32">
        <f>'Price List'!C233+'Cost Source'!N233</f>
        <v>127.86</v>
      </c>
      <c r="H233" s="262">
        <f t="shared" si="13"/>
        <v>127.99</v>
      </c>
      <c r="I233" s="277">
        <f>'Cost Source'!P233</f>
        <v>0</v>
      </c>
      <c r="J233" s="289"/>
    </row>
    <row r="234" spans="1:10" x14ac:dyDescent="0.25">
      <c r="A234" s="26" t="s">
        <v>422</v>
      </c>
      <c r="B234" s="41" t="s">
        <v>226</v>
      </c>
      <c r="C234" s="27"/>
      <c r="D234" s="225"/>
      <c r="E234" s="27"/>
      <c r="F234" s="244"/>
      <c r="G234" s="27">
        <f>'Price List'!C234+'Cost Source'!N234</f>
        <v>123.97</v>
      </c>
      <c r="H234" s="260">
        <f t="shared" si="13"/>
        <v>123.99</v>
      </c>
      <c r="I234" s="272">
        <f>'Cost Source'!P234</f>
        <v>0</v>
      </c>
      <c r="J234" s="294">
        <v>25</v>
      </c>
    </row>
    <row r="235" spans="1:10" x14ac:dyDescent="0.25">
      <c r="A235" s="36" t="s">
        <v>422</v>
      </c>
      <c r="B235" s="39" t="s">
        <v>227</v>
      </c>
      <c r="C235" s="35"/>
      <c r="D235" s="230"/>
      <c r="E235" s="35"/>
      <c r="F235" s="245"/>
      <c r="G235" s="35">
        <f>'Price List'!C235+'Cost Source'!N235</f>
        <v>111.45</v>
      </c>
      <c r="H235" s="263">
        <f t="shared" si="13"/>
        <v>111.99</v>
      </c>
      <c r="I235" s="272">
        <f>'Cost Source'!P235</f>
        <v>0</v>
      </c>
      <c r="J235" s="295"/>
    </row>
    <row r="236" spans="1:10" x14ac:dyDescent="0.25">
      <c r="A236" t="s">
        <v>422</v>
      </c>
      <c r="B236" s="3" t="s">
        <v>228</v>
      </c>
      <c r="C236" s="1">
        <f>'Price List'!C236+'Cost Source'!H236+'Cost Source'!O236</f>
        <v>86.509999999999991</v>
      </c>
      <c r="D236" s="226">
        <f t="shared" ref="D236:D360" si="14">ROUNDUP(C236,0)-0.01</f>
        <v>86.99</v>
      </c>
      <c r="E236" s="1">
        <f>'Price List'!C236+'Cost Source'!U236</f>
        <v>76.509999999999991</v>
      </c>
      <c r="F236" s="241">
        <f t="shared" si="12"/>
        <v>76.989999999999995</v>
      </c>
      <c r="G236" s="1">
        <f>'Price List'!C236+'Cost Source'!N236</f>
        <v>73.509999999999991</v>
      </c>
      <c r="H236" s="257">
        <f t="shared" si="13"/>
        <v>73.989999999999995</v>
      </c>
      <c r="I236" s="277">
        <f>'Cost Source'!P236</f>
        <v>0</v>
      </c>
      <c r="J236" s="290">
        <v>20</v>
      </c>
    </row>
    <row r="237" spans="1:10" x14ac:dyDescent="0.25">
      <c r="A237" s="30" t="s">
        <v>422</v>
      </c>
      <c r="B237" s="31" t="s">
        <v>229</v>
      </c>
      <c r="C237" s="32">
        <f>'Price List'!C237+'Cost Source'!L237+'Cost Source'!O237</f>
        <v>28.05</v>
      </c>
      <c r="D237" s="227">
        <f t="shared" si="14"/>
        <v>28.99</v>
      </c>
      <c r="E237" s="32">
        <f>'Price List'!C237+'Cost Source'!Y237</f>
        <v>28.05</v>
      </c>
      <c r="F237" s="242">
        <f t="shared" si="12"/>
        <v>28.99</v>
      </c>
      <c r="G237" s="32">
        <f>'Price List'!C237+'Cost Source'!N237</f>
        <v>28.05</v>
      </c>
      <c r="H237" s="262">
        <f t="shared" si="13"/>
        <v>28.99</v>
      </c>
      <c r="I237" s="277">
        <f>'Cost Source'!P237</f>
        <v>0</v>
      </c>
      <c r="J237" s="289"/>
    </row>
    <row r="238" spans="1:10" x14ac:dyDescent="0.25">
      <c r="A238" s="26" t="s">
        <v>422</v>
      </c>
      <c r="B238" s="41" t="s">
        <v>230</v>
      </c>
      <c r="C238" s="35">
        <f>'Price List'!C238+'Cost Source'!L238</f>
        <v>219.51</v>
      </c>
      <c r="D238" s="229">
        <f t="shared" si="14"/>
        <v>219.99</v>
      </c>
      <c r="E238" s="35">
        <f>'Price List'!C238+'Cost Source'!Y238</f>
        <v>219.51</v>
      </c>
      <c r="F238" s="244">
        <f t="shared" si="12"/>
        <v>219.99</v>
      </c>
      <c r="G238" s="27">
        <f>'Price List'!C238+'Cost Source'!N238</f>
        <v>219.51</v>
      </c>
      <c r="H238" s="260">
        <f t="shared" si="13"/>
        <v>219.99</v>
      </c>
      <c r="I238" s="272">
        <f>'Cost Source'!P238</f>
        <v>0</v>
      </c>
      <c r="J238" s="294">
        <v>10</v>
      </c>
    </row>
    <row r="239" spans="1:10" x14ac:dyDescent="0.25">
      <c r="A239" s="36" t="s">
        <v>422</v>
      </c>
      <c r="B239" s="39" t="s">
        <v>231</v>
      </c>
      <c r="C239" s="35">
        <f>'Price List'!C239+'Cost Source'!G239+'Cost Source'!O239</f>
        <v>67</v>
      </c>
      <c r="D239" s="225">
        <f t="shared" si="14"/>
        <v>66.989999999999995</v>
      </c>
      <c r="E239" s="36"/>
      <c r="F239" s="240"/>
      <c r="G239" s="35">
        <f>'Price List'!C239+'Cost Source'!N239</f>
        <v>51</v>
      </c>
      <c r="H239" s="263">
        <f t="shared" si="13"/>
        <v>50.99</v>
      </c>
      <c r="I239" s="272">
        <f>'Cost Source'!P239</f>
        <v>-10</v>
      </c>
      <c r="J239" s="295">
        <v>20</v>
      </c>
    </row>
    <row r="240" spans="1:10" x14ac:dyDescent="0.25">
      <c r="A240" t="s">
        <v>422</v>
      </c>
      <c r="B240" s="3" t="s">
        <v>521</v>
      </c>
      <c r="C240" s="1">
        <f>'Price List'!C240+'Cost Source'!G240+'Cost Source'!O240</f>
        <v>52.9</v>
      </c>
      <c r="D240" s="226">
        <f t="shared" si="14"/>
        <v>52.99</v>
      </c>
      <c r="F240" s="241"/>
      <c r="G240" s="1">
        <f>'Price List'!C240+'Cost Source'!N240</f>
        <v>32.9</v>
      </c>
      <c r="H240" s="257">
        <f t="shared" si="13"/>
        <v>32.99</v>
      </c>
      <c r="I240" s="277">
        <f>'Cost Source'!P240</f>
        <v>-5</v>
      </c>
      <c r="J240" s="296">
        <v>20</v>
      </c>
    </row>
    <row r="241" spans="1:10" x14ac:dyDescent="0.25">
      <c r="A241" s="30" t="s">
        <v>422</v>
      </c>
      <c r="B241" s="31" t="s">
        <v>522</v>
      </c>
      <c r="C241" s="32">
        <f>'Price List'!C241+'Cost Source'!E241+'Cost Source'!O241</f>
        <v>170.68</v>
      </c>
      <c r="D241" s="224">
        <f t="shared" si="14"/>
        <v>170.99</v>
      </c>
      <c r="E241" s="30"/>
      <c r="F241" s="239"/>
      <c r="G241" s="32">
        <f>'Price List'!C241+'Cost Source'!N241</f>
        <v>163.68</v>
      </c>
      <c r="H241" s="262">
        <f t="shared" si="13"/>
        <v>163.99</v>
      </c>
      <c r="I241" s="277">
        <f>'Cost Source'!P241</f>
        <v>-30</v>
      </c>
      <c r="J241" s="293">
        <v>20</v>
      </c>
    </row>
    <row r="242" spans="1:10" x14ac:dyDescent="0.25">
      <c r="A242" s="26" t="s">
        <v>422</v>
      </c>
      <c r="B242" s="41" t="s">
        <v>523</v>
      </c>
      <c r="C242" s="27">
        <f>'Price List'!C242+'Cost Source'!G242+'Cost Source'!O242</f>
        <v>58.17</v>
      </c>
      <c r="D242" s="229">
        <f t="shared" si="14"/>
        <v>58.99</v>
      </c>
      <c r="E242" s="26"/>
      <c r="F242" s="244"/>
      <c r="G242" s="27">
        <f>'Price List'!C242+'Cost Source'!N242</f>
        <v>39.17</v>
      </c>
      <c r="H242" s="260">
        <f t="shared" si="13"/>
        <v>39.99</v>
      </c>
      <c r="I242" s="272">
        <f>'Cost Source'!P242</f>
        <v>-10</v>
      </c>
      <c r="J242" s="294">
        <v>20</v>
      </c>
    </row>
    <row r="243" spans="1:10" x14ac:dyDescent="0.25">
      <c r="A243" s="36" t="s">
        <v>422</v>
      </c>
      <c r="B243" s="39" t="s">
        <v>232</v>
      </c>
      <c r="C243" s="35">
        <f>'Price List'!C243+'Cost Source'!F243+'Cost Source'!O243</f>
        <v>93.3</v>
      </c>
      <c r="D243" s="225">
        <f t="shared" si="14"/>
        <v>93.99</v>
      </c>
      <c r="E243" s="35">
        <f>'Price List'!C243+'Cost Source'!S243</f>
        <v>83.3</v>
      </c>
      <c r="F243" s="240">
        <f t="shared" si="12"/>
        <v>83.99</v>
      </c>
      <c r="G243" s="35">
        <f>'Price List'!C243+'Cost Source'!N243</f>
        <v>73.3</v>
      </c>
      <c r="H243" s="263">
        <f t="shared" si="13"/>
        <v>73.989999999999995</v>
      </c>
      <c r="I243" s="272">
        <f>'Cost Source'!P243</f>
        <v>0</v>
      </c>
      <c r="J243" s="295">
        <v>20</v>
      </c>
    </row>
    <row r="244" spans="1:10" x14ac:dyDescent="0.25">
      <c r="A244" t="s">
        <v>422</v>
      </c>
      <c r="B244" s="3" t="s">
        <v>233</v>
      </c>
      <c r="C244" s="1">
        <f>'Price List'!C244+'Cost Source'!Y244</f>
        <v>51.31</v>
      </c>
      <c r="D244" s="224">
        <f t="shared" si="14"/>
        <v>51.99</v>
      </c>
      <c r="E244" s="1">
        <f>'Price List'!C244+'Cost Source'!Y244</f>
        <v>51.31</v>
      </c>
      <c r="F244" s="239">
        <f t="shared" si="12"/>
        <v>51.99</v>
      </c>
      <c r="G244" s="1">
        <f>'Price List'!C244+'Cost Source'!Y244</f>
        <v>51.31</v>
      </c>
      <c r="H244" s="262">
        <f t="shared" si="13"/>
        <v>51.99</v>
      </c>
      <c r="I244" s="277">
        <f>'Cost Source'!P244</f>
        <v>0</v>
      </c>
      <c r="J244" s="290"/>
    </row>
    <row r="245" spans="1:10" x14ac:dyDescent="0.25">
      <c r="A245" s="30" t="s">
        <v>422</v>
      </c>
      <c r="B245" s="31" t="s">
        <v>524</v>
      </c>
      <c r="C245" s="32">
        <f>'Price List'!C245+'Cost Source'!L245</f>
        <v>6.92</v>
      </c>
      <c r="D245" s="224">
        <f t="shared" si="14"/>
        <v>6.99</v>
      </c>
      <c r="E245" s="32">
        <f>'Price List'!C245+'Cost Source'!Y245</f>
        <v>6.92</v>
      </c>
      <c r="F245" s="239">
        <f t="shared" si="12"/>
        <v>6.99</v>
      </c>
      <c r="G245" s="32">
        <f>E245</f>
        <v>6.92</v>
      </c>
      <c r="H245" s="262">
        <f t="shared" si="13"/>
        <v>6.99</v>
      </c>
      <c r="I245" s="277">
        <f>'Cost Source'!P245</f>
        <v>0</v>
      </c>
      <c r="J245" s="290"/>
    </row>
    <row r="246" spans="1:10" x14ac:dyDescent="0.25">
      <c r="A246" s="26" t="s">
        <v>422</v>
      </c>
      <c r="B246" s="41" t="s">
        <v>525</v>
      </c>
      <c r="C246" s="32">
        <f>'Price List'!C246+'Cost Source'!L246</f>
        <v>4.0999999999999996</v>
      </c>
      <c r="D246" s="225">
        <f t="shared" si="14"/>
        <v>4.99</v>
      </c>
      <c r="E246" s="35">
        <f>'Price List'!C246+'Cost Source'!Y246</f>
        <v>4.0999999999999996</v>
      </c>
      <c r="F246" s="240">
        <f t="shared" ref="F246:F252" si="15">ROUNDUP(E246,0)-0.01</f>
        <v>4.99</v>
      </c>
      <c r="G246" s="35">
        <f t="shared" ref="G246:G252" si="16">E246</f>
        <v>4.0999999999999996</v>
      </c>
      <c r="H246" s="263">
        <f t="shared" ref="H246:H250" si="17">ROUNDUP(G246,0)-0.01</f>
        <v>4.99</v>
      </c>
      <c r="I246" s="272">
        <f>'Cost Source'!P246</f>
        <v>0</v>
      </c>
      <c r="J246" s="295"/>
    </row>
    <row r="247" spans="1:10" x14ac:dyDescent="0.25">
      <c r="A247" s="36" t="s">
        <v>422</v>
      </c>
      <c r="B247" s="39" t="s">
        <v>234</v>
      </c>
      <c r="C247" s="32">
        <f>'Price List'!C247+'Cost Source'!L247</f>
        <v>3.9</v>
      </c>
      <c r="D247" s="225">
        <f t="shared" si="14"/>
        <v>3.99</v>
      </c>
      <c r="E247" s="35">
        <f>'Price List'!C247+'Cost Source'!Y247</f>
        <v>3.9</v>
      </c>
      <c r="F247" s="240">
        <f t="shared" si="15"/>
        <v>3.99</v>
      </c>
      <c r="G247" s="35">
        <f t="shared" si="16"/>
        <v>3.9</v>
      </c>
      <c r="H247" s="263">
        <f t="shared" si="17"/>
        <v>3.99</v>
      </c>
      <c r="I247" s="272">
        <f>'Cost Source'!P247</f>
        <v>0</v>
      </c>
      <c r="J247" s="294"/>
    </row>
    <row r="248" spans="1:10" x14ac:dyDescent="0.25">
      <c r="A248" t="s">
        <v>422</v>
      </c>
      <c r="B248" s="3" t="s">
        <v>526</v>
      </c>
      <c r="C248" s="32">
        <f>'Price List'!C248+'Cost Source'!L248</f>
        <v>2.5300000000000002</v>
      </c>
      <c r="D248" s="224">
        <f t="shared" si="14"/>
        <v>2.99</v>
      </c>
      <c r="E248" s="32">
        <f>'Price List'!C248+'Cost Source'!Y248</f>
        <v>2.5300000000000002</v>
      </c>
      <c r="F248" s="239">
        <f t="shared" si="15"/>
        <v>2.99</v>
      </c>
      <c r="G248" s="32">
        <f t="shared" si="16"/>
        <v>2.5300000000000002</v>
      </c>
      <c r="H248" s="262">
        <f t="shared" si="17"/>
        <v>2.99</v>
      </c>
      <c r="I248" s="277">
        <f>'Cost Source'!P248</f>
        <v>0</v>
      </c>
      <c r="J248" s="289"/>
    </row>
    <row r="249" spans="1:10" x14ac:dyDescent="0.25">
      <c r="A249" s="30" t="s">
        <v>422</v>
      </c>
      <c r="B249" s="31" t="s">
        <v>527</v>
      </c>
      <c r="C249" s="32">
        <f>'Price List'!C249+'Cost Source'!L249</f>
        <v>2.83</v>
      </c>
      <c r="D249" s="224">
        <f t="shared" si="14"/>
        <v>2.99</v>
      </c>
      <c r="E249" s="32">
        <f>'Price List'!C249+'Cost Source'!Y249</f>
        <v>2.83</v>
      </c>
      <c r="F249" s="239">
        <f t="shared" si="15"/>
        <v>2.99</v>
      </c>
      <c r="G249" s="32">
        <f t="shared" si="16"/>
        <v>2.83</v>
      </c>
      <c r="H249" s="262">
        <f t="shared" si="17"/>
        <v>2.99</v>
      </c>
      <c r="I249" s="277">
        <f>'Cost Source'!P249</f>
        <v>0</v>
      </c>
      <c r="J249" s="290"/>
    </row>
    <row r="250" spans="1:10" x14ac:dyDescent="0.25">
      <c r="A250" s="26" t="s">
        <v>422</v>
      </c>
      <c r="B250" s="41" t="s">
        <v>528</v>
      </c>
      <c r="C250" s="35">
        <f>'Price List'!C250+'Cost Source'!L250</f>
        <v>2.95</v>
      </c>
      <c r="D250" s="225">
        <f t="shared" si="14"/>
        <v>2.99</v>
      </c>
      <c r="E250" s="35">
        <f>'Price List'!C250+'Cost Source'!Y250</f>
        <v>2.95</v>
      </c>
      <c r="F250" s="240">
        <f t="shared" si="15"/>
        <v>2.99</v>
      </c>
      <c r="G250" s="35">
        <f t="shared" si="16"/>
        <v>2.95</v>
      </c>
      <c r="H250" s="263">
        <f t="shared" si="17"/>
        <v>2.99</v>
      </c>
      <c r="I250" s="272">
        <f>'Cost Source'!P250</f>
        <v>0</v>
      </c>
      <c r="J250" s="295"/>
    </row>
    <row r="251" spans="1:10" x14ac:dyDescent="0.25">
      <c r="A251" s="36" t="s">
        <v>422</v>
      </c>
      <c r="B251" s="39" t="s">
        <v>235</v>
      </c>
      <c r="C251" s="35">
        <f>'Price List'!C251+'Cost Source'!L251</f>
        <v>2.5</v>
      </c>
      <c r="D251" s="225">
        <f t="shared" si="14"/>
        <v>2.99</v>
      </c>
      <c r="E251" s="35">
        <f>'Price List'!C251+'Cost Source'!Y251</f>
        <v>2.5</v>
      </c>
      <c r="F251" s="240">
        <f t="shared" si="15"/>
        <v>2.99</v>
      </c>
      <c r="G251" s="35">
        <f t="shared" si="16"/>
        <v>2.5</v>
      </c>
      <c r="H251" s="263">
        <f t="shared" ref="H251:H253" si="18">ROUNDUP(G251,0)-0.01</f>
        <v>2.99</v>
      </c>
      <c r="I251" s="272">
        <f>'Cost Source'!P251</f>
        <v>0</v>
      </c>
      <c r="J251" s="294"/>
    </row>
    <row r="252" spans="1:10" x14ac:dyDescent="0.25">
      <c r="A252" t="s">
        <v>422</v>
      </c>
      <c r="B252" s="3" t="s">
        <v>236</v>
      </c>
      <c r="C252" s="32">
        <f>'Price List'!C252+'Cost Source'!L252</f>
        <v>11.33</v>
      </c>
      <c r="D252" s="224">
        <f t="shared" si="14"/>
        <v>11.99</v>
      </c>
      <c r="E252" s="32">
        <f>'Price List'!C252+'Cost Source'!Y252</f>
        <v>11.33</v>
      </c>
      <c r="F252" s="239">
        <f t="shared" si="15"/>
        <v>11.99</v>
      </c>
      <c r="G252" s="32">
        <f t="shared" si="16"/>
        <v>11.33</v>
      </c>
      <c r="H252" s="262">
        <f t="shared" si="18"/>
        <v>11.99</v>
      </c>
      <c r="I252" s="277">
        <f>'Cost Source'!P252</f>
        <v>0</v>
      </c>
      <c r="J252" s="289"/>
    </row>
    <row r="253" spans="1:10" x14ac:dyDescent="0.25">
      <c r="A253" s="30" t="s">
        <v>422</v>
      </c>
      <c r="B253" s="31" t="s">
        <v>237</v>
      </c>
      <c r="C253" s="32"/>
      <c r="D253" s="224"/>
      <c r="E253" s="30"/>
      <c r="F253" s="248"/>
      <c r="G253" s="32">
        <f>'Price List'!C253+'Cost Source'!L253</f>
        <v>4.62</v>
      </c>
      <c r="H253" s="262">
        <f t="shared" si="18"/>
        <v>4.99</v>
      </c>
      <c r="I253" s="277">
        <f>'Cost Source'!P253</f>
        <v>0</v>
      </c>
      <c r="J253" s="290"/>
    </row>
    <row r="254" spans="1:10" x14ac:dyDescent="0.25">
      <c r="A254" s="26" t="s">
        <v>798</v>
      </c>
      <c r="B254" s="43">
        <v>22193262</v>
      </c>
      <c r="C254" s="27">
        <f>'Price List'!C254+'Cost Source'!L254+'Cost Source'!O254</f>
        <v>77.31</v>
      </c>
      <c r="D254" s="229">
        <f t="shared" ref="D254:D262" si="19">ROUNDUP(C254,0)-0.01</f>
        <v>77.989999999999995</v>
      </c>
      <c r="E254" s="27">
        <f>'Price List'!C254+'Cost Source'!Y254</f>
        <v>77.31</v>
      </c>
      <c r="F254" s="244">
        <f t="shared" ref="F254:F262" si="20">ROUNDUP(E254,0)-0.01</f>
        <v>77.989999999999995</v>
      </c>
      <c r="G254" s="27">
        <f>'Price List'!C254+'Cost Source'!N254</f>
        <v>67.31</v>
      </c>
      <c r="H254" s="260">
        <f t="shared" ref="H254:H262" si="21">ROUNDUP(G254,0)-0.01</f>
        <v>67.989999999999995</v>
      </c>
      <c r="I254" s="272">
        <f>'Cost Source'!P254</f>
        <v>0</v>
      </c>
      <c r="J254" s="295"/>
    </row>
    <row r="255" spans="1:10" x14ac:dyDescent="0.25">
      <c r="A255" s="147" t="s">
        <v>798</v>
      </c>
      <c r="B255" s="157">
        <v>23516731</v>
      </c>
      <c r="C255" s="144"/>
      <c r="D255" s="230"/>
      <c r="E255" s="144"/>
      <c r="F255" s="245"/>
      <c r="G255" s="144">
        <f>'Price List'!C255+'Cost Source'!N255</f>
        <v>34.75</v>
      </c>
      <c r="H255" s="259">
        <f t="shared" si="21"/>
        <v>34.99</v>
      </c>
      <c r="I255" s="272">
        <f>'Cost Source'!P255</f>
        <v>0</v>
      </c>
      <c r="J255" s="294"/>
    </row>
    <row r="256" spans="1:10" x14ac:dyDescent="0.25">
      <c r="A256" t="s">
        <v>798</v>
      </c>
      <c r="B256" s="5">
        <v>3099140</v>
      </c>
      <c r="C256" s="1">
        <f>'Price List'!C256+'Cost Source'!L256+'Cost Source'!O256</f>
        <v>6.91</v>
      </c>
      <c r="D256" s="226">
        <f t="shared" si="19"/>
        <v>6.99</v>
      </c>
      <c r="E256" s="1">
        <f>'Price List'!C256+'Cost Source'!Y256</f>
        <v>6.91</v>
      </c>
      <c r="F256" s="241">
        <f t="shared" si="20"/>
        <v>6.99</v>
      </c>
      <c r="G256" s="1">
        <f>'Price List'!C256+'Cost Source'!N256</f>
        <v>6.91</v>
      </c>
      <c r="H256" s="257">
        <f t="shared" si="21"/>
        <v>6.99</v>
      </c>
      <c r="I256" s="277">
        <f>'Cost Source'!P256</f>
        <v>0</v>
      </c>
      <c r="J256" s="289"/>
    </row>
    <row r="257" spans="1:10" x14ac:dyDescent="0.25">
      <c r="A257" s="140" t="s">
        <v>798</v>
      </c>
      <c r="B257" s="151" t="s">
        <v>799</v>
      </c>
      <c r="C257" s="146"/>
      <c r="D257" s="227"/>
      <c r="E257" s="146"/>
      <c r="F257" s="242"/>
      <c r="G257" s="146">
        <f>'Price List'!C257+'Cost Source'!N257</f>
        <v>46.120000000000005</v>
      </c>
      <c r="H257" s="258">
        <f t="shared" si="21"/>
        <v>46.99</v>
      </c>
      <c r="I257" s="277">
        <f>'Cost Source'!P257</f>
        <v>0</v>
      </c>
      <c r="J257" s="290"/>
    </row>
    <row r="258" spans="1:10" x14ac:dyDescent="0.25">
      <c r="A258" s="26" t="s">
        <v>798</v>
      </c>
      <c r="B258" s="43">
        <v>482003</v>
      </c>
      <c r="C258" s="27">
        <f>'Price List'!C258+'Cost Source'!L258+'Cost Source'!O258</f>
        <v>55.28</v>
      </c>
      <c r="D258" s="229">
        <f t="shared" si="19"/>
        <v>55.99</v>
      </c>
      <c r="E258" s="27">
        <f>'Price List'!C258+'Cost Source'!Y258</f>
        <v>55.28</v>
      </c>
      <c r="F258" s="244">
        <f t="shared" si="20"/>
        <v>55.99</v>
      </c>
      <c r="G258" s="27">
        <f>'Price List'!C258+'Cost Source'!N258</f>
        <v>55.28</v>
      </c>
      <c r="H258" s="260">
        <f t="shared" si="21"/>
        <v>55.99</v>
      </c>
      <c r="I258" s="272">
        <f>'Cost Source'!P258</f>
        <v>0</v>
      </c>
      <c r="J258" s="295"/>
    </row>
    <row r="259" spans="1:10" x14ac:dyDescent="0.25">
      <c r="A259" s="147" t="s">
        <v>798</v>
      </c>
      <c r="B259" s="157">
        <v>482044</v>
      </c>
      <c r="C259" s="144">
        <f>'Price List'!C259+'Cost Source'!L259+'Cost Source'!O259</f>
        <v>159.30000000000001</v>
      </c>
      <c r="D259" s="230">
        <f t="shared" si="19"/>
        <v>159.99</v>
      </c>
      <c r="E259" s="144">
        <f>'Price List'!C259+'Cost Source'!Y259</f>
        <v>159.30000000000001</v>
      </c>
      <c r="F259" s="245">
        <f t="shared" si="20"/>
        <v>159.99</v>
      </c>
      <c r="G259" s="144">
        <f>'Price List'!C259+'Cost Source'!N259</f>
        <v>159.30000000000001</v>
      </c>
      <c r="H259" s="259">
        <f t="shared" si="21"/>
        <v>159.99</v>
      </c>
      <c r="I259" s="272">
        <f>'Cost Source'!P259</f>
        <v>0</v>
      </c>
      <c r="J259" s="294"/>
    </row>
    <row r="260" spans="1:10" x14ac:dyDescent="0.25">
      <c r="A260" t="s">
        <v>798</v>
      </c>
      <c r="B260" s="5">
        <v>1117798</v>
      </c>
      <c r="C260" s="1"/>
      <c r="D260" s="230"/>
      <c r="E260" s="1">
        <f>'Price List'!C260+'Cost Source'!Y260</f>
        <v>24.740000000000002</v>
      </c>
      <c r="F260" s="255">
        <f t="shared" si="20"/>
        <v>24.99</v>
      </c>
      <c r="G260" s="1">
        <f>'Price List'!C260+'Cost Source'!N260</f>
        <v>24.740000000000002</v>
      </c>
      <c r="H260" s="257">
        <f t="shared" si="21"/>
        <v>24.99</v>
      </c>
      <c r="I260" s="277">
        <f>'Cost Source'!P260</f>
        <v>0</v>
      </c>
      <c r="J260" s="289" t="s">
        <v>968</v>
      </c>
    </row>
    <row r="261" spans="1:10" x14ac:dyDescent="0.25">
      <c r="A261" s="140" t="s">
        <v>798</v>
      </c>
      <c r="B261" s="151" t="s">
        <v>800</v>
      </c>
      <c r="C261" s="146">
        <f>'Price List'!C261+'Cost Source'!L261+'Cost Source'!O261</f>
        <v>30.060000000000002</v>
      </c>
      <c r="D261" s="227">
        <f t="shared" si="19"/>
        <v>30.99</v>
      </c>
      <c r="E261" s="146">
        <f>'Price List'!C261+'Cost Source'!Y261</f>
        <v>30.060000000000002</v>
      </c>
      <c r="F261" s="242">
        <f t="shared" si="20"/>
        <v>30.99</v>
      </c>
      <c r="G261" s="146">
        <f>'Price List'!C261+'Cost Source'!N261</f>
        <v>30.060000000000002</v>
      </c>
      <c r="H261" s="258">
        <f t="shared" si="21"/>
        <v>30.99</v>
      </c>
      <c r="I261" s="277">
        <f>'Cost Source'!P261</f>
        <v>0</v>
      </c>
      <c r="J261" s="290"/>
    </row>
    <row r="262" spans="1:10" x14ac:dyDescent="0.25">
      <c r="A262" s="26" t="s">
        <v>798</v>
      </c>
      <c r="B262" s="43" t="s">
        <v>801</v>
      </c>
      <c r="C262" s="27">
        <f>'Price List'!C262+'Cost Source'!L262+'Cost Source'!O262</f>
        <v>29.4</v>
      </c>
      <c r="D262" s="229">
        <f t="shared" si="19"/>
        <v>29.99</v>
      </c>
      <c r="E262" s="27">
        <f>'Price List'!C262+'Cost Source'!Y262</f>
        <v>29.4</v>
      </c>
      <c r="F262" s="244">
        <f t="shared" si="20"/>
        <v>29.99</v>
      </c>
      <c r="G262" s="27">
        <f>'Price List'!C262+'Cost Source'!N262</f>
        <v>29.4</v>
      </c>
      <c r="H262" s="260">
        <f t="shared" si="21"/>
        <v>29.99</v>
      </c>
      <c r="I262" s="272">
        <f>'Cost Source'!P262</f>
        <v>0</v>
      </c>
      <c r="J262" s="289"/>
    </row>
    <row r="263" spans="1:10" x14ac:dyDescent="0.25">
      <c r="A263" s="147" t="s">
        <v>811</v>
      </c>
      <c r="B263" s="157" t="s">
        <v>812</v>
      </c>
      <c r="C263" s="144">
        <f>'Price List'!C263+'Cost Source'!G263+'Cost Source'!O263</f>
        <v>49.92</v>
      </c>
      <c r="D263" s="230">
        <f>ROUNDUP(C263,0)-0.01</f>
        <v>49.99</v>
      </c>
      <c r="E263" s="144"/>
      <c r="F263" s="245"/>
      <c r="G263" s="144">
        <f>'Price List'!C263+'Cost Source'!N263</f>
        <v>27.92</v>
      </c>
      <c r="H263" s="259">
        <f>ROUNDUP(G263,0)-0.01</f>
        <v>27.99</v>
      </c>
      <c r="I263" s="272">
        <f>'Cost Source'!P263</f>
        <v>-5</v>
      </c>
      <c r="J263" s="290"/>
    </row>
    <row r="264" spans="1:10" x14ac:dyDescent="0.25">
      <c r="A264" t="s">
        <v>811</v>
      </c>
      <c r="B264" s="5" t="s">
        <v>813</v>
      </c>
      <c r="C264" s="1">
        <f>'Price List'!C264+'Cost Source'!G264+'Cost Source'!O264</f>
        <v>40.299999999999997</v>
      </c>
      <c r="D264" s="226">
        <f t="shared" ref="D264:D293" si="22">ROUNDUP(C264,0)-0.01</f>
        <v>40.99</v>
      </c>
      <c r="E264" s="1"/>
      <c r="F264" s="241"/>
      <c r="G264" s="1">
        <f>'Price List'!C264+'Cost Source'!N264</f>
        <v>17.3</v>
      </c>
      <c r="H264" s="257">
        <f t="shared" ref="H264:H293" si="23">ROUNDUP(G264,0)-0.01</f>
        <v>17.989999999999998</v>
      </c>
      <c r="I264" s="277">
        <f>'Cost Source'!P264</f>
        <v>-5</v>
      </c>
      <c r="J264" s="296"/>
    </row>
    <row r="265" spans="1:10" x14ac:dyDescent="0.25">
      <c r="A265" s="140" t="s">
        <v>811</v>
      </c>
      <c r="B265" s="151" t="s">
        <v>814</v>
      </c>
      <c r="C265" s="146">
        <f>'Price List'!C265+'Cost Source'!G265+'Cost Source'!O265</f>
        <v>47.75</v>
      </c>
      <c r="D265" s="227">
        <f t="shared" si="22"/>
        <v>47.99</v>
      </c>
      <c r="E265" s="146"/>
      <c r="F265" s="242"/>
      <c r="G265" s="146">
        <f>'Price List'!C265+'Cost Source'!N265</f>
        <v>25.75</v>
      </c>
      <c r="H265" s="258">
        <f t="shared" si="23"/>
        <v>25.99</v>
      </c>
      <c r="I265" s="277">
        <f>'Cost Source'!P265</f>
        <v>-5</v>
      </c>
      <c r="J265" s="293"/>
    </row>
    <row r="266" spans="1:10" x14ac:dyDescent="0.25">
      <c r="A266" s="26" t="s">
        <v>811</v>
      </c>
      <c r="B266" s="43" t="s">
        <v>815</v>
      </c>
      <c r="C266" s="27">
        <f>'Price List'!C266+'Cost Source'!G266+'Cost Source'!O266</f>
        <v>41.66</v>
      </c>
      <c r="D266" s="229">
        <f t="shared" si="22"/>
        <v>41.99</v>
      </c>
      <c r="E266" s="27"/>
      <c r="F266" s="244"/>
      <c r="G266" s="27">
        <f>'Price List'!C266+'Cost Source'!N266</f>
        <v>24.66</v>
      </c>
      <c r="H266" s="260">
        <f t="shared" si="23"/>
        <v>24.99</v>
      </c>
      <c r="I266" s="272">
        <f>'Cost Source'!P266</f>
        <v>-5</v>
      </c>
      <c r="J266" s="290">
        <v>20</v>
      </c>
    </row>
    <row r="267" spans="1:10" x14ac:dyDescent="0.25">
      <c r="A267" s="147" t="s">
        <v>811</v>
      </c>
      <c r="B267" s="157" t="s">
        <v>816</v>
      </c>
      <c r="C267" s="144">
        <f>'Price List'!C267+'Cost Source'!G267+'Cost Source'!O267</f>
        <v>50.34</v>
      </c>
      <c r="D267" s="230">
        <f t="shared" si="22"/>
        <v>50.99</v>
      </c>
      <c r="E267" s="144"/>
      <c r="F267" s="245"/>
      <c r="G267" s="144">
        <f>'Price List'!C267+'Cost Source'!N267</f>
        <v>28.34</v>
      </c>
      <c r="H267" s="259">
        <f t="shared" si="23"/>
        <v>28.99</v>
      </c>
      <c r="I267" s="272">
        <f>'Cost Source'!P267</f>
        <v>-5</v>
      </c>
      <c r="J267" s="289"/>
    </row>
    <row r="268" spans="1:10" x14ac:dyDescent="0.25">
      <c r="A268" t="s">
        <v>811</v>
      </c>
      <c r="B268" s="5" t="s">
        <v>817</v>
      </c>
      <c r="C268" s="1">
        <f>'Price List'!C268+'Cost Source'!G268+'Cost Source'!O268</f>
        <v>81</v>
      </c>
      <c r="D268" s="226">
        <f t="shared" si="22"/>
        <v>80.989999999999995</v>
      </c>
      <c r="E268" s="1">
        <f>'Price List'!C268+'Cost Source'!S268</f>
        <v>66</v>
      </c>
      <c r="F268" s="241">
        <f t="shared" ref="F268:F293" si="24">ROUNDUP(E268,0)-0.01</f>
        <v>65.989999999999995</v>
      </c>
      <c r="G268" s="1">
        <f>'Price List'!C268+'Cost Source'!N268</f>
        <v>64</v>
      </c>
      <c r="H268" s="257">
        <f t="shared" si="23"/>
        <v>63.99</v>
      </c>
      <c r="I268" s="277">
        <f>'Cost Source'!P268</f>
        <v>0</v>
      </c>
      <c r="J268" s="290"/>
    </row>
    <row r="269" spans="1:10" x14ac:dyDescent="0.25">
      <c r="A269" s="140" t="s">
        <v>811</v>
      </c>
      <c r="B269" s="151" t="s">
        <v>818</v>
      </c>
      <c r="C269" s="146">
        <f>'Price List'!C269+'Cost Source'!G269+'Cost Source'!O269</f>
        <v>74.19</v>
      </c>
      <c r="D269" s="227">
        <f t="shared" si="22"/>
        <v>74.989999999999995</v>
      </c>
      <c r="E269" s="146"/>
      <c r="F269" s="242"/>
      <c r="G269" s="146">
        <f>'Price List'!C269+'Cost Source'!N269</f>
        <v>50.19</v>
      </c>
      <c r="H269" s="258">
        <f t="shared" si="23"/>
        <v>50.99</v>
      </c>
      <c r="I269" s="277">
        <f>'Cost Source'!P269</f>
        <v>-10</v>
      </c>
      <c r="J269" s="289"/>
    </row>
    <row r="270" spans="1:10" x14ac:dyDescent="0.25">
      <c r="A270" t="s">
        <v>811</v>
      </c>
      <c r="B270" s="5" t="s">
        <v>1160</v>
      </c>
      <c r="C270" s="1"/>
      <c r="D270" s="226"/>
      <c r="E270" s="1"/>
      <c r="F270" s="241"/>
      <c r="G270" s="1"/>
      <c r="H270" s="257"/>
      <c r="I270" s="278"/>
      <c r="J270" s="290"/>
    </row>
    <row r="271" spans="1:10" x14ac:dyDescent="0.25">
      <c r="A271" s="147" t="s">
        <v>811</v>
      </c>
      <c r="B271" s="157" t="s">
        <v>819</v>
      </c>
      <c r="C271" s="144">
        <f>'Price List'!C271+'Cost Source'!G271+'Cost Source'!O271</f>
        <v>28.39</v>
      </c>
      <c r="D271" s="230">
        <f t="shared" si="22"/>
        <v>28.99</v>
      </c>
      <c r="E271" s="144">
        <f>'Price List'!C271+'Cost Source'!S271</f>
        <v>18.39</v>
      </c>
      <c r="F271" s="245">
        <f t="shared" si="24"/>
        <v>18.989999999999998</v>
      </c>
      <c r="G271" s="144">
        <f>'Price List'!C271+'Cost Source'!N271</f>
        <v>22.39</v>
      </c>
      <c r="H271" s="259">
        <f t="shared" si="23"/>
        <v>22.99</v>
      </c>
      <c r="I271" s="275">
        <f>'Cost Source'!P271</f>
        <v>0</v>
      </c>
      <c r="J271" s="294"/>
    </row>
    <row r="272" spans="1:10" x14ac:dyDescent="0.25">
      <c r="A272" s="26" t="s">
        <v>811</v>
      </c>
      <c r="B272" s="43" t="s">
        <v>1159</v>
      </c>
      <c r="C272" s="27"/>
      <c r="D272" s="230"/>
      <c r="E272" s="27"/>
      <c r="F272" s="245"/>
      <c r="G272" s="27"/>
      <c r="H272" s="260"/>
      <c r="I272" s="274"/>
      <c r="J272" s="295"/>
    </row>
    <row r="273" spans="1:10" x14ac:dyDescent="0.25">
      <c r="A273" s="147" t="s">
        <v>811</v>
      </c>
      <c r="B273" s="157" t="s">
        <v>1230</v>
      </c>
      <c r="C273" s="144">
        <f>'Price List'!C273+'Cost Source'!E273+'Cost Source'!O273</f>
        <v>64.42</v>
      </c>
      <c r="D273" s="230">
        <f t="shared" si="22"/>
        <v>64.989999999999995</v>
      </c>
      <c r="E273" s="144">
        <f>'Price List'!C273+'Cost Source'!R273</f>
        <v>27.42</v>
      </c>
      <c r="F273" s="245">
        <f t="shared" si="24"/>
        <v>27.99</v>
      </c>
      <c r="G273" s="144">
        <f>'Price List'!C273+'Cost Source'!N273</f>
        <v>50.42</v>
      </c>
      <c r="H273" s="259">
        <f t="shared" si="23"/>
        <v>50.99</v>
      </c>
      <c r="I273" s="275"/>
      <c r="J273" s="294"/>
    </row>
    <row r="274" spans="1:10" x14ac:dyDescent="0.25">
      <c r="A274" s="147" t="s">
        <v>811</v>
      </c>
      <c r="B274" s="157" t="s">
        <v>966</v>
      </c>
      <c r="C274" s="144">
        <f>'Price List'!C274+'Cost Source'!G274+'Cost Source'!O274</f>
        <v>113.11</v>
      </c>
      <c r="D274" s="230">
        <f t="shared" si="22"/>
        <v>113.99</v>
      </c>
      <c r="E274" s="144"/>
      <c r="F274" s="245"/>
      <c r="G274" s="144">
        <f>'Price List'!C274+'Cost Source'!N274</f>
        <v>101.11</v>
      </c>
      <c r="H274" s="259">
        <f t="shared" si="23"/>
        <v>101.99</v>
      </c>
      <c r="I274" s="272">
        <f>'Cost Source'!P274</f>
        <v>-15</v>
      </c>
      <c r="J274" s="294"/>
    </row>
    <row r="275" spans="1:10" x14ac:dyDescent="0.25">
      <c r="A275" s="147" t="s">
        <v>811</v>
      </c>
      <c r="B275" s="157" t="s">
        <v>825</v>
      </c>
      <c r="C275" s="144">
        <f>'Price List'!C275+'Cost Source'!G275+'Cost Source'!O275</f>
        <v>71.89</v>
      </c>
      <c r="D275" s="230">
        <f t="shared" si="22"/>
        <v>71.989999999999995</v>
      </c>
      <c r="E275" s="144"/>
      <c r="F275" s="245"/>
      <c r="G275" s="144">
        <f>'Price List'!C275+'Cost Source'!N275</f>
        <v>52.89</v>
      </c>
      <c r="H275" s="259">
        <f t="shared" si="23"/>
        <v>52.99</v>
      </c>
      <c r="I275" s="272">
        <f>'Cost Source'!P275</f>
        <v>-20</v>
      </c>
      <c r="J275" s="294"/>
    </row>
    <row r="276" spans="1:10" x14ac:dyDescent="0.25">
      <c r="A276" t="s">
        <v>811</v>
      </c>
      <c r="B276" s="5" t="s">
        <v>820</v>
      </c>
      <c r="C276" s="1">
        <f>'Price List'!C276+'Cost Source'!G276+'Cost Source'!O276</f>
        <v>38.75</v>
      </c>
      <c r="D276" s="226">
        <f t="shared" si="22"/>
        <v>38.99</v>
      </c>
      <c r="E276" s="1"/>
      <c r="F276" s="241"/>
      <c r="G276" s="1">
        <f>'Price List'!C276+'Cost Source'!N276</f>
        <v>21.75</v>
      </c>
      <c r="H276" s="257">
        <f t="shared" si="23"/>
        <v>21.99</v>
      </c>
      <c r="I276" s="277">
        <f>'Cost Source'!P276</f>
        <v>-5</v>
      </c>
      <c r="J276" s="289"/>
    </row>
    <row r="277" spans="1:10" x14ac:dyDescent="0.25">
      <c r="A277" s="140" t="s">
        <v>811</v>
      </c>
      <c r="B277" s="151" t="s">
        <v>821</v>
      </c>
      <c r="C277" s="146">
        <f>'Price List'!C277+'Cost Source'!G277+'Cost Source'!O277</f>
        <v>59.519999999999996</v>
      </c>
      <c r="D277" s="227">
        <f t="shared" si="22"/>
        <v>59.99</v>
      </c>
      <c r="E277" s="146">
        <f>'Price List'!C277+'Cost Source'!S277</f>
        <v>44.519999999999996</v>
      </c>
      <c r="F277" s="242">
        <f t="shared" si="24"/>
        <v>44.99</v>
      </c>
      <c r="G277" s="146">
        <f>'Price List'!C277+'Cost Source'!N277</f>
        <v>39.519999999999996</v>
      </c>
      <c r="H277" s="258">
        <f t="shared" si="23"/>
        <v>39.99</v>
      </c>
      <c r="I277" s="277">
        <f>'Cost Source'!P277</f>
        <v>0</v>
      </c>
      <c r="J277" s="290"/>
    </row>
    <row r="278" spans="1:10" x14ac:dyDescent="0.25">
      <c r="A278" s="26" t="s">
        <v>811</v>
      </c>
      <c r="B278" s="43" t="s">
        <v>822</v>
      </c>
      <c r="C278" s="27">
        <f>'Price List'!C278+'Cost Source'!G278+'Cost Source'!O278</f>
        <v>50.39</v>
      </c>
      <c r="D278" s="229">
        <f t="shared" si="22"/>
        <v>50.99</v>
      </c>
      <c r="E278" s="27">
        <f>'Price List'!C278+'Cost Source'!S278</f>
        <v>35.39</v>
      </c>
      <c r="F278" s="244">
        <f t="shared" si="24"/>
        <v>35.99</v>
      </c>
      <c r="G278" s="27">
        <f>'Price List'!C278+'Cost Source'!N278</f>
        <v>34.39</v>
      </c>
      <c r="H278" s="260">
        <f t="shared" si="23"/>
        <v>34.99</v>
      </c>
      <c r="I278" s="272">
        <f>'Cost Source'!P278</f>
        <v>0</v>
      </c>
      <c r="J278" s="295"/>
    </row>
    <row r="279" spans="1:10" x14ac:dyDescent="0.25">
      <c r="A279" s="147" t="s">
        <v>811</v>
      </c>
      <c r="B279" s="157" t="s">
        <v>823</v>
      </c>
      <c r="C279" s="144">
        <f>'Price List'!C279+'Cost Source'!G279+'Cost Source'!O279</f>
        <v>43.93</v>
      </c>
      <c r="D279" s="230">
        <f t="shared" si="22"/>
        <v>43.99</v>
      </c>
      <c r="E279" s="144"/>
      <c r="F279" s="245"/>
      <c r="G279" s="144">
        <f>'Price List'!C279+'Cost Source'!N279</f>
        <v>20.93</v>
      </c>
      <c r="H279" s="259">
        <f t="shared" si="23"/>
        <v>20.99</v>
      </c>
      <c r="I279" s="272">
        <f>'Cost Source'!P279</f>
        <v>-5</v>
      </c>
      <c r="J279" s="294"/>
    </row>
    <row r="280" spans="1:10" x14ac:dyDescent="0.25">
      <c r="A280" t="s">
        <v>811</v>
      </c>
      <c r="B280" s="5" t="s">
        <v>824</v>
      </c>
      <c r="C280" s="1">
        <f>'Price List'!C280+'Cost Source'!G280+'Cost Source'!O280</f>
        <v>66.97999999999999</v>
      </c>
      <c r="D280" s="226">
        <f t="shared" si="22"/>
        <v>66.989999999999995</v>
      </c>
      <c r="E280" s="1">
        <f>'Price List'!C280+'Cost Source'!S280</f>
        <v>29.979999999999997</v>
      </c>
      <c r="F280" s="241">
        <f t="shared" si="24"/>
        <v>29.99</v>
      </c>
      <c r="G280" s="1">
        <f>'Price List'!C280+'Cost Source'!N280</f>
        <v>52.98</v>
      </c>
      <c r="H280" s="257">
        <f t="shared" si="23"/>
        <v>52.99</v>
      </c>
      <c r="I280" s="280">
        <f>'Cost Source'!P280</f>
        <v>-10</v>
      </c>
      <c r="J280" s="289"/>
    </row>
    <row r="281" spans="1:10" x14ac:dyDescent="0.25">
      <c r="A281" s="140" t="s">
        <v>811</v>
      </c>
      <c r="B281" s="151" t="s">
        <v>1158</v>
      </c>
      <c r="C281" s="146"/>
      <c r="D281" s="227"/>
      <c r="E281" s="146"/>
      <c r="F281" s="242"/>
      <c r="G281" s="146"/>
      <c r="H281" s="258"/>
      <c r="I281" s="275"/>
      <c r="J281" s="290"/>
    </row>
    <row r="282" spans="1:10" x14ac:dyDescent="0.25">
      <c r="A282" s="140" t="s">
        <v>826</v>
      </c>
      <c r="B282" s="151" t="s">
        <v>827</v>
      </c>
      <c r="C282" s="146">
        <f>'Price List'!C282+'Cost Source'!G282+'Cost Source'!O282</f>
        <v>92.406400000000005</v>
      </c>
      <c r="D282" s="227">
        <f t="shared" si="22"/>
        <v>92.99</v>
      </c>
      <c r="E282" s="146">
        <f>'Price List'!C282+'Cost Source'!Y282</f>
        <v>92.406400000000005</v>
      </c>
      <c r="F282" s="242">
        <f t="shared" si="24"/>
        <v>92.99</v>
      </c>
      <c r="G282" s="146">
        <f>'Price List'!C282+'Cost Source'!N282</f>
        <v>62.406400000000005</v>
      </c>
      <c r="H282" s="258">
        <f t="shared" si="23"/>
        <v>62.99</v>
      </c>
      <c r="I282" s="277">
        <f>'Cost Source'!P282</f>
        <v>0</v>
      </c>
      <c r="J282" s="290"/>
    </row>
    <row r="283" spans="1:10" x14ac:dyDescent="0.25">
      <c r="A283" s="26" t="s">
        <v>826</v>
      </c>
      <c r="B283" s="43">
        <v>1677527</v>
      </c>
      <c r="C283" s="27">
        <f>'Price List'!C283+'Cost Source'!G283+'Cost Source'!O283</f>
        <v>129.01</v>
      </c>
      <c r="D283" s="229">
        <f t="shared" si="22"/>
        <v>129.99</v>
      </c>
      <c r="E283" s="27">
        <f>'Price List'!C283+'Cost Source'!Y283</f>
        <v>129.01</v>
      </c>
      <c r="F283" s="244">
        <f t="shared" si="24"/>
        <v>129.99</v>
      </c>
      <c r="G283" s="27">
        <f>'Price List'!C283+'Cost Source'!N283</f>
        <v>99.01</v>
      </c>
      <c r="H283" s="260">
        <f t="shared" si="23"/>
        <v>99.99</v>
      </c>
      <c r="I283" s="272">
        <f>'Cost Source'!P283</f>
        <v>0</v>
      </c>
      <c r="J283" s="295"/>
    </row>
    <row r="284" spans="1:10" x14ac:dyDescent="0.25">
      <c r="A284" s="147" t="s">
        <v>826</v>
      </c>
      <c r="B284" s="157" t="s">
        <v>828</v>
      </c>
      <c r="C284" s="144">
        <f>'Price List'!C284+'Cost Source'!G284+'Cost Source'!O284</f>
        <v>95.267200000000003</v>
      </c>
      <c r="D284" s="230">
        <f t="shared" si="22"/>
        <v>95.99</v>
      </c>
      <c r="E284" s="144">
        <f>'Price List'!C284+'Cost Source'!Y284</f>
        <v>95.267200000000003</v>
      </c>
      <c r="F284" s="245">
        <f t="shared" si="24"/>
        <v>95.99</v>
      </c>
      <c r="G284" s="144">
        <f>'Price List'!C284+'Cost Source'!N284</f>
        <v>65.267200000000003</v>
      </c>
      <c r="H284" s="259">
        <f t="shared" si="23"/>
        <v>65.989999999999995</v>
      </c>
      <c r="I284" s="272">
        <f>'Cost Source'!P284</f>
        <v>0</v>
      </c>
      <c r="J284" s="294"/>
    </row>
    <row r="285" spans="1:10" x14ac:dyDescent="0.25">
      <c r="A285" t="s">
        <v>826</v>
      </c>
      <c r="B285" s="5">
        <v>23533673</v>
      </c>
      <c r="C285" s="1">
        <f>'Price List'!C285+'Cost Source'!G285+'Cost Source'!O285</f>
        <v>78.58</v>
      </c>
      <c r="D285" s="226">
        <f t="shared" si="22"/>
        <v>78.989999999999995</v>
      </c>
      <c r="E285" s="1">
        <f>'Price List'!C285+'Cost Source'!Y285</f>
        <v>78.58</v>
      </c>
      <c r="F285" s="241">
        <f t="shared" si="24"/>
        <v>78.989999999999995</v>
      </c>
      <c r="G285" s="1">
        <f>'Price List'!C285+'Cost Source'!N285</f>
        <v>48.58</v>
      </c>
      <c r="H285" s="257">
        <f t="shared" si="23"/>
        <v>48.99</v>
      </c>
      <c r="I285" s="277">
        <f>'Cost Source'!P285</f>
        <v>0</v>
      </c>
      <c r="J285" s="289"/>
    </row>
    <row r="286" spans="1:10" x14ac:dyDescent="0.25">
      <c r="A286" s="140" t="s">
        <v>826</v>
      </c>
      <c r="B286" s="151">
        <v>23539158</v>
      </c>
      <c r="C286" s="146">
        <f>'Price List'!C286+'Cost Source'!G286+'Cost Source'!O286</f>
        <v>96.44</v>
      </c>
      <c r="D286" s="227">
        <f t="shared" si="22"/>
        <v>96.99</v>
      </c>
      <c r="E286" s="146">
        <f>'Price List'!C286+'Cost Source'!Y286</f>
        <v>96.44</v>
      </c>
      <c r="F286" s="242">
        <f t="shared" si="24"/>
        <v>96.99</v>
      </c>
      <c r="G286" s="146">
        <f>'Price List'!C286+'Cost Source'!N286</f>
        <v>66.44</v>
      </c>
      <c r="H286" s="258">
        <f t="shared" si="23"/>
        <v>66.989999999999995</v>
      </c>
      <c r="I286" s="277">
        <f>'Cost Source'!P286</f>
        <v>0</v>
      </c>
      <c r="J286" s="290"/>
    </row>
    <row r="287" spans="1:10" x14ac:dyDescent="0.25">
      <c r="A287" s="26" t="s">
        <v>826</v>
      </c>
      <c r="B287" s="43" t="s">
        <v>829</v>
      </c>
      <c r="C287" s="27">
        <f>'Price List'!C287+'Cost Source'!G287+'Cost Source'!O287</f>
        <v>187.84</v>
      </c>
      <c r="D287" s="229">
        <f t="shared" si="22"/>
        <v>187.99</v>
      </c>
      <c r="E287" s="27">
        <f>'Price List'!C287+'Cost Source'!Y287</f>
        <v>187.84</v>
      </c>
      <c r="F287" s="244">
        <f t="shared" si="24"/>
        <v>187.99</v>
      </c>
      <c r="G287" s="27">
        <f>'Price List'!C287+'Cost Source'!N287</f>
        <v>157.84</v>
      </c>
      <c r="H287" s="260">
        <f t="shared" si="23"/>
        <v>157.99</v>
      </c>
      <c r="I287" s="272">
        <f>'Cost Source'!P287</f>
        <v>0</v>
      </c>
      <c r="J287" s="295"/>
    </row>
    <row r="288" spans="1:10" x14ac:dyDescent="0.25">
      <c r="A288" s="147" t="s">
        <v>826</v>
      </c>
      <c r="B288" s="157" t="s">
        <v>830</v>
      </c>
      <c r="C288" s="144">
        <f>'Price List'!C288+'Cost Source'!G288+'Cost Source'!O288</f>
        <v>192.63040000000001</v>
      </c>
      <c r="D288" s="230">
        <f t="shared" si="22"/>
        <v>192.99</v>
      </c>
      <c r="E288" s="144">
        <f>'Price List'!C288+'Cost Source'!Y288</f>
        <v>192.63040000000001</v>
      </c>
      <c r="F288" s="245">
        <f t="shared" si="24"/>
        <v>192.99</v>
      </c>
      <c r="G288" s="144">
        <f>'Price List'!C288+'Cost Source'!N288</f>
        <v>162.63040000000001</v>
      </c>
      <c r="H288" s="259">
        <f t="shared" si="23"/>
        <v>162.99</v>
      </c>
      <c r="I288" s="272">
        <f>'Cost Source'!P288</f>
        <v>0</v>
      </c>
      <c r="J288" s="294"/>
    </row>
    <row r="289" spans="1:10" x14ac:dyDescent="0.25">
      <c r="A289" t="s">
        <v>826</v>
      </c>
      <c r="B289" s="5" t="s">
        <v>831</v>
      </c>
      <c r="C289" s="1">
        <f>'Price List'!C289+'Cost Source'!G289+'Cost Source'!O289</f>
        <v>209.9264</v>
      </c>
      <c r="D289" s="226">
        <f t="shared" si="22"/>
        <v>209.99</v>
      </c>
      <c r="E289" s="1">
        <f>'Price List'!C289+'Cost Source'!Y289</f>
        <v>209.9264</v>
      </c>
      <c r="F289" s="241">
        <f t="shared" si="24"/>
        <v>209.99</v>
      </c>
      <c r="G289" s="1">
        <f>'Price List'!C289+'Cost Source'!N289</f>
        <v>179.9264</v>
      </c>
      <c r="H289" s="257">
        <f t="shared" si="23"/>
        <v>179.99</v>
      </c>
      <c r="I289" s="277">
        <f>'Cost Source'!P289</f>
        <v>0</v>
      </c>
      <c r="J289" s="289"/>
    </row>
    <row r="290" spans="1:10" x14ac:dyDescent="0.25">
      <c r="A290" s="140" t="s">
        <v>826</v>
      </c>
      <c r="B290" s="151" t="s">
        <v>832</v>
      </c>
      <c r="C290" s="146">
        <f>'Price List'!C290+'Cost Source'!G290+'Cost Source'!O290</f>
        <v>170.0736</v>
      </c>
      <c r="D290" s="227">
        <f t="shared" si="22"/>
        <v>170.99</v>
      </c>
      <c r="E290" s="146">
        <f>'Price List'!C290+'Cost Source'!Y290</f>
        <v>170.0736</v>
      </c>
      <c r="F290" s="242">
        <f t="shared" si="24"/>
        <v>170.99</v>
      </c>
      <c r="G290" s="146">
        <f>'Price List'!C290+'Cost Source'!N290</f>
        <v>150.0736</v>
      </c>
      <c r="H290" s="258">
        <f t="shared" si="23"/>
        <v>150.99</v>
      </c>
      <c r="I290" s="277">
        <f>'Cost Source'!P290</f>
        <v>0</v>
      </c>
      <c r="J290" s="290"/>
    </row>
    <row r="291" spans="1:10" x14ac:dyDescent="0.25">
      <c r="A291" s="26" t="s">
        <v>826</v>
      </c>
      <c r="B291" s="43" t="s">
        <v>833</v>
      </c>
      <c r="C291" s="27">
        <f>'Price List'!C291+'Cost Source'!G291+'Cost Source'!O291</f>
        <v>86.58</v>
      </c>
      <c r="D291" s="229">
        <f t="shared" si="22"/>
        <v>86.99</v>
      </c>
      <c r="E291" s="27">
        <f>'Price List'!C291+'Cost Source'!Y291</f>
        <v>86.58</v>
      </c>
      <c r="F291" s="244">
        <f t="shared" si="24"/>
        <v>86.99</v>
      </c>
      <c r="G291" s="27">
        <f>'Price List'!C291+'Cost Source'!N291</f>
        <v>56.58</v>
      </c>
      <c r="H291" s="260">
        <f t="shared" si="23"/>
        <v>56.99</v>
      </c>
      <c r="I291" s="272">
        <f>'Cost Source'!P291</f>
        <v>0</v>
      </c>
      <c r="J291" s="295"/>
    </row>
    <row r="292" spans="1:10" x14ac:dyDescent="0.25">
      <c r="A292" s="147" t="s">
        <v>826</v>
      </c>
      <c r="B292" s="157" t="s">
        <v>834</v>
      </c>
      <c r="C292" s="144">
        <f>'Price List'!C292+'Cost Source'!G292+'Cost Source'!O292</f>
        <v>99.33</v>
      </c>
      <c r="D292" s="230">
        <f t="shared" si="22"/>
        <v>99.99</v>
      </c>
      <c r="E292" s="144">
        <f>'Price List'!C292+'Cost Source'!Y292</f>
        <v>99.33</v>
      </c>
      <c r="F292" s="245">
        <f t="shared" si="24"/>
        <v>99.99</v>
      </c>
      <c r="G292" s="144">
        <f>'Price List'!C292+'Cost Source'!N292</f>
        <v>69.33</v>
      </c>
      <c r="H292" s="259">
        <f t="shared" si="23"/>
        <v>69.989999999999995</v>
      </c>
      <c r="I292" s="272">
        <f>'Cost Source'!P292</f>
        <v>0</v>
      </c>
      <c r="J292" s="294"/>
    </row>
    <row r="293" spans="1:10" x14ac:dyDescent="0.25">
      <c r="A293" t="s">
        <v>826</v>
      </c>
      <c r="B293" s="5" t="s">
        <v>835</v>
      </c>
      <c r="C293" s="1">
        <f>'Price List'!C293+'Cost Source'!G293+'Cost Source'!O293</f>
        <v>131.68</v>
      </c>
      <c r="D293" s="226">
        <f t="shared" si="22"/>
        <v>131.99</v>
      </c>
      <c r="E293" s="1">
        <f>'Price List'!C293+'Cost Source'!Y293</f>
        <v>131.68</v>
      </c>
      <c r="F293" s="241">
        <f t="shared" si="24"/>
        <v>131.99</v>
      </c>
      <c r="G293" s="1">
        <f>'Price List'!C293+'Cost Source'!N293</f>
        <v>101.68</v>
      </c>
      <c r="H293" s="257">
        <f t="shared" si="23"/>
        <v>101.99</v>
      </c>
      <c r="I293" s="277">
        <f>'Cost Source'!P293</f>
        <v>0</v>
      </c>
      <c r="J293" s="289"/>
    </row>
    <row r="294" spans="1:10" x14ac:dyDescent="0.25">
      <c r="A294" s="147" t="s">
        <v>173</v>
      </c>
      <c r="B294" s="155"/>
      <c r="C294" s="144"/>
      <c r="D294" s="230"/>
      <c r="E294" s="147"/>
      <c r="F294" s="249"/>
      <c r="G294" s="147"/>
      <c r="H294" s="259"/>
      <c r="I294" s="277">
        <f>'Cost Source'!P294</f>
        <v>0</v>
      </c>
      <c r="J294" s="290"/>
    </row>
    <row r="295" spans="1:10" x14ac:dyDescent="0.25">
      <c r="A295" s="36" t="s">
        <v>173</v>
      </c>
      <c r="B295" s="39"/>
      <c r="C295" s="35"/>
      <c r="D295" s="225"/>
      <c r="E295" s="36"/>
      <c r="F295" s="250"/>
      <c r="G295" s="36"/>
      <c r="H295" s="263"/>
      <c r="I295" s="277">
        <f>'Cost Source'!P295</f>
        <v>0</v>
      </c>
      <c r="J295" s="289"/>
    </row>
    <row r="296" spans="1:10" x14ac:dyDescent="0.25">
      <c r="A296" t="s">
        <v>173</v>
      </c>
      <c r="B296" s="41"/>
      <c r="C296" s="27"/>
      <c r="D296" s="229"/>
      <c r="E296" s="26"/>
      <c r="F296" s="251"/>
      <c r="G296" s="26"/>
      <c r="H296" s="260"/>
      <c r="I296" s="277">
        <f>'Cost Source'!P296</f>
        <v>0</v>
      </c>
      <c r="J296" s="290"/>
    </row>
    <row r="297" spans="1:10" x14ac:dyDescent="0.25">
      <c r="A297" s="140" t="s">
        <v>173</v>
      </c>
      <c r="B297" s="155"/>
      <c r="C297" s="144"/>
      <c r="D297" s="230"/>
      <c r="E297" s="147"/>
      <c r="F297" s="249"/>
      <c r="G297" s="147"/>
      <c r="H297" s="259"/>
      <c r="I297" s="277">
        <f>'Cost Source'!P297</f>
        <v>0</v>
      </c>
      <c r="J297" s="289"/>
    </row>
    <row r="298" spans="1:10" x14ac:dyDescent="0.25">
      <c r="A298" t="s">
        <v>173</v>
      </c>
      <c r="B298" s="5">
        <v>3683919</v>
      </c>
      <c r="C298" s="1"/>
      <c r="D298" s="226"/>
      <c r="F298" s="252"/>
      <c r="H298" s="257"/>
      <c r="I298" s="277">
        <f>'Cost Source'!P298</f>
        <v>0</v>
      </c>
      <c r="J298" s="290"/>
    </row>
    <row r="299" spans="1:10" x14ac:dyDescent="0.25">
      <c r="A299" s="140" t="s">
        <v>173</v>
      </c>
      <c r="B299" s="141" t="s">
        <v>1216</v>
      </c>
      <c r="C299" s="146">
        <f>'Price List'!C299+'Cost Source'!I299+'Cost Source'!O299</f>
        <v>72.496000000000009</v>
      </c>
      <c r="D299" s="224">
        <f t="shared" si="14"/>
        <v>72.989999999999995</v>
      </c>
      <c r="E299" s="146">
        <f>'Price List'!C299+'Cost Source'!V299</f>
        <v>57.496000000000002</v>
      </c>
      <c r="F299" s="239">
        <f>ROUNDUP(E299,0)-0.01</f>
        <v>57.99</v>
      </c>
      <c r="G299" s="146">
        <f>'Price List'!C299+'Cost Source'!N299</f>
        <v>57.496000000000002</v>
      </c>
      <c r="H299" s="262">
        <f>ROUNDUP(G299,0)-0.01</f>
        <v>57.99</v>
      </c>
      <c r="I299" s="279"/>
      <c r="J299" s="290">
        <v>15</v>
      </c>
    </row>
    <row r="300" spans="1:10" x14ac:dyDescent="0.25">
      <c r="A300" s="30" t="s">
        <v>173</v>
      </c>
      <c r="B300" s="30" t="s">
        <v>0</v>
      </c>
      <c r="C300" s="32">
        <f>'Price List'!C300+'Cost Source'!D300+'Cost Source'!O300</f>
        <v>49.299199999999999</v>
      </c>
      <c r="D300" s="224">
        <f t="shared" si="14"/>
        <v>49.99</v>
      </c>
      <c r="E300" s="32">
        <f>'Price List'!C300+'Cost Source'!Q300</f>
        <v>34.299199999999999</v>
      </c>
      <c r="F300" s="239">
        <f>ROUNDUP(E300,0)-0.01</f>
        <v>34.99</v>
      </c>
      <c r="G300" s="32">
        <f>'Price List'!C300+'Cost Source'!N300</f>
        <v>29.299200000000003</v>
      </c>
      <c r="H300" s="262">
        <f>ROUNDUP(G300,0)-0.01</f>
        <v>29.99</v>
      </c>
      <c r="I300" s="277">
        <f>'Cost Source'!P300</f>
        <v>0</v>
      </c>
      <c r="J300" s="290">
        <v>20</v>
      </c>
    </row>
    <row r="301" spans="1:10" x14ac:dyDescent="0.25">
      <c r="A301" s="26" t="s">
        <v>173</v>
      </c>
      <c r="B301" s="26" t="s">
        <v>1</v>
      </c>
      <c r="C301" s="27">
        <f>'Price List'!C301+'Cost Source'!D301+'Cost Source'!O301</f>
        <v>49.062399999999997</v>
      </c>
      <c r="D301" s="229">
        <f t="shared" si="14"/>
        <v>49.99</v>
      </c>
      <c r="E301" s="27">
        <f>'Price List'!C301+'Cost Source'!Q301</f>
        <v>34.062399999999997</v>
      </c>
      <c r="F301" s="244">
        <f t="shared" ref="F301:F368" si="25">ROUNDUP(E301,0)-0.01</f>
        <v>34.99</v>
      </c>
      <c r="G301" s="27">
        <f>'Price List'!C301+'Cost Source'!N301</f>
        <v>29.0624</v>
      </c>
      <c r="H301" s="260">
        <f t="shared" ref="H301:H373" si="26">ROUNDUP(G301,0)-0.01</f>
        <v>29.99</v>
      </c>
      <c r="I301" s="272">
        <f>'Cost Source'!P301</f>
        <v>0</v>
      </c>
      <c r="J301" s="295">
        <v>20</v>
      </c>
    </row>
    <row r="302" spans="1:10" x14ac:dyDescent="0.25">
      <c r="A302" s="36" t="s">
        <v>173</v>
      </c>
      <c r="B302" s="36" t="s">
        <v>2</v>
      </c>
      <c r="C302" s="35">
        <f>'Price List'!C302+'Cost Source'!D302+'Cost Source'!O302</f>
        <v>64.22399999999999</v>
      </c>
      <c r="D302" s="225">
        <f t="shared" si="14"/>
        <v>64.989999999999995</v>
      </c>
      <c r="E302" s="35">
        <f>'Price List'!C302+'Cost Source'!Q302</f>
        <v>49.223999999999997</v>
      </c>
      <c r="F302" s="240">
        <f t="shared" si="25"/>
        <v>49.99</v>
      </c>
      <c r="G302" s="35">
        <f>'Price List'!C302+'Cost Source'!N302</f>
        <v>46.223999999999997</v>
      </c>
      <c r="H302" s="263">
        <f t="shared" si="26"/>
        <v>46.99</v>
      </c>
      <c r="I302" s="272">
        <f>'Cost Source'!P302</f>
        <v>0</v>
      </c>
      <c r="J302" s="294">
        <v>20</v>
      </c>
    </row>
    <row r="303" spans="1:10" x14ac:dyDescent="0.25">
      <c r="A303" t="s">
        <v>173</v>
      </c>
      <c r="B303" t="s">
        <v>3</v>
      </c>
      <c r="C303" s="1">
        <f>'Price List'!C303+'Cost Source'!D303+'Cost Source'!O303</f>
        <v>59.065600000000003</v>
      </c>
      <c r="D303" s="226">
        <f t="shared" si="14"/>
        <v>59.99</v>
      </c>
      <c r="E303" s="1">
        <f>'Price List'!C303+'Cost Source'!Q303</f>
        <v>44.065600000000003</v>
      </c>
      <c r="F303" s="241">
        <f t="shared" si="25"/>
        <v>44.99</v>
      </c>
      <c r="G303" s="1">
        <f>'Price List'!C303+'Cost Source'!N303</f>
        <v>40.065600000000003</v>
      </c>
      <c r="H303" s="257">
        <f t="shared" si="26"/>
        <v>40.99</v>
      </c>
      <c r="I303" s="277">
        <f>'Cost Source'!P303</f>
        <v>0</v>
      </c>
      <c r="J303" s="289">
        <v>20</v>
      </c>
    </row>
    <row r="304" spans="1:10" x14ac:dyDescent="0.25">
      <c r="A304" s="30" t="s">
        <v>173</v>
      </c>
      <c r="B304" s="30" t="s">
        <v>4</v>
      </c>
      <c r="C304" s="32">
        <f>'Price List'!C304+'Cost Source'!D304+'Cost Source'!O304</f>
        <v>56.438400000000001</v>
      </c>
      <c r="D304" s="224">
        <f t="shared" si="14"/>
        <v>56.99</v>
      </c>
      <c r="E304" s="32">
        <f>'Price List'!C304+'Cost Source'!Q304</f>
        <v>41.438400000000001</v>
      </c>
      <c r="F304" s="239">
        <f t="shared" si="25"/>
        <v>41.99</v>
      </c>
      <c r="G304" s="32">
        <f>'Price List'!C304+'Cost Source'!N304</f>
        <v>37.438400000000001</v>
      </c>
      <c r="H304" s="262">
        <f t="shared" si="26"/>
        <v>37.99</v>
      </c>
      <c r="I304" s="277">
        <f>'Cost Source'!P304</f>
        <v>0</v>
      </c>
      <c r="J304" s="290">
        <v>20</v>
      </c>
    </row>
    <row r="305" spans="1:10" x14ac:dyDescent="0.25">
      <c r="A305" s="26" t="s">
        <v>173</v>
      </c>
      <c r="B305" s="26" t="s">
        <v>5</v>
      </c>
      <c r="C305" s="27">
        <f>'Price List'!C305+'Cost Source'!D305+'Cost Source'!O305</f>
        <v>66.163199999999989</v>
      </c>
      <c r="D305" s="229">
        <f t="shared" si="14"/>
        <v>66.989999999999995</v>
      </c>
      <c r="E305" s="27">
        <f>'Price List'!C305+'Cost Source'!Q305</f>
        <v>51.163199999999996</v>
      </c>
      <c r="F305" s="244">
        <f t="shared" si="25"/>
        <v>51.99</v>
      </c>
      <c r="G305" s="27">
        <f>'Price List'!C305+'Cost Source'!N305</f>
        <v>49.163199999999996</v>
      </c>
      <c r="H305" s="260">
        <f t="shared" si="26"/>
        <v>49.99</v>
      </c>
      <c r="I305" s="272">
        <f>'Cost Source'!P305</f>
        <v>0</v>
      </c>
      <c r="J305" s="295">
        <v>20</v>
      </c>
    </row>
    <row r="306" spans="1:10" x14ac:dyDescent="0.25">
      <c r="A306" s="36" t="s">
        <v>173</v>
      </c>
      <c r="B306" s="36" t="s">
        <v>6</v>
      </c>
      <c r="C306" s="35">
        <f>'Price List'!C306+'Cost Source'!D306+'Cost Source'!O306</f>
        <v>76.147199999999998</v>
      </c>
      <c r="D306" s="225">
        <f t="shared" si="14"/>
        <v>76.989999999999995</v>
      </c>
      <c r="E306" s="35">
        <f>'Price List'!C306+'Cost Source'!Q306</f>
        <v>61.147199999999998</v>
      </c>
      <c r="F306" s="240">
        <f t="shared" si="25"/>
        <v>61.99</v>
      </c>
      <c r="G306" s="35">
        <f>'Price List'!C306+'Cost Source'!N306</f>
        <v>60.147199999999998</v>
      </c>
      <c r="H306" s="263">
        <f t="shared" si="26"/>
        <v>60.99</v>
      </c>
      <c r="I306" s="272">
        <f>'Cost Source'!P306</f>
        <v>0</v>
      </c>
      <c r="J306" s="294">
        <v>20</v>
      </c>
    </row>
    <row r="307" spans="1:10" x14ac:dyDescent="0.25">
      <c r="A307" t="s">
        <v>173</v>
      </c>
      <c r="B307" s="25" t="s">
        <v>7</v>
      </c>
      <c r="C307" s="23">
        <f>'Price List'!C307+'Cost Source'!K307+'Cost Source'!O307</f>
        <v>151.25</v>
      </c>
      <c r="D307" s="233">
        <f t="shared" si="14"/>
        <v>151.99</v>
      </c>
      <c r="E307" s="23">
        <f>'Price List'!C307+'Cost Source'!X307</f>
        <v>136.25</v>
      </c>
      <c r="F307" s="247">
        <f t="shared" si="25"/>
        <v>136.99</v>
      </c>
      <c r="G307" s="23">
        <f>'Price List'!C307+'Cost Source'!N307</f>
        <v>117.25</v>
      </c>
      <c r="H307" s="265">
        <f t="shared" si="26"/>
        <v>117.99</v>
      </c>
      <c r="I307" s="277">
        <f>'Cost Source'!P307</f>
        <v>0</v>
      </c>
      <c r="J307" s="289">
        <v>30</v>
      </c>
    </row>
    <row r="308" spans="1:10" x14ac:dyDescent="0.25">
      <c r="A308" s="30" t="s">
        <v>173</v>
      </c>
      <c r="B308" s="37" t="s">
        <v>8</v>
      </c>
      <c r="C308" s="38">
        <f>'Price List'!C308+'Cost Source'!K308+'Cost Source'!O308</f>
        <v>161.56</v>
      </c>
      <c r="D308" s="232">
        <f t="shared" si="14"/>
        <v>161.99</v>
      </c>
      <c r="E308" s="38">
        <f>'Price List'!C308+'Cost Source'!X308</f>
        <v>146.56</v>
      </c>
      <c r="F308" s="253">
        <f t="shared" si="25"/>
        <v>146.99</v>
      </c>
      <c r="G308" s="38">
        <f>'Price List'!C308+'Cost Source'!N308</f>
        <v>127.56</v>
      </c>
      <c r="H308" s="266">
        <f t="shared" si="26"/>
        <v>127.99</v>
      </c>
      <c r="I308" s="277">
        <f>'Cost Source'!P308</f>
        <v>0</v>
      </c>
      <c r="J308" s="290">
        <v>30</v>
      </c>
    </row>
    <row r="309" spans="1:10" x14ac:dyDescent="0.25">
      <c r="A309" s="26" t="s">
        <v>173</v>
      </c>
      <c r="B309" s="26" t="s">
        <v>9</v>
      </c>
      <c r="C309" s="27">
        <f>'Price List'!C309+'Cost Source'!E309+'Cost Source'!O309</f>
        <v>27.046399999999998</v>
      </c>
      <c r="D309" s="229">
        <f t="shared" si="14"/>
        <v>27.99</v>
      </c>
      <c r="E309" s="27">
        <f>'Price List'!C309+'Cost Source'!R309</f>
        <v>15.0464</v>
      </c>
      <c r="F309" s="244">
        <f t="shared" si="25"/>
        <v>15.99</v>
      </c>
      <c r="G309" s="27">
        <f>'Price List'!C309+'Cost Source'!N309</f>
        <v>14.0464</v>
      </c>
      <c r="H309" s="260">
        <f t="shared" si="26"/>
        <v>14.99</v>
      </c>
      <c r="I309" s="272">
        <f>'Cost Source'!P309</f>
        <v>0</v>
      </c>
      <c r="J309" s="295">
        <v>10</v>
      </c>
    </row>
    <row r="310" spans="1:10" x14ac:dyDescent="0.25">
      <c r="A310" s="36" t="s">
        <v>173</v>
      </c>
      <c r="B310" s="36" t="s">
        <v>10</v>
      </c>
      <c r="C310" s="35">
        <f>'Price List'!C310+'Cost Source'!E310+'Cost Source'!O310</f>
        <v>36.562399999999997</v>
      </c>
      <c r="D310" s="225">
        <f t="shared" si="14"/>
        <v>36.99</v>
      </c>
      <c r="E310" s="35"/>
      <c r="F310" s="240"/>
      <c r="G310" s="35">
        <f>'Price List'!C310+'Cost Source'!N310</f>
        <v>18.5624</v>
      </c>
      <c r="H310" s="263">
        <f t="shared" si="26"/>
        <v>18.989999999999998</v>
      </c>
      <c r="I310" s="272">
        <f>'Cost Source'!P310</f>
        <v>-5</v>
      </c>
      <c r="J310" s="294">
        <v>10</v>
      </c>
    </row>
    <row r="311" spans="1:10" x14ac:dyDescent="0.25">
      <c r="A311" t="s">
        <v>173</v>
      </c>
      <c r="B311" t="s">
        <v>11</v>
      </c>
      <c r="C311" s="1">
        <f>'Price List'!C311+'Cost Source'!E311+'Cost Source'!O311</f>
        <v>36.555999999999997</v>
      </c>
      <c r="D311" s="226">
        <f t="shared" si="14"/>
        <v>36.99</v>
      </c>
      <c r="E311" s="1"/>
      <c r="F311" s="241"/>
      <c r="G311" s="1">
        <f>'Price List'!C311+'Cost Source'!N311</f>
        <v>18.555999999999997</v>
      </c>
      <c r="H311" s="257">
        <f t="shared" si="26"/>
        <v>18.989999999999998</v>
      </c>
      <c r="I311" s="277">
        <f>'Cost Source'!P311</f>
        <v>-5</v>
      </c>
      <c r="J311" s="289">
        <v>10</v>
      </c>
    </row>
    <row r="312" spans="1:10" x14ac:dyDescent="0.25">
      <c r="A312" s="30" t="s">
        <v>173</v>
      </c>
      <c r="B312" s="30" t="s">
        <v>12</v>
      </c>
      <c r="C312" s="32">
        <f>'Price List'!C312+'Cost Source'!E312+'Cost Source'!O312</f>
        <v>31.832799999999999</v>
      </c>
      <c r="D312" s="224">
        <f t="shared" si="14"/>
        <v>31.99</v>
      </c>
      <c r="E312" s="32">
        <f>'Price List'!C312+'Cost Source'!R312</f>
        <v>14.832799999999999</v>
      </c>
      <c r="F312" s="239">
        <f t="shared" si="25"/>
        <v>14.99</v>
      </c>
      <c r="G312" s="32">
        <f>'Price List'!C312+'Cost Source'!N312</f>
        <v>13.832799999999999</v>
      </c>
      <c r="H312" s="262">
        <f t="shared" si="26"/>
        <v>13.99</v>
      </c>
      <c r="I312" s="277">
        <f>'Cost Source'!P312</f>
        <v>0</v>
      </c>
      <c r="J312" s="290">
        <v>10</v>
      </c>
    </row>
    <row r="313" spans="1:10" x14ac:dyDescent="0.25">
      <c r="A313" s="26" t="s">
        <v>173</v>
      </c>
      <c r="B313" s="26" t="s">
        <v>13</v>
      </c>
      <c r="C313" s="27">
        <f>'Price List'!C313+'Cost Source'!E313+'Cost Source'!O313</f>
        <v>49.248800000000003</v>
      </c>
      <c r="D313" s="229">
        <f t="shared" si="14"/>
        <v>49.99</v>
      </c>
      <c r="E313" s="27">
        <f>'Price List'!C313+'Cost Source'!R313</f>
        <v>29.248800000000003</v>
      </c>
      <c r="F313" s="244">
        <f t="shared" si="25"/>
        <v>29.99</v>
      </c>
      <c r="G313" s="27">
        <f>'Price List'!C313+'Cost Source'!N313</f>
        <v>30.248800000000003</v>
      </c>
      <c r="H313" s="260">
        <f t="shared" si="26"/>
        <v>30.99</v>
      </c>
      <c r="I313" s="272">
        <f>'Cost Source'!P313</f>
        <v>0</v>
      </c>
      <c r="J313" s="295">
        <v>10</v>
      </c>
    </row>
    <row r="314" spans="1:10" x14ac:dyDescent="0.25">
      <c r="A314" s="36" t="s">
        <v>173</v>
      </c>
      <c r="B314" s="36" t="s">
        <v>14</v>
      </c>
      <c r="C314" s="35">
        <f>'Price List'!C314+'Cost Source'!E314+'Cost Source'!O314</f>
        <v>39.807200000000002</v>
      </c>
      <c r="D314" s="225">
        <f t="shared" si="14"/>
        <v>39.99</v>
      </c>
      <c r="E314" s="35"/>
      <c r="F314" s="245"/>
      <c r="G314" s="35">
        <f>'Price List'!C314+'Cost Source'!N314</f>
        <v>22.807200000000002</v>
      </c>
      <c r="H314" s="263">
        <f t="shared" si="26"/>
        <v>22.99</v>
      </c>
      <c r="I314" s="272">
        <f>'Cost Source'!P314</f>
        <v>-5</v>
      </c>
      <c r="J314" s="294">
        <v>10</v>
      </c>
    </row>
    <row r="315" spans="1:10" x14ac:dyDescent="0.25">
      <c r="A315" t="s">
        <v>173</v>
      </c>
      <c r="B315" t="s">
        <v>15</v>
      </c>
      <c r="C315" s="1">
        <f>'Price List'!C315+'Cost Source'!E315+'Cost Source'!O315</f>
        <v>32.519199999999998</v>
      </c>
      <c r="D315" s="226">
        <f t="shared" si="14"/>
        <v>32.99</v>
      </c>
      <c r="E315" s="1">
        <f>'Price List'!C315+'Cost Source'!R315</f>
        <v>-22.480799999999999</v>
      </c>
      <c r="F315" s="244">
        <f t="shared" si="25"/>
        <v>-23.01</v>
      </c>
      <c r="G315" s="1">
        <f>'Price List'!C315+'Cost Source'!N315</f>
        <v>29.519200000000001</v>
      </c>
      <c r="H315" s="257">
        <f t="shared" si="26"/>
        <v>29.99</v>
      </c>
      <c r="I315" s="277">
        <f>'Cost Source'!P315</f>
        <v>-15</v>
      </c>
      <c r="J315" s="289">
        <v>10</v>
      </c>
    </row>
    <row r="316" spans="1:10" x14ac:dyDescent="0.25">
      <c r="A316" s="30" t="s">
        <v>173</v>
      </c>
      <c r="B316" s="30" t="s">
        <v>16</v>
      </c>
      <c r="C316" s="32">
        <f>'Price List'!C316+'Cost Source'!E316+'Cost Source'!O316</f>
        <v>41.790400000000005</v>
      </c>
      <c r="D316" s="224">
        <f t="shared" si="14"/>
        <v>41.99</v>
      </c>
      <c r="E316" s="32">
        <f>'Price List'!C316+'Cost Source'!R316</f>
        <v>26.790400000000002</v>
      </c>
      <c r="F316" s="239">
        <f t="shared" si="25"/>
        <v>26.99</v>
      </c>
      <c r="G316" s="32">
        <f>'Price List'!C316+'Cost Source'!N316</f>
        <v>24.790400000000002</v>
      </c>
      <c r="H316" s="262">
        <f t="shared" si="26"/>
        <v>24.99</v>
      </c>
      <c r="I316" s="277">
        <f>'Cost Source'!P316</f>
        <v>0</v>
      </c>
      <c r="J316" s="290">
        <v>10</v>
      </c>
    </row>
    <row r="317" spans="1:10" x14ac:dyDescent="0.25">
      <c r="A317" s="26" t="s">
        <v>173</v>
      </c>
      <c r="B317" s="26" t="s">
        <v>17</v>
      </c>
      <c r="C317" s="27">
        <f>'Price List'!C317+'Cost Source'!E317+'Cost Source'!O317</f>
        <v>43.264800000000001</v>
      </c>
      <c r="D317" s="229">
        <f t="shared" si="14"/>
        <v>43.99</v>
      </c>
      <c r="E317" s="27"/>
      <c r="F317" s="244"/>
      <c r="G317" s="27">
        <f>'Price List'!C317+'Cost Source'!N317</f>
        <v>21.264800000000001</v>
      </c>
      <c r="H317" s="260">
        <f t="shared" si="26"/>
        <v>21.99</v>
      </c>
      <c r="I317" s="272">
        <f>'Cost Source'!P317</f>
        <v>-5</v>
      </c>
      <c r="J317" s="295">
        <v>10</v>
      </c>
    </row>
    <row r="318" spans="1:10" x14ac:dyDescent="0.25">
      <c r="A318" s="36" t="s">
        <v>173</v>
      </c>
      <c r="B318" s="36" t="s">
        <v>18</v>
      </c>
      <c r="C318" s="35">
        <f>'Price List'!C318+'Cost Source'!E318+'Cost Source'!O318</f>
        <v>47.574399999999997</v>
      </c>
      <c r="D318" s="225">
        <f t="shared" si="14"/>
        <v>47.99</v>
      </c>
      <c r="E318" s="35">
        <f>'Price List'!C318+'Cost Source'!R318</f>
        <v>29.574400000000001</v>
      </c>
      <c r="F318" s="240">
        <f t="shared" si="25"/>
        <v>29.99</v>
      </c>
      <c r="G318" s="35">
        <f>'Price List'!C318+'Cost Source'!N318</f>
        <v>25.574400000000001</v>
      </c>
      <c r="H318" s="263">
        <f t="shared" si="26"/>
        <v>25.99</v>
      </c>
      <c r="I318" s="272">
        <f>'Cost Source'!P318</f>
        <v>0</v>
      </c>
      <c r="J318" s="294">
        <v>10</v>
      </c>
    </row>
    <row r="319" spans="1:10" x14ac:dyDescent="0.25">
      <c r="A319" t="s">
        <v>173</v>
      </c>
      <c r="B319" t="s">
        <v>19</v>
      </c>
      <c r="C319" s="1">
        <f>'Price List'!C319+'Cost Source'!E319+'Cost Source'!O319</f>
        <v>75.475200000000001</v>
      </c>
      <c r="D319" s="226">
        <f t="shared" si="14"/>
        <v>75.989999999999995</v>
      </c>
      <c r="E319" s="35"/>
      <c r="F319" s="240"/>
      <c r="G319" s="1">
        <f>'Price List'!C319+'Cost Source'!N319</f>
        <v>57.475200000000001</v>
      </c>
      <c r="H319" s="257">
        <f t="shared" si="26"/>
        <v>57.99</v>
      </c>
      <c r="I319" s="272">
        <f>'Cost Source'!P319</f>
        <v>-15</v>
      </c>
      <c r="J319" s="289">
        <v>10</v>
      </c>
    </row>
    <row r="320" spans="1:10" x14ac:dyDescent="0.25">
      <c r="A320" s="30" t="s">
        <v>173</v>
      </c>
      <c r="B320" s="30" t="s">
        <v>529</v>
      </c>
      <c r="C320" s="32">
        <f>'Price List'!C320+'Cost Source'!E320+'Cost Source'!O319</f>
        <v>50.144800000000004</v>
      </c>
      <c r="D320" s="224">
        <f t="shared" si="14"/>
        <v>50.99</v>
      </c>
      <c r="E320" s="35">
        <f>'Price List'!C320+'Cost Source'!R320</f>
        <v>-18.8552</v>
      </c>
      <c r="F320" s="240">
        <f t="shared" si="25"/>
        <v>-19.010000000000002</v>
      </c>
      <c r="G320" s="32">
        <f>'Price List'!C320+'Cost Source'!N320</f>
        <v>29.1448</v>
      </c>
      <c r="H320" s="262">
        <f t="shared" si="26"/>
        <v>29.99</v>
      </c>
      <c r="I320" s="277">
        <f>'Cost Source'!P320</f>
        <v>-20</v>
      </c>
      <c r="J320" s="290">
        <v>10</v>
      </c>
    </row>
    <row r="321" spans="1:10" x14ac:dyDescent="0.25">
      <c r="A321" s="36" t="s">
        <v>173</v>
      </c>
      <c r="B321" s="36" t="s">
        <v>20</v>
      </c>
      <c r="C321" s="35">
        <f>'Price List'!C321+'Cost Source'!E321+'Cost Source'!O321</f>
        <v>38.128799999999998</v>
      </c>
      <c r="D321" s="225">
        <f t="shared" si="14"/>
        <v>38.99</v>
      </c>
      <c r="E321" s="35"/>
      <c r="F321" s="240"/>
      <c r="G321" s="35">
        <f>'Price List'!C321+'Cost Source'!N321</f>
        <v>16.128799999999998</v>
      </c>
      <c r="H321" s="263">
        <f t="shared" si="26"/>
        <v>16.989999999999998</v>
      </c>
      <c r="I321" s="272">
        <f>'Cost Source'!P321</f>
        <v>0</v>
      </c>
      <c r="J321" s="295">
        <v>10</v>
      </c>
    </row>
    <row r="322" spans="1:10" x14ac:dyDescent="0.25">
      <c r="A322" t="s">
        <v>173</v>
      </c>
      <c r="B322" t="s">
        <v>530</v>
      </c>
      <c r="C322" s="1">
        <f>'Price List'!C322+'Cost Source'!E322+'Cost Source'!O322</f>
        <v>59.6616</v>
      </c>
      <c r="D322" s="226">
        <f t="shared" si="14"/>
        <v>59.99</v>
      </c>
      <c r="E322" s="1"/>
      <c r="F322" s="241"/>
      <c r="G322" s="1">
        <f>'Price List'!C322+'Cost Source'!N322</f>
        <v>39.6616</v>
      </c>
      <c r="H322" s="257">
        <f t="shared" si="26"/>
        <v>39.99</v>
      </c>
      <c r="I322" s="277">
        <f>'Cost Source'!P322</f>
        <v>-10</v>
      </c>
      <c r="J322" s="290">
        <v>20</v>
      </c>
    </row>
    <row r="323" spans="1:10" x14ac:dyDescent="0.25">
      <c r="A323" s="30" t="s">
        <v>173</v>
      </c>
      <c r="B323" s="30" t="s">
        <v>21</v>
      </c>
      <c r="C323" s="32">
        <f>'Price List'!C323+'Cost Source'!E323+'Cost Source'!O323</f>
        <v>43.056800000000003</v>
      </c>
      <c r="D323" s="224">
        <f t="shared" si="14"/>
        <v>43.99</v>
      </c>
      <c r="E323" s="32"/>
      <c r="F323" s="242"/>
      <c r="G323" s="32">
        <f>'Price List'!C323+'Cost Source'!N323</f>
        <v>22.056800000000003</v>
      </c>
      <c r="H323" s="262">
        <f t="shared" si="26"/>
        <v>22.99</v>
      </c>
      <c r="I323" s="277">
        <f>'Cost Source'!P323</f>
        <v>-5</v>
      </c>
      <c r="J323" s="289">
        <v>10</v>
      </c>
    </row>
    <row r="324" spans="1:10" x14ac:dyDescent="0.25">
      <c r="A324" s="26" t="s">
        <v>173</v>
      </c>
      <c r="B324" s="26" t="s">
        <v>22</v>
      </c>
      <c r="C324" s="27">
        <f>'Price List'!C324+'Cost Source'!E324+'Cost Source'!O324</f>
        <v>40.116</v>
      </c>
      <c r="D324" s="229">
        <f t="shared" si="14"/>
        <v>40.99</v>
      </c>
      <c r="E324" s="27"/>
      <c r="F324" s="242"/>
      <c r="G324" s="27">
        <f>'Price List'!C324+'Cost Source'!N324</f>
        <v>19.116</v>
      </c>
      <c r="H324" s="260">
        <f t="shared" si="26"/>
        <v>19.989999999999998</v>
      </c>
      <c r="I324" s="272">
        <f>'Cost Source'!P324</f>
        <v>0</v>
      </c>
      <c r="J324" s="294">
        <v>10</v>
      </c>
    </row>
    <row r="325" spans="1:10" x14ac:dyDescent="0.25">
      <c r="A325" s="158" t="s">
        <v>173</v>
      </c>
      <c r="B325" s="156" t="s">
        <v>615</v>
      </c>
      <c r="C325" s="198">
        <f>'Price List'!C325+'Cost Source'!E325+'Cost Source'!O325</f>
        <v>36.2104</v>
      </c>
      <c r="D325" s="238">
        <f t="shared" si="14"/>
        <v>36.99</v>
      </c>
      <c r="E325" s="198">
        <f>'Price List'!C325+'Cost Source'!R325</f>
        <v>21.2104</v>
      </c>
      <c r="F325" s="242">
        <f t="shared" si="25"/>
        <v>21.99</v>
      </c>
      <c r="G325" s="198">
        <f>'Price List'!C325+'Cost Source'!N325</f>
        <v>20.2104</v>
      </c>
      <c r="H325" s="269">
        <f t="shared" si="26"/>
        <v>20.99</v>
      </c>
      <c r="I325" s="280">
        <f>'Cost Source'!P325</f>
        <v>0</v>
      </c>
      <c r="J325" s="295">
        <v>10</v>
      </c>
    </row>
    <row r="326" spans="1:10" x14ac:dyDescent="0.25">
      <c r="A326" s="147" t="s">
        <v>173</v>
      </c>
      <c r="B326" s="140" t="s">
        <v>1067</v>
      </c>
      <c r="C326" s="144">
        <f>'Price List'!C326+'Cost Source'!E326+'Cost Source'!O326</f>
        <v>29.620800000000003</v>
      </c>
      <c r="D326" s="230">
        <f t="shared" si="14"/>
        <v>29.99</v>
      </c>
      <c r="E326" s="144">
        <f>'Price List'!C326+'Cost Source'!R326</f>
        <v>19.620800000000003</v>
      </c>
      <c r="F326" s="242">
        <f t="shared" si="25"/>
        <v>19.989999999999998</v>
      </c>
      <c r="G326" s="144">
        <f>'Price List'!C326+'Cost Source'!N326</f>
        <v>17.620800000000003</v>
      </c>
      <c r="H326" s="259">
        <f t="shared" si="26"/>
        <v>17.989999999999998</v>
      </c>
      <c r="I326" s="275">
        <v>0</v>
      </c>
      <c r="J326" s="294">
        <v>10</v>
      </c>
    </row>
    <row r="327" spans="1:10" x14ac:dyDescent="0.25">
      <c r="A327" s="36" t="s">
        <v>173</v>
      </c>
      <c r="B327" s="36" t="s">
        <v>23</v>
      </c>
      <c r="C327" s="35">
        <f>'Price List'!C327+'Cost Source'!E327+'Cost Source'!O327</f>
        <v>38.064</v>
      </c>
      <c r="D327" s="225">
        <f t="shared" si="14"/>
        <v>38.99</v>
      </c>
      <c r="E327" s="35"/>
      <c r="F327" s="240"/>
      <c r="G327" s="35">
        <f>'Price List'!C327+'Cost Source'!N327</f>
        <v>15.064</v>
      </c>
      <c r="H327" s="263">
        <f t="shared" si="26"/>
        <v>15.99</v>
      </c>
      <c r="I327" s="272">
        <f>'Cost Source'!P327</f>
        <v>-5</v>
      </c>
      <c r="J327" s="294">
        <v>10</v>
      </c>
    </row>
    <row r="328" spans="1:10" x14ac:dyDescent="0.25">
      <c r="A328" t="s">
        <v>173</v>
      </c>
      <c r="B328" t="s">
        <v>24</v>
      </c>
      <c r="C328" s="1">
        <f>'Price List'!C328+'Cost Source'!E328+'Cost Source'!O328</f>
        <v>39.526400000000002</v>
      </c>
      <c r="D328" s="226">
        <f t="shared" si="14"/>
        <v>39.99</v>
      </c>
      <c r="E328" s="1"/>
      <c r="F328" s="241"/>
      <c r="G328" s="1">
        <f>'Price List'!C328+'Cost Source'!N328</f>
        <v>16.526400000000002</v>
      </c>
      <c r="H328" s="257">
        <f t="shared" si="26"/>
        <v>16.989999999999998</v>
      </c>
      <c r="I328" s="277">
        <f>'Cost Source'!P328</f>
        <v>-5</v>
      </c>
      <c r="J328" s="289">
        <v>10</v>
      </c>
    </row>
    <row r="329" spans="1:10" x14ac:dyDescent="0.25">
      <c r="A329" s="30" t="s">
        <v>173</v>
      </c>
      <c r="B329" s="30" t="s">
        <v>25</v>
      </c>
      <c r="C329" s="32">
        <f>'Price List'!C329+'Cost Source'!E329+'Cost Source'!O329</f>
        <v>32.475200000000001</v>
      </c>
      <c r="D329" s="224">
        <f t="shared" si="14"/>
        <v>32.99</v>
      </c>
      <c r="E329" s="32"/>
      <c r="F329" s="239"/>
      <c r="G329" s="32">
        <f>'Price List'!C329+'Cost Source'!N329</f>
        <v>14.475199999999999</v>
      </c>
      <c r="H329" s="262">
        <f t="shared" si="26"/>
        <v>14.99</v>
      </c>
      <c r="I329" s="277">
        <f>'Cost Source'!P329</f>
        <v>-5</v>
      </c>
      <c r="J329" s="290">
        <v>10</v>
      </c>
    </row>
    <row r="330" spans="1:10" x14ac:dyDescent="0.25">
      <c r="A330" s="26" t="s">
        <v>173</v>
      </c>
      <c r="B330" s="26" t="s">
        <v>26</v>
      </c>
      <c r="C330" s="27">
        <f>'Price List'!C330+'Cost Source'!E330+'Cost Source'!O330</f>
        <v>33.122399999999999</v>
      </c>
      <c r="D330" s="229">
        <f t="shared" si="14"/>
        <v>33.99</v>
      </c>
      <c r="E330" s="27"/>
      <c r="F330" s="244"/>
      <c r="G330" s="27">
        <f>'Price List'!C330+'Cost Source'!N330</f>
        <v>15.122400000000001</v>
      </c>
      <c r="H330" s="260">
        <f t="shared" si="26"/>
        <v>15.99</v>
      </c>
      <c r="I330" s="272">
        <f>'Cost Source'!P330</f>
        <v>-5</v>
      </c>
      <c r="J330" s="295">
        <v>10</v>
      </c>
    </row>
    <row r="331" spans="1:10" x14ac:dyDescent="0.25">
      <c r="A331" s="36" t="s">
        <v>173</v>
      </c>
      <c r="B331" s="36" t="s">
        <v>27</v>
      </c>
      <c r="C331" s="35">
        <f>'Price List'!C331+'Cost Source'!E331+'Cost Source'!O331</f>
        <v>47.3568</v>
      </c>
      <c r="D331" s="225">
        <f t="shared" si="14"/>
        <v>47.99</v>
      </c>
      <c r="E331" s="35">
        <f>'Price List'!C331+'Cost Source'!R331</f>
        <v>14.3568</v>
      </c>
      <c r="F331" s="240">
        <f t="shared" si="25"/>
        <v>14.99</v>
      </c>
      <c r="G331" s="35">
        <f>'Price List'!C331+'Cost Source'!N331</f>
        <v>25.3568</v>
      </c>
      <c r="H331" s="263">
        <f t="shared" si="26"/>
        <v>25.99</v>
      </c>
      <c r="I331" s="272">
        <f>'Cost Source'!P331</f>
        <v>0</v>
      </c>
      <c r="J331" s="294">
        <v>10</v>
      </c>
    </row>
    <row r="332" spans="1:10" x14ac:dyDescent="0.25">
      <c r="A332" t="s">
        <v>173</v>
      </c>
      <c r="B332" t="s">
        <v>28</v>
      </c>
      <c r="C332" s="1">
        <f>'Price List'!C332+'Cost Source'!E332+'Cost Source'!O332</f>
        <v>38.561599999999999</v>
      </c>
      <c r="D332" s="226">
        <f t="shared" si="14"/>
        <v>38.99</v>
      </c>
      <c r="E332" s="1"/>
      <c r="F332" s="241"/>
      <c r="G332" s="1">
        <f>'Price List'!C332+'Cost Source'!N332</f>
        <v>20.561600000000002</v>
      </c>
      <c r="H332" s="257">
        <f t="shared" si="26"/>
        <v>20.99</v>
      </c>
      <c r="I332" s="277">
        <f>'Cost Source'!P332</f>
        <v>-5</v>
      </c>
      <c r="J332" s="289">
        <v>10</v>
      </c>
    </row>
    <row r="333" spans="1:10" x14ac:dyDescent="0.25">
      <c r="A333" s="30" t="s">
        <v>173</v>
      </c>
      <c r="B333" s="30" t="s">
        <v>29</v>
      </c>
      <c r="C333" s="32">
        <f>'Price List'!C333+'Cost Source'!E333+'Cost Source'!O333</f>
        <v>42.74</v>
      </c>
      <c r="D333" s="224">
        <f t="shared" si="14"/>
        <v>42.99</v>
      </c>
      <c r="E333" s="32">
        <f>'Price List'!C333+'Cost Source'!R333</f>
        <v>-18.259999999999998</v>
      </c>
      <c r="F333" s="245">
        <f t="shared" si="25"/>
        <v>-19.010000000000002</v>
      </c>
      <c r="G333" s="32">
        <f>'Price List'!C333+'Cost Source'!N333</f>
        <v>20.740000000000002</v>
      </c>
      <c r="H333" s="262">
        <f t="shared" si="26"/>
        <v>20.99</v>
      </c>
      <c r="I333" s="277">
        <f>'Cost Source'!P333</f>
        <v>-20</v>
      </c>
      <c r="J333" s="290">
        <v>10</v>
      </c>
    </row>
    <row r="334" spans="1:10" x14ac:dyDescent="0.25">
      <c r="A334" s="26" t="s">
        <v>173</v>
      </c>
      <c r="B334" s="26" t="s">
        <v>30</v>
      </c>
      <c r="C334" s="27">
        <f>'Price List'!C334+'Cost Source'!E334+'Cost Source'!O334</f>
        <v>53.351199999999999</v>
      </c>
      <c r="D334" s="229">
        <f t="shared" si="14"/>
        <v>53.99</v>
      </c>
      <c r="E334" s="27">
        <f>'Price List'!C334+'Cost Source'!R334</f>
        <v>24.351199999999999</v>
      </c>
      <c r="F334" s="245">
        <f t="shared" si="25"/>
        <v>24.99</v>
      </c>
      <c r="G334" s="27">
        <f>'Price List'!C334+'Cost Source'!N334</f>
        <v>28.351199999999999</v>
      </c>
      <c r="H334" s="260">
        <f t="shared" si="26"/>
        <v>28.99</v>
      </c>
      <c r="I334" s="272">
        <f>'Cost Source'!P334</f>
        <v>0</v>
      </c>
      <c r="J334" s="295">
        <v>10</v>
      </c>
    </row>
    <row r="335" spans="1:10" x14ac:dyDescent="0.25">
      <c r="A335" s="36" t="s">
        <v>173</v>
      </c>
      <c r="B335" s="36" t="s">
        <v>31</v>
      </c>
      <c r="C335" s="35">
        <f>'Price List'!C335+'Cost Source'!E335+'Cost Source'!O335</f>
        <v>39.151200000000003</v>
      </c>
      <c r="D335" s="225">
        <f t="shared" si="14"/>
        <v>39.99</v>
      </c>
      <c r="E335" s="35"/>
      <c r="F335" s="240"/>
      <c r="G335" s="35">
        <f>'Price List'!C335+'Cost Source'!N335</f>
        <v>22.151199999999999</v>
      </c>
      <c r="H335" s="263">
        <f t="shared" si="26"/>
        <v>22.99</v>
      </c>
      <c r="I335" s="272">
        <f>'Cost Source'!P335</f>
        <v>-5</v>
      </c>
      <c r="J335" s="294">
        <v>10</v>
      </c>
    </row>
    <row r="336" spans="1:10" x14ac:dyDescent="0.25">
      <c r="A336" t="s">
        <v>173</v>
      </c>
      <c r="B336" t="s">
        <v>32</v>
      </c>
      <c r="C336" s="1">
        <f>'Price List'!C336+'Cost Source'!E336+'Cost Source'!O336</f>
        <v>41.372799999999998</v>
      </c>
      <c r="D336" s="226">
        <f t="shared" si="14"/>
        <v>41.99</v>
      </c>
      <c r="E336" s="1">
        <f>'Price List'!C336+'Cost Source'!R336</f>
        <v>23.372799999999998</v>
      </c>
      <c r="F336" s="241">
        <f t="shared" si="25"/>
        <v>23.99</v>
      </c>
      <c r="G336" s="1">
        <f>'Price List'!C336+'Cost Source'!N336</f>
        <v>18.372799999999998</v>
      </c>
      <c r="H336" s="257">
        <f t="shared" si="26"/>
        <v>18.989999999999998</v>
      </c>
      <c r="I336" s="277">
        <f>'Cost Source'!P336</f>
        <v>0</v>
      </c>
      <c r="J336" s="289">
        <v>10</v>
      </c>
    </row>
    <row r="337" spans="1:11" x14ac:dyDescent="0.25">
      <c r="A337" s="30" t="s">
        <v>173</v>
      </c>
      <c r="B337" s="30" t="s">
        <v>33</v>
      </c>
      <c r="C337" s="32">
        <f>'Price List'!C337+'Cost Source'!E337+'Cost Source'!O337</f>
        <v>36.315200000000004</v>
      </c>
      <c r="D337" s="224">
        <f t="shared" si="14"/>
        <v>36.99</v>
      </c>
      <c r="E337" s="32"/>
      <c r="F337" s="239"/>
      <c r="G337" s="32">
        <f>'Price List'!C337+'Cost Source'!N337</f>
        <v>18.315200000000001</v>
      </c>
      <c r="H337" s="262">
        <f t="shared" si="26"/>
        <v>18.989999999999998</v>
      </c>
      <c r="I337" s="272">
        <f>'Cost Source'!P337</f>
        <v>-5</v>
      </c>
      <c r="J337" s="296">
        <v>10</v>
      </c>
    </row>
    <row r="338" spans="1:11" x14ac:dyDescent="0.25">
      <c r="A338" s="26" t="s">
        <v>173</v>
      </c>
      <c r="B338" s="26" t="s">
        <v>34</v>
      </c>
      <c r="C338" s="27">
        <f>'Price List'!C338+'Cost Source'!E338+'Cost Source'!O338</f>
        <v>37.029600000000002</v>
      </c>
      <c r="D338" s="229">
        <f t="shared" si="14"/>
        <v>37.99</v>
      </c>
      <c r="E338" s="27"/>
      <c r="F338" s="244"/>
      <c r="G338" s="27">
        <f>'Price List'!C338+'Cost Source'!N338</f>
        <v>19.029600000000002</v>
      </c>
      <c r="H338" s="260">
        <f t="shared" si="26"/>
        <v>19.989999999999998</v>
      </c>
      <c r="I338" s="272">
        <f>'Cost Source'!P338</f>
        <v>-5</v>
      </c>
      <c r="J338" s="295">
        <v>10</v>
      </c>
    </row>
    <row r="339" spans="1:11" x14ac:dyDescent="0.25">
      <c r="A339" s="36" t="s">
        <v>173</v>
      </c>
      <c r="B339" s="36" t="s">
        <v>35</v>
      </c>
      <c r="C339" s="35">
        <f>'Price List'!C339+'Cost Source'!E339+'Cost Source'!O339</f>
        <v>46.505600000000001</v>
      </c>
      <c r="D339" s="225">
        <f t="shared" si="14"/>
        <v>46.99</v>
      </c>
      <c r="E339" s="35"/>
      <c r="F339" s="240"/>
      <c r="G339" s="35">
        <f>'Price List'!C339+'Cost Source'!N339</f>
        <v>24.505600000000001</v>
      </c>
      <c r="H339" s="263">
        <f t="shared" si="26"/>
        <v>24.99</v>
      </c>
      <c r="I339" s="272">
        <f>'Cost Source'!P339</f>
        <v>0</v>
      </c>
      <c r="J339" s="294">
        <v>10</v>
      </c>
    </row>
    <row r="340" spans="1:11" x14ac:dyDescent="0.25">
      <c r="A340" t="s">
        <v>173</v>
      </c>
      <c r="B340" t="s">
        <v>36</v>
      </c>
      <c r="C340" s="1">
        <f>'Price List'!C340+'Cost Source'!E340+'Cost Source'!O340</f>
        <v>29.926400000000001</v>
      </c>
      <c r="D340" s="226">
        <f t="shared" si="14"/>
        <v>29.99</v>
      </c>
      <c r="E340" s="1"/>
      <c r="F340" s="241"/>
      <c r="G340" s="1">
        <f>'Price List'!C340+'Cost Source'!N340</f>
        <v>16.926400000000001</v>
      </c>
      <c r="H340" s="257">
        <f t="shared" si="26"/>
        <v>16.989999999999998</v>
      </c>
      <c r="I340" s="277">
        <f>'Cost Source'!P340</f>
        <v>-5</v>
      </c>
      <c r="J340" s="289">
        <v>15</v>
      </c>
      <c r="K340" t="s">
        <v>1191</v>
      </c>
    </row>
    <row r="341" spans="1:11" x14ac:dyDescent="0.25">
      <c r="A341" s="30" t="s">
        <v>173</v>
      </c>
      <c r="B341" s="30" t="s">
        <v>37</v>
      </c>
      <c r="C341" s="32">
        <f>'Price List'!C341+'Cost Source'!E341+'Cost Source'!O341</f>
        <v>48.419200000000004</v>
      </c>
      <c r="D341" s="224">
        <f t="shared" si="14"/>
        <v>48.99</v>
      </c>
      <c r="E341" s="32"/>
      <c r="F341" s="239"/>
      <c r="G341" s="32">
        <f>'Price List'!C341+'Cost Source'!N341</f>
        <v>26.4192</v>
      </c>
      <c r="H341" s="262">
        <f t="shared" si="26"/>
        <v>26.99</v>
      </c>
      <c r="I341" s="277">
        <f>'Cost Source'!P341</f>
        <v>-5</v>
      </c>
      <c r="J341" s="290">
        <v>15</v>
      </c>
    </row>
    <row r="342" spans="1:11" x14ac:dyDescent="0.25">
      <c r="A342" s="26" t="s">
        <v>173</v>
      </c>
      <c r="B342" s="26" t="s">
        <v>38</v>
      </c>
      <c r="C342" s="27">
        <f>'Price List'!C342+'Cost Source'!E342+'Cost Source'!O342</f>
        <v>43.46</v>
      </c>
      <c r="D342" s="229">
        <f t="shared" si="14"/>
        <v>43.99</v>
      </c>
      <c r="E342" s="27"/>
      <c r="F342" s="244"/>
      <c r="G342" s="27">
        <f>'Price List'!C342+'Cost Source'!N342</f>
        <v>21.46</v>
      </c>
      <c r="H342" s="260">
        <f t="shared" si="26"/>
        <v>21.99</v>
      </c>
      <c r="I342" s="272">
        <f>'Cost Source'!P342</f>
        <v>-5</v>
      </c>
      <c r="J342" s="295">
        <v>10</v>
      </c>
    </row>
    <row r="343" spans="1:11" x14ac:dyDescent="0.25">
      <c r="A343" s="36" t="s">
        <v>173</v>
      </c>
      <c r="B343" s="36" t="s">
        <v>39</v>
      </c>
      <c r="C343" s="35">
        <f>'Price List'!C343+'Cost Source'!E343+'Cost Source'!O343</f>
        <v>45.956000000000003</v>
      </c>
      <c r="D343" s="225">
        <f t="shared" si="14"/>
        <v>45.99</v>
      </c>
      <c r="E343" s="35"/>
      <c r="F343" s="240"/>
      <c r="G343" s="35">
        <f>'Price List'!C343+'Cost Source'!N343</f>
        <v>23.956</v>
      </c>
      <c r="H343" s="263">
        <f t="shared" si="26"/>
        <v>23.99</v>
      </c>
      <c r="I343" s="272">
        <f>'Cost Source'!P343</f>
        <v>-5</v>
      </c>
      <c r="J343" s="294">
        <v>10</v>
      </c>
    </row>
    <row r="344" spans="1:11" x14ac:dyDescent="0.25">
      <c r="A344" t="s">
        <v>173</v>
      </c>
      <c r="B344" t="s">
        <v>40</v>
      </c>
      <c r="C344" s="1">
        <f>'Price List'!C344+'Cost Source'!E344+'Cost Source'!O344</f>
        <v>45.0456</v>
      </c>
      <c r="D344" s="226">
        <f t="shared" si="14"/>
        <v>45.99</v>
      </c>
      <c r="E344" s="1"/>
      <c r="F344" s="241"/>
      <c r="G344" s="1">
        <f>'Price List'!C344+'Cost Source'!N344</f>
        <v>30.0456</v>
      </c>
      <c r="H344" s="257">
        <f t="shared" si="26"/>
        <v>30.99</v>
      </c>
      <c r="I344" s="277">
        <f>'Cost Source'!P344</f>
        <v>-5</v>
      </c>
      <c r="J344" s="289">
        <v>15</v>
      </c>
    </row>
    <row r="345" spans="1:11" x14ac:dyDescent="0.25">
      <c r="A345" s="30" t="s">
        <v>173</v>
      </c>
      <c r="B345" s="30" t="s">
        <v>41</v>
      </c>
      <c r="C345" s="32">
        <f>'Price List'!C345+'Cost Source'!E345+'Cost Source'!O345</f>
        <v>59.844800000000006</v>
      </c>
      <c r="D345" s="224">
        <f t="shared" si="14"/>
        <v>59.99</v>
      </c>
      <c r="E345" s="32">
        <f>'Price List'!C345+'Cost Source'!R345</f>
        <v>31.844800000000003</v>
      </c>
      <c r="F345" s="239">
        <f t="shared" si="25"/>
        <v>31.99</v>
      </c>
      <c r="G345" s="32">
        <f>'Price List'!C345+'Cost Source'!N345</f>
        <v>35.844800000000006</v>
      </c>
      <c r="H345" s="262">
        <f t="shared" si="26"/>
        <v>35.99</v>
      </c>
      <c r="I345" s="277">
        <f>'Cost Source'!P345</f>
        <v>-5</v>
      </c>
      <c r="J345" s="290">
        <v>10</v>
      </c>
    </row>
    <row r="346" spans="1:11" x14ac:dyDescent="0.25">
      <c r="A346" s="26" t="s">
        <v>173</v>
      </c>
      <c r="B346" s="26" t="s">
        <v>42</v>
      </c>
      <c r="C346" s="27">
        <f>'Price List'!C346+'Cost Source'!E346+'Cost Source'!O346</f>
        <v>42.992000000000004</v>
      </c>
      <c r="D346" s="229">
        <f t="shared" si="14"/>
        <v>42.99</v>
      </c>
      <c r="E346" s="27"/>
      <c r="F346" s="244"/>
      <c r="G346" s="27">
        <f>'Price List'!C346+'Cost Source'!N346</f>
        <v>20.992000000000001</v>
      </c>
      <c r="H346" s="260">
        <f t="shared" si="26"/>
        <v>20.99</v>
      </c>
      <c r="I346" s="272">
        <f>'Cost Source'!P346</f>
        <v>-5</v>
      </c>
      <c r="J346" s="295">
        <v>10</v>
      </c>
    </row>
    <row r="347" spans="1:11" x14ac:dyDescent="0.25">
      <c r="A347" s="36" t="s">
        <v>173</v>
      </c>
      <c r="B347" s="36" t="s">
        <v>43</v>
      </c>
      <c r="C347" s="35">
        <f>'Price List'!C347+'Cost Source'!E347+'Cost Source'!O347</f>
        <v>42.392800000000001</v>
      </c>
      <c r="D347" s="225">
        <f t="shared" si="14"/>
        <v>42.99</v>
      </c>
      <c r="E347" s="35"/>
      <c r="F347" s="240"/>
      <c r="G347" s="35">
        <f>'Price List'!C347+'Cost Source'!N347</f>
        <v>25.392800000000001</v>
      </c>
      <c r="H347" s="263">
        <f t="shared" si="26"/>
        <v>25.99</v>
      </c>
      <c r="I347" s="272">
        <f>'Cost Source'!P347</f>
        <v>-5</v>
      </c>
      <c r="J347" s="294">
        <v>10</v>
      </c>
    </row>
    <row r="348" spans="1:11" x14ac:dyDescent="0.25">
      <c r="A348" t="s">
        <v>173</v>
      </c>
      <c r="B348" t="s">
        <v>44</v>
      </c>
      <c r="C348" s="1">
        <f>'Price List'!C348+'Cost Source'!E348+'Cost Source'!O348</f>
        <v>58.080799999999996</v>
      </c>
      <c r="D348" s="226">
        <f t="shared" si="14"/>
        <v>58.99</v>
      </c>
      <c r="E348" s="1"/>
      <c r="F348" s="241"/>
      <c r="G348" s="1">
        <f>'Price List'!C348+'Cost Source'!N348</f>
        <v>38.080799999999996</v>
      </c>
      <c r="H348" s="257">
        <f t="shared" si="26"/>
        <v>38.99</v>
      </c>
      <c r="I348" s="277">
        <f>'Cost Source'!P348</f>
        <v>0</v>
      </c>
      <c r="J348" s="289">
        <v>10</v>
      </c>
    </row>
    <row r="349" spans="1:11" x14ac:dyDescent="0.25">
      <c r="A349" s="140" t="s">
        <v>173</v>
      </c>
      <c r="B349" s="140" t="s">
        <v>616</v>
      </c>
      <c r="C349" s="146">
        <f>'Price List'!C349+'Cost Source'!E349+'Cost Source'!O349</f>
        <v>55.674400000000006</v>
      </c>
      <c r="D349" s="227">
        <f t="shared" si="14"/>
        <v>55.99</v>
      </c>
      <c r="E349" s="146"/>
      <c r="F349" s="242"/>
      <c r="G349" s="146">
        <f>'Price List'!C349+'Cost Source'!N349</f>
        <v>35.674400000000006</v>
      </c>
      <c r="H349" s="258">
        <f t="shared" si="26"/>
        <v>35.99</v>
      </c>
      <c r="I349" s="277">
        <f>'Cost Source'!P349</f>
        <v>0</v>
      </c>
      <c r="J349" s="290">
        <v>10</v>
      </c>
    </row>
    <row r="350" spans="1:11" x14ac:dyDescent="0.25">
      <c r="A350" s="30" t="s">
        <v>173</v>
      </c>
      <c r="B350" s="30" t="s">
        <v>45</v>
      </c>
      <c r="C350" s="32">
        <f>'Price List'!C350+'Cost Source'!E350+'Cost Source'!O350</f>
        <v>46.169600000000003</v>
      </c>
      <c r="D350" s="224">
        <f t="shared" si="14"/>
        <v>46.99</v>
      </c>
      <c r="E350" s="32"/>
      <c r="F350" s="239"/>
      <c r="G350" s="32">
        <f>'Price List'!C350+'Cost Source'!N350</f>
        <v>24.169599999999999</v>
      </c>
      <c r="H350" s="262">
        <f t="shared" si="26"/>
        <v>24.99</v>
      </c>
      <c r="I350" s="277">
        <f>'Cost Source'!P350</f>
        <v>-5</v>
      </c>
      <c r="J350" s="289">
        <v>10</v>
      </c>
    </row>
    <row r="351" spans="1:11" x14ac:dyDescent="0.25">
      <c r="A351" s="26" t="s">
        <v>173</v>
      </c>
      <c r="B351" s="26" t="s">
        <v>46</v>
      </c>
      <c r="C351" s="27">
        <f>'Price List'!C351+'Cost Source'!E351+'Cost Source'!O351</f>
        <v>48.144000000000005</v>
      </c>
      <c r="D351" s="229">
        <f t="shared" si="14"/>
        <v>48.99</v>
      </c>
      <c r="E351" s="27">
        <f>'Price List'!C351+'Cost Source'!R351</f>
        <v>11.144000000000002</v>
      </c>
      <c r="F351" s="244">
        <f t="shared" si="25"/>
        <v>11.99</v>
      </c>
      <c r="G351" s="27">
        <f>'Price List'!C351+'Cost Source'!N351</f>
        <v>27.144000000000002</v>
      </c>
      <c r="H351" s="260">
        <f t="shared" si="26"/>
        <v>27.99</v>
      </c>
      <c r="I351" s="272">
        <f>'Cost Source'!P351</f>
        <v>-5</v>
      </c>
      <c r="J351" s="294">
        <v>10</v>
      </c>
    </row>
    <row r="352" spans="1:11" x14ac:dyDescent="0.25">
      <c r="A352" s="36" t="s">
        <v>173</v>
      </c>
      <c r="B352" s="36" t="s">
        <v>47</v>
      </c>
      <c r="C352" s="35">
        <f>'Price List'!C352+'Cost Source'!E352+'Cost Source'!O352</f>
        <v>46.944800000000001</v>
      </c>
      <c r="D352" s="225">
        <f t="shared" si="14"/>
        <v>46.99</v>
      </c>
      <c r="E352" s="35"/>
      <c r="F352" s="240"/>
      <c r="G352" s="35">
        <f>'Price List'!C352+'Cost Source'!N352</f>
        <v>24.944800000000001</v>
      </c>
      <c r="H352" s="263">
        <f t="shared" si="26"/>
        <v>24.99</v>
      </c>
      <c r="I352" s="272">
        <f>'Cost Source'!P352</f>
        <v>-5</v>
      </c>
      <c r="J352" s="295">
        <v>10</v>
      </c>
    </row>
    <row r="353" spans="1:10" x14ac:dyDescent="0.25">
      <c r="A353" t="s">
        <v>173</v>
      </c>
      <c r="B353" t="s">
        <v>48</v>
      </c>
      <c r="C353" s="1">
        <f>'Price List'!C353+'Cost Source'!E353+'Cost Source'!O353</f>
        <v>60.568800000000003</v>
      </c>
      <c r="D353" s="226">
        <f t="shared" si="14"/>
        <v>60.99</v>
      </c>
      <c r="E353" s="1">
        <f>'Price List'!C353+'Cost Source'!R353</f>
        <v>18.568800000000003</v>
      </c>
      <c r="F353" s="241">
        <f t="shared" si="25"/>
        <v>18.989999999999998</v>
      </c>
      <c r="G353" s="1">
        <f>'Price List'!C353+'Cost Source'!N353</f>
        <v>70.56880000000001</v>
      </c>
      <c r="H353" s="257">
        <f t="shared" si="26"/>
        <v>70.989999999999995</v>
      </c>
      <c r="I353" s="277">
        <f>'Cost Source'!P353</f>
        <v>-15</v>
      </c>
      <c r="J353" s="296">
        <v>15</v>
      </c>
    </row>
    <row r="354" spans="1:10" x14ac:dyDescent="0.25">
      <c r="A354" s="30" t="s">
        <v>173</v>
      </c>
      <c r="B354" s="156" t="s">
        <v>49</v>
      </c>
      <c r="C354" s="149">
        <f>'Price List'!C354+'Cost Source'!E354+'Cost Source'!O354</f>
        <v>69.815200000000004</v>
      </c>
      <c r="D354" s="234">
        <f t="shared" si="14"/>
        <v>69.989999999999995</v>
      </c>
      <c r="E354" s="149"/>
      <c r="F354" s="283"/>
      <c r="G354" s="149">
        <f>'Price List'!C354+'Cost Source'!N354</f>
        <v>58.815200000000004</v>
      </c>
      <c r="H354" s="261">
        <f t="shared" si="26"/>
        <v>58.99</v>
      </c>
      <c r="I354" s="278">
        <f>'Cost Source'!P354</f>
        <v>-10</v>
      </c>
      <c r="J354" s="293">
        <v>15</v>
      </c>
    </row>
    <row r="355" spans="1:10" x14ac:dyDescent="0.25">
      <c r="A355" s="156" t="s">
        <v>173</v>
      </c>
      <c r="B355" s="140" t="s">
        <v>672</v>
      </c>
      <c r="C355" s="146">
        <f>'Price List'!C355+'Cost Source'!E356+'Cost Source'!O356</f>
        <v>53.8568</v>
      </c>
      <c r="D355" s="234">
        <f t="shared" si="14"/>
        <v>53.99</v>
      </c>
      <c r="E355" s="146"/>
      <c r="F355" s="242"/>
      <c r="G355" s="146">
        <f>'Price List'!C355+'Cost Source'!N355</f>
        <v>34.8568</v>
      </c>
      <c r="H355" s="261">
        <f t="shared" si="26"/>
        <v>34.99</v>
      </c>
      <c r="I355" s="279">
        <v>-5</v>
      </c>
      <c r="J355" s="296">
        <v>15</v>
      </c>
    </row>
    <row r="356" spans="1:10" x14ac:dyDescent="0.25">
      <c r="A356" s="158" t="s">
        <v>173</v>
      </c>
      <c r="B356" s="26" t="s">
        <v>617</v>
      </c>
      <c r="C356" s="27">
        <f>'Price List'!C356+'Cost Source'!E356+'Cost Source'!O356</f>
        <v>44.192</v>
      </c>
      <c r="D356" s="230">
        <f t="shared" si="14"/>
        <v>44.99</v>
      </c>
      <c r="E356" s="27"/>
      <c r="F356" s="244"/>
      <c r="G356" s="27">
        <f>'Price List'!C356+'Cost Source'!N356</f>
        <v>22.192</v>
      </c>
      <c r="H356" s="259">
        <f t="shared" si="26"/>
        <v>22.99</v>
      </c>
      <c r="I356" s="276">
        <f>'Cost Source'!P356</f>
        <v>0</v>
      </c>
      <c r="J356" s="346">
        <v>15</v>
      </c>
    </row>
    <row r="357" spans="1:10" x14ac:dyDescent="0.25">
      <c r="A357" s="158" t="s">
        <v>173</v>
      </c>
      <c r="B357" s="158" t="s">
        <v>50</v>
      </c>
      <c r="C357" s="198">
        <f>'Price List'!C357+'Cost Source'!E357+'Cost Source'!O357</f>
        <v>83.956000000000003</v>
      </c>
      <c r="D357" s="238">
        <f t="shared" si="14"/>
        <v>83.99</v>
      </c>
      <c r="E357" s="198">
        <f>'Price List'!C357+'Cost Source'!R357</f>
        <v>12.956000000000003</v>
      </c>
      <c r="F357" s="254">
        <f t="shared" si="25"/>
        <v>12.99</v>
      </c>
      <c r="G357" s="198">
        <f>'Price List'!C357+'Cost Source'!N357</f>
        <v>67.956000000000003</v>
      </c>
      <c r="H357" s="269">
        <f t="shared" si="26"/>
        <v>67.989999999999995</v>
      </c>
      <c r="I357" s="280">
        <f>'Cost Source'!P357</f>
        <v>-10</v>
      </c>
      <c r="J357" s="295">
        <v>15</v>
      </c>
    </row>
    <row r="358" spans="1:10" x14ac:dyDescent="0.25">
      <c r="A358" s="147" t="s">
        <v>173</v>
      </c>
      <c r="B358" s="147" t="s">
        <v>1129</v>
      </c>
      <c r="C358" s="144">
        <f>'Price List'!C358+'Cost Source'!E358+'Cost Source'!O358</f>
        <v>60.443200000000004</v>
      </c>
      <c r="D358" s="230">
        <f t="shared" si="14"/>
        <v>60.99</v>
      </c>
      <c r="E358" s="144"/>
      <c r="F358" s="245"/>
      <c r="G358" s="144">
        <f>'Price List'!C358+'Cost Source'!N358</f>
        <v>36.443200000000004</v>
      </c>
      <c r="H358" s="269">
        <f t="shared" si="26"/>
        <v>36.99</v>
      </c>
      <c r="I358" s="275">
        <v>-10</v>
      </c>
      <c r="J358" s="294">
        <v>20</v>
      </c>
    </row>
    <row r="359" spans="1:10" x14ac:dyDescent="0.25">
      <c r="A359" s="26" t="s">
        <v>173</v>
      </c>
      <c r="B359" s="26" t="s">
        <v>531</v>
      </c>
      <c r="C359" s="27">
        <f>'Price List'!C359+'Cost Source'!E359+'Cost Source'!O359</f>
        <v>95.527200000000008</v>
      </c>
      <c r="D359" s="229">
        <f t="shared" si="14"/>
        <v>95.99</v>
      </c>
      <c r="E359" s="27">
        <f>'Price List'!C359+'Cost Source'!R359</f>
        <v>23.527200000000008</v>
      </c>
      <c r="F359" s="244">
        <f t="shared" si="25"/>
        <v>23.99</v>
      </c>
      <c r="G359" s="27">
        <f>'Price List'!C359+'Cost Source'!N359</f>
        <v>83.527200000000008</v>
      </c>
      <c r="H359" s="259">
        <f t="shared" si="26"/>
        <v>83.99</v>
      </c>
      <c r="I359" s="276">
        <f>'Cost Source'!P359</f>
        <v>-15</v>
      </c>
      <c r="J359" s="346">
        <v>15</v>
      </c>
    </row>
    <row r="360" spans="1:10" x14ac:dyDescent="0.25">
      <c r="A360" s="140" t="s">
        <v>173</v>
      </c>
      <c r="B360" s="140" t="s">
        <v>1021</v>
      </c>
      <c r="C360" s="146">
        <f>'Price List'!C360+'Cost Source'!E360+'Cost Source'!O360</f>
        <v>65.194400000000002</v>
      </c>
      <c r="D360" s="227">
        <f t="shared" si="14"/>
        <v>65.989999999999995</v>
      </c>
      <c r="E360" s="146">
        <f>'Price List'!C360+'Cost Source'!R360</f>
        <v>50.194400000000002</v>
      </c>
      <c r="F360" s="242">
        <f t="shared" si="25"/>
        <v>50.99</v>
      </c>
      <c r="G360" s="146">
        <f>'Price List'!C360+'Cost Source'!N360</f>
        <v>45.194400000000002</v>
      </c>
      <c r="H360" s="261">
        <f t="shared" si="26"/>
        <v>45.99</v>
      </c>
      <c r="I360" s="277">
        <f>'Cost Source'!P360</f>
        <v>-5</v>
      </c>
      <c r="J360" s="289">
        <v>10</v>
      </c>
    </row>
    <row r="361" spans="1:10" x14ac:dyDescent="0.25">
      <c r="A361" t="s">
        <v>173</v>
      </c>
      <c r="B361" t="s">
        <v>1022</v>
      </c>
      <c r="C361" s="1">
        <f>'Price List'!C361+'Cost Source'!E361+'Cost Source'!O361</f>
        <v>52.620800000000003</v>
      </c>
      <c r="D361" s="226">
        <f t="shared" ref="D361:D362" si="27">ROUNDUP(C361,0)-0.01</f>
        <v>52.99</v>
      </c>
      <c r="E361" s="1">
        <f>'Price List'!C361+'Cost Source'!R361</f>
        <v>37.620800000000003</v>
      </c>
      <c r="F361" s="241">
        <f t="shared" si="25"/>
        <v>37.99</v>
      </c>
      <c r="G361" s="1">
        <f>'Price List'!C361+'Cost Source'!N361</f>
        <v>31.620799999999999</v>
      </c>
      <c r="H361" s="261">
        <f t="shared" si="26"/>
        <v>31.99</v>
      </c>
      <c r="I361" s="278">
        <f>'Cost Source'!P361</f>
        <v>-5</v>
      </c>
      <c r="J361" s="291">
        <v>10</v>
      </c>
    </row>
    <row r="362" spans="1:10" x14ac:dyDescent="0.25">
      <c r="A362" s="147" t="s">
        <v>173</v>
      </c>
      <c r="B362" s="147" t="s">
        <v>1244</v>
      </c>
      <c r="C362" s="146">
        <f>'Price List'!C362+'Cost Source'!E362+'Cost Source'!O362</f>
        <v>82.1</v>
      </c>
      <c r="D362" s="227">
        <f t="shared" si="27"/>
        <v>82.99</v>
      </c>
      <c r="E362" s="146">
        <f>'Price List'!C362+'Cost Source'!R362</f>
        <v>67.099999999999994</v>
      </c>
      <c r="F362" s="242">
        <f t="shared" si="25"/>
        <v>67.989999999999995</v>
      </c>
      <c r="G362" s="146">
        <f>'Price List'!C362+'Cost Source'!N362</f>
        <v>68.099999999999994</v>
      </c>
      <c r="H362" s="261">
        <f t="shared" si="26"/>
        <v>68.989999999999995</v>
      </c>
      <c r="I362" s="279">
        <v>-10</v>
      </c>
      <c r="J362" s="290">
        <v>15</v>
      </c>
    </row>
    <row r="363" spans="1:10" x14ac:dyDescent="0.25">
      <c r="A363" s="159" t="s">
        <v>173</v>
      </c>
      <c r="B363" s="159" t="s">
        <v>532</v>
      </c>
      <c r="C363" s="150">
        <f>'Price List'!C363+'Cost Source'!E363+'Cost Source'!O363</f>
        <v>78.076799999999992</v>
      </c>
      <c r="D363" s="228">
        <f t="shared" ref="D363:D365" si="28">ROUNDUP(C363,0)-0.01</f>
        <v>78.989999999999995</v>
      </c>
      <c r="E363" s="150">
        <f>'Price List'!C363+'Cost Source'!R363</f>
        <v>68.076799999999992</v>
      </c>
      <c r="F363" s="243">
        <f t="shared" si="25"/>
        <v>68.989999999999995</v>
      </c>
      <c r="G363" s="150">
        <f>'Price List'!C363+'Cost Source'!N363</f>
        <v>62.076799999999999</v>
      </c>
      <c r="H363" s="258">
        <f t="shared" si="26"/>
        <v>62.99</v>
      </c>
      <c r="I363" s="282">
        <f>'Cost Source'!P363</f>
        <v>0</v>
      </c>
      <c r="J363" s="289">
        <v>10</v>
      </c>
    </row>
    <row r="364" spans="1:10" x14ac:dyDescent="0.25">
      <c r="A364" s="147" t="s">
        <v>173</v>
      </c>
      <c r="B364" s="147" t="s">
        <v>533</v>
      </c>
      <c r="C364" s="144">
        <f>'Price List'!C364+'Cost Source'!E364+'Cost Source'!O364</f>
        <v>64.092799999999997</v>
      </c>
      <c r="D364" s="230">
        <f t="shared" si="28"/>
        <v>64.989999999999995</v>
      </c>
      <c r="E364" s="144">
        <f>'Price List'!C364+'Cost Source'!R364</f>
        <v>54.092799999999997</v>
      </c>
      <c r="F364" s="245">
        <f t="shared" si="25"/>
        <v>54.99</v>
      </c>
      <c r="G364" s="144">
        <f>'Price List'!C364+'Cost Source'!N364</f>
        <v>46.092799999999997</v>
      </c>
      <c r="H364" s="259">
        <f t="shared" si="26"/>
        <v>46.99</v>
      </c>
      <c r="I364" s="277">
        <f>'Cost Source'!P364</f>
        <v>0</v>
      </c>
      <c r="J364" s="290">
        <v>10</v>
      </c>
    </row>
    <row r="365" spans="1:10" x14ac:dyDescent="0.25">
      <c r="A365" s="26" t="s">
        <v>173</v>
      </c>
      <c r="B365" s="26" t="s">
        <v>915</v>
      </c>
      <c r="C365" s="27">
        <f>'Price List'!C365+'Cost Source'!E365+'Cost Source'!O365</f>
        <v>112.71600000000001</v>
      </c>
      <c r="D365" s="229">
        <f t="shared" si="28"/>
        <v>112.99</v>
      </c>
      <c r="E365" s="27"/>
      <c r="F365" s="244"/>
      <c r="G365" s="27">
        <f>'Price List'!C365+'Cost Source'!N365</f>
        <v>105.71600000000001</v>
      </c>
      <c r="H365" s="260">
        <f t="shared" si="26"/>
        <v>105.99</v>
      </c>
      <c r="I365" s="272">
        <f>'Cost Source'!P365</f>
        <v>-15</v>
      </c>
      <c r="J365" s="289">
        <v>15</v>
      </c>
    </row>
    <row r="366" spans="1:10" x14ac:dyDescent="0.25">
      <c r="A366" s="36" t="s">
        <v>173</v>
      </c>
      <c r="B366" s="36" t="s">
        <v>51</v>
      </c>
      <c r="C366" s="35">
        <f>'Price List'!C366+'Cost Source'!E366+'Cost Source'!O366</f>
        <v>108.37040000000002</v>
      </c>
      <c r="D366" s="225">
        <f t="shared" ref="D366:D454" si="29">ROUNDUP(C366,0)-0.01</f>
        <v>108.99</v>
      </c>
      <c r="E366" s="35"/>
      <c r="F366" s="240"/>
      <c r="G366" s="35">
        <f>'Price List'!C366+'Cost Source'!N366</f>
        <v>101.37040000000002</v>
      </c>
      <c r="H366" s="263">
        <f t="shared" si="26"/>
        <v>101.99</v>
      </c>
      <c r="I366" s="272">
        <f>'Cost Source'!P366</f>
        <v>-15</v>
      </c>
      <c r="J366" s="290">
        <v>25</v>
      </c>
    </row>
    <row r="367" spans="1:10" x14ac:dyDescent="0.25">
      <c r="A367" t="s">
        <v>173</v>
      </c>
      <c r="B367" t="s">
        <v>52</v>
      </c>
      <c r="C367" s="1">
        <f>'Price List'!C367+'Cost Source'!E367+'Cost Source'!O367</f>
        <v>147.78319999999999</v>
      </c>
      <c r="D367" s="226">
        <f t="shared" si="29"/>
        <v>147.99</v>
      </c>
      <c r="E367" s="1"/>
      <c r="F367" s="241"/>
      <c r="G367" s="1">
        <f>'Price List'!C367+'Cost Source'!N367</f>
        <v>138.78319999999999</v>
      </c>
      <c r="H367" s="257">
        <f t="shared" si="26"/>
        <v>138.99</v>
      </c>
      <c r="I367" s="277">
        <f>'Cost Source'!P367</f>
        <v>0</v>
      </c>
      <c r="J367" s="289">
        <v>20</v>
      </c>
    </row>
    <row r="368" spans="1:10" x14ac:dyDescent="0.25">
      <c r="A368" s="30" t="s">
        <v>173</v>
      </c>
      <c r="B368" s="30" t="s">
        <v>53</v>
      </c>
      <c r="C368" s="32">
        <f>'Price List'!C368+'Cost Source'!E368+'Cost Source'!O368</f>
        <v>136.91759999999999</v>
      </c>
      <c r="D368" s="224">
        <f t="shared" si="29"/>
        <v>136.99</v>
      </c>
      <c r="E368" s="32">
        <f>'Price List'!C368+'Cost Source'!R368</f>
        <v>116.91760000000001</v>
      </c>
      <c r="F368" s="239">
        <f t="shared" si="25"/>
        <v>116.99</v>
      </c>
      <c r="G368" s="32">
        <f>'Price List'!C368+'Cost Source'!N368</f>
        <v>125.91760000000001</v>
      </c>
      <c r="H368" s="262">
        <f t="shared" si="26"/>
        <v>125.99</v>
      </c>
      <c r="I368" s="277">
        <f>'Cost Source'!P368</f>
        <v>0</v>
      </c>
      <c r="J368" s="290">
        <v>20</v>
      </c>
    </row>
    <row r="369" spans="1:10" x14ac:dyDescent="0.25">
      <c r="A369" s="26" t="s">
        <v>173</v>
      </c>
      <c r="B369" s="26" t="s">
        <v>54</v>
      </c>
      <c r="C369" s="27">
        <f>'Price List'!C369+'Cost Source'!E369+'Cost Source'!O369</f>
        <v>119.788</v>
      </c>
      <c r="D369" s="229">
        <f t="shared" si="29"/>
        <v>119.99</v>
      </c>
      <c r="E369" s="27"/>
      <c r="F369" s="244"/>
      <c r="G369" s="27">
        <f>'Price List'!C369+'Cost Source'!N369</f>
        <v>106.788</v>
      </c>
      <c r="H369" s="260">
        <f t="shared" si="26"/>
        <v>106.99</v>
      </c>
      <c r="I369" s="272">
        <f>'Cost Source'!P369</f>
        <v>-20</v>
      </c>
      <c r="J369" s="289">
        <v>25</v>
      </c>
    </row>
    <row r="370" spans="1:10" x14ac:dyDescent="0.25">
      <c r="A370" s="36" t="s">
        <v>173</v>
      </c>
      <c r="B370" s="36" t="s">
        <v>55</v>
      </c>
      <c r="C370" s="35">
        <f>'Price List'!C370+'Cost Source'!F370+'Cost Source'!O370</f>
        <v>41.632800000000003</v>
      </c>
      <c r="D370" s="225">
        <f t="shared" si="29"/>
        <v>41.99</v>
      </c>
      <c r="E370" s="35">
        <f>'Price List'!C370+'Cost Source'!S370</f>
        <v>21.632800000000003</v>
      </c>
      <c r="F370" s="240">
        <f t="shared" ref="F370:F443" si="30">ROUNDUP(E370,0)-0.01</f>
        <v>21.99</v>
      </c>
      <c r="G370" s="35">
        <f>'Price List'!C370+'Cost Source'!N370</f>
        <v>23.632800000000003</v>
      </c>
      <c r="H370" s="263">
        <f t="shared" si="26"/>
        <v>23.99</v>
      </c>
      <c r="I370" s="272">
        <f>'Cost Source'!P370</f>
        <v>-5</v>
      </c>
      <c r="J370" s="290">
        <v>10</v>
      </c>
    </row>
    <row r="371" spans="1:10" x14ac:dyDescent="0.25">
      <c r="A371" t="s">
        <v>173</v>
      </c>
      <c r="B371" t="s">
        <v>56</v>
      </c>
      <c r="C371" s="1">
        <f>'Price List'!C371+'Cost Source'!F371+'Cost Source'!O371</f>
        <v>42.198399999999999</v>
      </c>
      <c r="D371" s="226">
        <f t="shared" si="29"/>
        <v>42.99</v>
      </c>
      <c r="E371" s="35">
        <f>'Price List'!C371+'Cost Source'!S371</f>
        <v>22.198399999999999</v>
      </c>
      <c r="F371" s="240">
        <f t="shared" si="30"/>
        <v>22.99</v>
      </c>
      <c r="G371" s="1">
        <f>'Price List'!C371+'Cost Source'!N371</f>
        <v>24.198399999999999</v>
      </c>
      <c r="H371" s="257">
        <f t="shared" si="26"/>
        <v>24.99</v>
      </c>
      <c r="I371" s="277">
        <f>'Cost Source'!P371</f>
        <v>0</v>
      </c>
      <c r="J371" s="289">
        <v>10</v>
      </c>
    </row>
    <row r="372" spans="1:10" x14ac:dyDescent="0.25">
      <c r="A372" s="140" t="s">
        <v>173</v>
      </c>
      <c r="B372" s="140" t="s">
        <v>618</v>
      </c>
      <c r="C372" s="146">
        <f>'Price List'!C372+'Cost Source'!F372+'Cost Source'!O372</f>
        <v>56.936799999999998</v>
      </c>
      <c r="D372" s="227">
        <f t="shared" si="29"/>
        <v>56.99</v>
      </c>
      <c r="E372" s="146">
        <f>'Price List'!C372+'Cost Source'!S372</f>
        <v>41.936799999999998</v>
      </c>
      <c r="F372" s="240">
        <f t="shared" si="30"/>
        <v>41.99</v>
      </c>
      <c r="G372" s="146">
        <f>'Price List'!C372+'Cost Source'!N372</f>
        <v>39.936799999999998</v>
      </c>
      <c r="H372" s="258">
        <f t="shared" si="26"/>
        <v>39.99</v>
      </c>
      <c r="I372" s="277">
        <f>'Cost Source'!P372</f>
        <v>0</v>
      </c>
      <c r="J372" s="290">
        <v>10</v>
      </c>
    </row>
    <row r="373" spans="1:10" x14ac:dyDescent="0.25">
      <c r="A373" s="30" t="s">
        <v>173</v>
      </c>
      <c r="B373" s="30" t="s">
        <v>534</v>
      </c>
      <c r="C373" s="32">
        <f>'Price List'!C373+'Cost Source'!F373+'Cost Source'!O373</f>
        <v>64.173599999999993</v>
      </c>
      <c r="D373" s="224">
        <f t="shared" si="29"/>
        <v>64.989999999999995</v>
      </c>
      <c r="E373" s="32">
        <f>'Price List'!C373+'Cost Source'!S373</f>
        <v>27.1736</v>
      </c>
      <c r="F373" s="239">
        <f t="shared" si="30"/>
        <v>27.99</v>
      </c>
      <c r="G373" s="32">
        <f>'Price List'!C373+'Cost Source'!N373</f>
        <v>50.1736</v>
      </c>
      <c r="H373" s="262">
        <f t="shared" si="26"/>
        <v>50.99</v>
      </c>
      <c r="I373" s="272">
        <f>'Cost Source'!P373</f>
        <v>-10</v>
      </c>
      <c r="J373" s="289">
        <v>10</v>
      </c>
    </row>
    <row r="374" spans="1:10" x14ac:dyDescent="0.25">
      <c r="A374" s="26" t="s">
        <v>173</v>
      </c>
      <c r="B374" s="26" t="s">
        <v>57</v>
      </c>
      <c r="C374" s="27">
        <f>'Price List'!C374+'Cost Source'!F374+'Cost Source'!O374</f>
        <v>43.723199999999999</v>
      </c>
      <c r="D374" s="229">
        <f t="shared" si="29"/>
        <v>43.99</v>
      </c>
      <c r="E374" s="27">
        <f>'Price List'!C374+'Cost Source'!S374</f>
        <v>28.723199999999999</v>
      </c>
      <c r="F374" s="244">
        <f t="shared" si="30"/>
        <v>28.99</v>
      </c>
      <c r="G374" s="27">
        <f>'Price List'!C374+'Cost Source'!N374</f>
        <v>24.723199999999999</v>
      </c>
      <c r="H374" s="260">
        <f t="shared" ref="H374:H446" si="31">ROUNDUP(G374,0)-0.01</f>
        <v>24.99</v>
      </c>
      <c r="I374" s="277">
        <f>'Cost Source'!P374</f>
        <v>0</v>
      </c>
      <c r="J374" s="290">
        <v>10</v>
      </c>
    </row>
    <row r="375" spans="1:10" x14ac:dyDescent="0.25">
      <c r="A375" s="36" t="s">
        <v>173</v>
      </c>
      <c r="B375" s="36" t="s">
        <v>58</v>
      </c>
      <c r="C375" s="35">
        <f>'Price List'!C375+'Cost Source'!F375+'Cost Source'!O375</f>
        <v>53.068800000000003</v>
      </c>
      <c r="D375" s="225">
        <f t="shared" si="29"/>
        <v>53.99</v>
      </c>
      <c r="E375" s="35">
        <f>'Price List'!C375+'Cost Source'!S375</f>
        <v>38.068800000000003</v>
      </c>
      <c r="F375" s="245">
        <f t="shared" si="30"/>
        <v>38.99</v>
      </c>
      <c r="G375" s="35">
        <f>'Price List'!C375+'Cost Source'!N375</f>
        <v>33.068800000000003</v>
      </c>
      <c r="H375" s="263">
        <f t="shared" si="31"/>
        <v>33.99</v>
      </c>
      <c r="I375" s="277">
        <f>'Cost Source'!P375</f>
        <v>0</v>
      </c>
      <c r="J375" s="289">
        <v>10</v>
      </c>
    </row>
    <row r="376" spans="1:10" x14ac:dyDescent="0.25">
      <c r="A376" t="s">
        <v>173</v>
      </c>
      <c r="B376" t="s">
        <v>59</v>
      </c>
      <c r="C376" s="1">
        <f>'Price List'!C376+'Cost Source'!F376+'Cost Source'!O376</f>
        <v>54.277600000000007</v>
      </c>
      <c r="D376" s="226">
        <f t="shared" si="29"/>
        <v>54.99</v>
      </c>
      <c r="E376" s="1">
        <f>'Price List'!C376+'Cost Source'!S376</f>
        <v>39.277600000000007</v>
      </c>
      <c r="F376" s="241">
        <f t="shared" si="30"/>
        <v>39.99</v>
      </c>
      <c r="G376" s="1">
        <f>'Price List'!C376+'Cost Source'!N376</f>
        <v>37.277600000000007</v>
      </c>
      <c r="H376" s="257">
        <f t="shared" si="31"/>
        <v>37.99</v>
      </c>
      <c r="I376" s="277">
        <f>'Cost Source'!P376</f>
        <v>0</v>
      </c>
      <c r="J376" s="290">
        <v>10</v>
      </c>
    </row>
    <row r="377" spans="1:10" x14ac:dyDescent="0.25">
      <c r="A377" s="30" t="s">
        <v>173</v>
      </c>
      <c r="B377" s="30" t="s">
        <v>60</v>
      </c>
      <c r="C377" s="32">
        <f>'Price List'!C377+'Cost Source'!F377+'Cost Source'!O377</f>
        <v>30.16</v>
      </c>
      <c r="D377" s="224">
        <f t="shared" si="29"/>
        <v>30.99</v>
      </c>
      <c r="E377" s="32"/>
      <c r="F377" s="239"/>
      <c r="G377" s="32">
        <f>'Price List'!C377+'Cost Source'!N377</f>
        <v>18.16</v>
      </c>
      <c r="H377" s="262">
        <f t="shared" si="31"/>
        <v>18.989999999999998</v>
      </c>
      <c r="I377" s="272">
        <f>'Cost Source'!P377</f>
        <v>-5</v>
      </c>
      <c r="J377" s="289">
        <v>15</v>
      </c>
    </row>
    <row r="378" spans="1:10" x14ac:dyDescent="0.25">
      <c r="A378" s="26" t="s">
        <v>173</v>
      </c>
      <c r="B378" s="26" t="s">
        <v>61</v>
      </c>
      <c r="C378" s="27">
        <f>'Price List'!C378+'Cost Source'!F378+'Cost Source'!O378</f>
        <v>64.915999999999997</v>
      </c>
      <c r="D378" s="229">
        <f t="shared" si="29"/>
        <v>64.989999999999995</v>
      </c>
      <c r="E378" s="27">
        <f>'Price List'!C378+'Cost Source'!S378</f>
        <v>27.916000000000004</v>
      </c>
      <c r="F378" s="244">
        <f t="shared" si="30"/>
        <v>27.99</v>
      </c>
      <c r="G378" s="27">
        <f>'Price List'!C378+'Cost Source'!N378</f>
        <v>48.916000000000004</v>
      </c>
      <c r="H378" s="260">
        <f t="shared" si="31"/>
        <v>48.99</v>
      </c>
      <c r="I378" s="272">
        <f>'Cost Source'!P378</f>
        <v>-10</v>
      </c>
      <c r="J378" s="290">
        <v>15</v>
      </c>
    </row>
    <row r="379" spans="1:10" x14ac:dyDescent="0.25">
      <c r="A379" s="158" t="s">
        <v>173</v>
      </c>
      <c r="B379" s="158" t="s">
        <v>62</v>
      </c>
      <c r="C379" s="198">
        <f>'Price List'!C379+'Cost Source'!F379+'Cost Source'!O379</f>
        <v>59.86</v>
      </c>
      <c r="D379" s="238">
        <f t="shared" si="29"/>
        <v>59.99</v>
      </c>
      <c r="E379" s="198">
        <f>'Price List'!C379+'Cost Source'!S379</f>
        <v>49.86</v>
      </c>
      <c r="F379" s="254">
        <f t="shared" si="30"/>
        <v>49.99</v>
      </c>
      <c r="G379" s="198">
        <f>'Price List'!C379+'Cost Source'!N379</f>
        <v>40.86</v>
      </c>
      <c r="H379" s="269">
        <f t="shared" si="31"/>
        <v>40.99</v>
      </c>
      <c r="I379" s="278">
        <f>'Cost Source'!P379</f>
        <v>0</v>
      </c>
      <c r="J379" s="289">
        <v>10</v>
      </c>
    </row>
    <row r="380" spans="1:10" x14ac:dyDescent="0.25">
      <c r="A380" s="147" t="s">
        <v>173</v>
      </c>
      <c r="B380" s="147" t="s">
        <v>1131</v>
      </c>
      <c r="C380" s="144">
        <f>'Price List'!C380+'Cost Source'!F380+'Cost Source'!O380</f>
        <v>88.3416</v>
      </c>
      <c r="D380" s="230">
        <f t="shared" si="29"/>
        <v>88.99</v>
      </c>
      <c r="E380" s="144">
        <f>'Price List'!C380+'Cost Source'!S380</f>
        <v>73.3416</v>
      </c>
      <c r="F380" s="245">
        <f t="shared" si="30"/>
        <v>73.989999999999995</v>
      </c>
      <c r="G380" s="144">
        <f>'Price List'!C380+'Cost Source'!N380</f>
        <v>69.3416</v>
      </c>
      <c r="H380" s="269">
        <f t="shared" si="31"/>
        <v>69.989999999999995</v>
      </c>
      <c r="I380" s="279"/>
      <c r="J380" s="290">
        <v>20</v>
      </c>
    </row>
    <row r="381" spans="1:10" x14ac:dyDescent="0.25">
      <c r="A381" t="s">
        <v>173</v>
      </c>
      <c r="B381" t="s">
        <v>63</v>
      </c>
      <c r="C381" s="1">
        <f>'Price List'!C381+'Cost Source'!F381+'Cost Source'!O381</f>
        <v>43.495199999999997</v>
      </c>
      <c r="D381" s="226">
        <f t="shared" si="29"/>
        <v>43.99</v>
      </c>
      <c r="E381" s="1">
        <f>'Price List'!C381+'Cost Source'!S381</f>
        <v>33.495199999999997</v>
      </c>
      <c r="F381" s="246">
        <f t="shared" si="30"/>
        <v>33.99</v>
      </c>
      <c r="G381" s="1">
        <f>'Price List'!C381+'Cost Source'!N381</f>
        <v>21.495200000000001</v>
      </c>
      <c r="H381" s="258">
        <f t="shared" si="31"/>
        <v>21.99</v>
      </c>
      <c r="I381" s="282">
        <f>'Cost Source'!P381</f>
        <v>0</v>
      </c>
      <c r="J381" s="292">
        <v>15</v>
      </c>
    </row>
    <row r="382" spans="1:10" x14ac:dyDescent="0.25">
      <c r="A382" s="30" t="s">
        <v>173</v>
      </c>
      <c r="B382" s="30" t="s">
        <v>64</v>
      </c>
      <c r="C382" s="32">
        <f>'Price List'!C382+'Cost Source'!F382+'Cost Source'!O382</f>
        <v>38.6464</v>
      </c>
      <c r="D382" s="224">
        <f t="shared" si="29"/>
        <v>38.99</v>
      </c>
      <c r="E382" s="32">
        <f>'Price List'!C382+'Cost Source'!S382</f>
        <v>18.6464</v>
      </c>
      <c r="F382" s="239">
        <f t="shared" si="30"/>
        <v>18.989999999999998</v>
      </c>
      <c r="G382" s="32">
        <f>'Price List'!C382+'Cost Source'!N382</f>
        <v>20.6464</v>
      </c>
      <c r="H382" s="262">
        <f t="shared" si="31"/>
        <v>20.99</v>
      </c>
      <c r="I382" s="277">
        <f>'Cost Source'!P382</f>
        <v>0</v>
      </c>
      <c r="J382" s="289">
        <v>10</v>
      </c>
    </row>
    <row r="383" spans="1:10" x14ac:dyDescent="0.25">
      <c r="A383" s="140" t="s">
        <v>173</v>
      </c>
      <c r="B383" s="140" t="s">
        <v>1217</v>
      </c>
      <c r="C383" s="32">
        <f>'Price List'!C383+'Cost Source'!F383+'Cost Source'!O383</f>
        <v>51.593600000000002</v>
      </c>
      <c r="D383" s="224">
        <f t="shared" si="29"/>
        <v>51.99</v>
      </c>
      <c r="E383" s="32">
        <f>'Price List'!C383+'Cost Source'!S383</f>
        <v>36.593600000000002</v>
      </c>
      <c r="F383" s="239">
        <f t="shared" si="30"/>
        <v>36.99</v>
      </c>
      <c r="G383" s="32">
        <f>'Price List'!C383+'Cost Source'!N383</f>
        <v>30.593600000000002</v>
      </c>
      <c r="H383" s="258"/>
      <c r="I383" s="279"/>
      <c r="J383" s="290">
        <v>15</v>
      </c>
    </row>
    <row r="384" spans="1:10" x14ac:dyDescent="0.25">
      <c r="A384" s="36" t="s">
        <v>173</v>
      </c>
      <c r="B384" s="36" t="s">
        <v>65</v>
      </c>
      <c r="C384" s="35">
        <f>'Price List'!C384+'Cost Source'!F384+'Cost Source'!O384</f>
        <v>38.036799999999999</v>
      </c>
      <c r="D384" s="225">
        <f t="shared" si="29"/>
        <v>38.99</v>
      </c>
      <c r="E384" s="35">
        <f>'Price List'!C384+'Cost Source'!S384</f>
        <v>23.036799999999999</v>
      </c>
      <c r="F384" s="240">
        <f t="shared" si="30"/>
        <v>23.99</v>
      </c>
      <c r="G384" s="35">
        <f>'Price List'!C384+'Cost Source'!N384</f>
        <v>21.036799999999999</v>
      </c>
      <c r="H384" s="263">
        <f t="shared" si="31"/>
        <v>21.99</v>
      </c>
      <c r="I384" s="277">
        <f>'Cost Source'!P384</f>
        <v>0</v>
      </c>
      <c r="J384" s="290">
        <v>15</v>
      </c>
    </row>
    <row r="385" spans="1:10" x14ac:dyDescent="0.25">
      <c r="A385" t="s">
        <v>173</v>
      </c>
      <c r="B385" t="s">
        <v>66</v>
      </c>
      <c r="C385" s="1">
        <f>'Price List'!C385+'Cost Source'!F385+'Cost Source'!O385</f>
        <v>52.395200000000003</v>
      </c>
      <c r="D385" s="226">
        <f t="shared" si="29"/>
        <v>52.99</v>
      </c>
      <c r="E385" s="1">
        <f>'Price List'!C385+'Cost Source'!S385</f>
        <v>37.395200000000003</v>
      </c>
      <c r="F385" s="241">
        <f t="shared" si="30"/>
        <v>37.99</v>
      </c>
      <c r="G385" s="1">
        <f>'Price List'!C385+'Cost Source'!N385</f>
        <v>37.395200000000003</v>
      </c>
      <c r="H385" s="257">
        <f t="shared" si="31"/>
        <v>37.99</v>
      </c>
      <c r="I385" s="277">
        <f>'Cost Source'!P385</f>
        <v>0</v>
      </c>
      <c r="J385" s="289">
        <v>15</v>
      </c>
    </row>
    <row r="386" spans="1:10" x14ac:dyDescent="0.25">
      <c r="A386" s="30" t="s">
        <v>173</v>
      </c>
      <c r="B386" s="30" t="s">
        <v>67</v>
      </c>
      <c r="C386" s="32">
        <f>'Price List'!C386+'Cost Source'!F386+'Cost Source'!O386</f>
        <v>63.751199999999997</v>
      </c>
      <c r="D386" s="224">
        <f t="shared" si="29"/>
        <v>63.99</v>
      </c>
      <c r="E386" s="32">
        <f>'Price List'!C386+'Cost Source'!S386</f>
        <v>48.751199999999997</v>
      </c>
      <c r="F386" s="239">
        <f t="shared" si="30"/>
        <v>48.99</v>
      </c>
      <c r="G386" s="32">
        <f>'Price List'!C386+'Cost Source'!N386</f>
        <v>44.751199999999997</v>
      </c>
      <c r="H386" s="262">
        <f t="shared" si="31"/>
        <v>44.99</v>
      </c>
      <c r="I386" s="277">
        <f>'Cost Source'!P386</f>
        <v>0</v>
      </c>
      <c r="J386" s="290">
        <v>15</v>
      </c>
    </row>
    <row r="387" spans="1:10" x14ac:dyDescent="0.25">
      <c r="A387" s="26" t="s">
        <v>173</v>
      </c>
      <c r="B387" s="26" t="s">
        <v>68</v>
      </c>
      <c r="C387" s="27">
        <f>'Price List'!C387+'Cost Source'!F387+'Cost Source'!O387</f>
        <v>56.393600000000006</v>
      </c>
      <c r="D387" s="229">
        <f t="shared" si="29"/>
        <v>56.99</v>
      </c>
      <c r="E387" s="32">
        <f>'Price List'!C387+'Cost Source'!S387</f>
        <v>46.393600000000006</v>
      </c>
      <c r="F387" s="239">
        <f t="shared" si="30"/>
        <v>46.99</v>
      </c>
      <c r="G387" s="27">
        <f>'Price List'!C387+'Cost Source'!N387</f>
        <v>36.393600000000006</v>
      </c>
      <c r="H387" s="260">
        <f t="shared" si="31"/>
        <v>36.99</v>
      </c>
      <c r="I387" s="277">
        <f>'Cost Source'!P387</f>
        <v>0</v>
      </c>
      <c r="J387" s="289">
        <v>10</v>
      </c>
    </row>
    <row r="388" spans="1:10" x14ac:dyDescent="0.25">
      <c r="A388" s="36" t="s">
        <v>173</v>
      </c>
      <c r="B388" s="36" t="s">
        <v>69</v>
      </c>
      <c r="C388" s="35">
        <f>'Price List'!C388+'Cost Source'!F388+'Cost Source'!O388</f>
        <v>42.3048</v>
      </c>
      <c r="D388" s="225">
        <f t="shared" si="29"/>
        <v>42.99</v>
      </c>
      <c r="E388" s="35">
        <f>'Price List'!C388+'Cost Source'!S388</f>
        <v>27.3048</v>
      </c>
      <c r="F388" s="240">
        <f t="shared" si="30"/>
        <v>27.99</v>
      </c>
      <c r="G388" s="35">
        <f>'Price List'!C388+'Cost Source'!N388</f>
        <v>24.3048</v>
      </c>
      <c r="H388" s="263">
        <f t="shared" si="31"/>
        <v>24.99</v>
      </c>
      <c r="I388" s="277">
        <f>'Cost Source'!P388</f>
        <v>0</v>
      </c>
      <c r="J388" s="290">
        <v>15</v>
      </c>
    </row>
    <row r="389" spans="1:10" x14ac:dyDescent="0.25">
      <c r="A389" t="s">
        <v>173</v>
      </c>
      <c r="B389" t="s">
        <v>70</v>
      </c>
      <c r="C389" s="1">
        <f>'Price List'!C389+'Cost Source'!F389+'Cost Source'!O389</f>
        <v>49.401600000000002</v>
      </c>
      <c r="D389" s="226">
        <f t="shared" si="29"/>
        <v>49.99</v>
      </c>
      <c r="E389" s="1">
        <f>'Price List'!C389+'Cost Source'!S389</f>
        <v>34.401600000000002</v>
      </c>
      <c r="F389" s="241">
        <f t="shared" si="30"/>
        <v>34.99</v>
      </c>
      <c r="G389" s="1">
        <f>'Price List'!C389+'Cost Source'!N389</f>
        <v>32.401600000000002</v>
      </c>
      <c r="H389" s="257">
        <f t="shared" si="31"/>
        <v>32.99</v>
      </c>
      <c r="I389" s="277">
        <f>'Cost Source'!P389</f>
        <v>0</v>
      </c>
      <c r="J389" s="289">
        <v>15</v>
      </c>
    </row>
    <row r="390" spans="1:10" x14ac:dyDescent="0.25">
      <c r="A390" s="30" t="s">
        <v>173</v>
      </c>
      <c r="B390" s="30" t="s">
        <v>71</v>
      </c>
      <c r="C390" s="32">
        <f>'Price List'!C390+'Cost Source'!F390+'Cost Source'!O390</f>
        <v>54.284800000000004</v>
      </c>
      <c r="D390" s="224">
        <f t="shared" si="29"/>
        <v>54.99</v>
      </c>
      <c r="E390" s="32">
        <f>'Price List'!C390+'Cost Source'!S390</f>
        <v>39.284800000000004</v>
      </c>
      <c r="F390" s="239">
        <f t="shared" si="30"/>
        <v>39.99</v>
      </c>
      <c r="G390" s="32">
        <f>'Price List'!C390+'Cost Source'!N390</f>
        <v>38.284800000000004</v>
      </c>
      <c r="H390" s="262">
        <f t="shared" si="31"/>
        <v>38.99</v>
      </c>
      <c r="I390" s="277">
        <f>'Cost Source'!P390</f>
        <v>0</v>
      </c>
      <c r="J390" s="290">
        <v>15</v>
      </c>
    </row>
    <row r="391" spans="1:10" x14ac:dyDescent="0.25">
      <c r="A391" s="140" t="s">
        <v>173</v>
      </c>
      <c r="B391" s="140" t="s">
        <v>914</v>
      </c>
      <c r="C391" s="32">
        <f>'Price List'!C391+'Cost Source'!F391+'Cost Source'!O391</f>
        <v>57.555199999999999</v>
      </c>
      <c r="D391" s="224">
        <f t="shared" si="29"/>
        <v>57.99</v>
      </c>
      <c r="E391" s="32">
        <f>'Price List'!C391+'Cost Source'!S391</f>
        <v>42.555199999999999</v>
      </c>
      <c r="F391" s="239">
        <f t="shared" si="30"/>
        <v>42.99</v>
      </c>
      <c r="G391" s="32">
        <f>'Price List'!C391+'Cost Source'!N391</f>
        <v>42.555199999999999</v>
      </c>
      <c r="H391" s="262">
        <f t="shared" si="31"/>
        <v>42.99</v>
      </c>
      <c r="I391" s="277">
        <f>'Cost Source'!P391</f>
        <v>0</v>
      </c>
      <c r="J391" s="289">
        <v>15</v>
      </c>
    </row>
    <row r="392" spans="1:10" x14ac:dyDescent="0.25">
      <c r="A392" s="26" t="s">
        <v>173</v>
      </c>
      <c r="B392" s="26" t="s">
        <v>72</v>
      </c>
      <c r="C392" s="27">
        <f>'Price List'!C392+'Cost Source'!F392+'Cost Source'!O392</f>
        <v>36.865600000000001</v>
      </c>
      <c r="D392" s="229">
        <f t="shared" si="29"/>
        <v>36.99</v>
      </c>
      <c r="E392" s="27">
        <f>'Price List'!C392+'Cost Source'!S392</f>
        <v>17.865600000000001</v>
      </c>
      <c r="F392" s="244">
        <f t="shared" si="30"/>
        <v>17.989999999999998</v>
      </c>
      <c r="G392" s="27">
        <f>'Price List'!C392+'Cost Source'!N392</f>
        <v>19.865600000000001</v>
      </c>
      <c r="H392" s="260">
        <f t="shared" si="31"/>
        <v>19.989999999999998</v>
      </c>
      <c r="I392" s="272">
        <f>'Cost Source'!P392</f>
        <v>-5</v>
      </c>
      <c r="J392" s="290">
        <v>15</v>
      </c>
    </row>
    <row r="393" spans="1:10" x14ac:dyDescent="0.25">
      <c r="A393" s="36" t="s">
        <v>173</v>
      </c>
      <c r="B393" s="36" t="s">
        <v>73</v>
      </c>
      <c r="C393" s="35">
        <f>'Price List'!C393+'Cost Source'!F393+'Cost Source'!O393</f>
        <v>56.911999999999999</v>
      </c>
      <c r="D393" s="225">
        <f t="shared" si="29"/>
        <v>56.99</v>
      </c>
      <c r="E393" s="35">
        <f>'Price List'!C393+'Cost Source'!S393</f>
        <v>41.911999999999999</v>
      </c>
      <c r="F393" s="240">
        <f t="shared" si="30"/>
        <v>41.99</v>
      </c>
      <c r="G393" s="35">
        <f>'Price List'!C393+'Cost Source'!N393</f>
        <v>41.911999999999999</v>
      </c>
      <c r="H393" s="263">
        <f t="shared" si="31"/>
        <v>41.99</v>
      </c>
      <c r="I393" s="277">
        <f>'Cost Source'!P393</f>
        <v>0</v>
      </c>
      <c r="J393" s="289">
        <v>15</v>
      </c>
    </row>
    <row r="394" spans="1:10" x14ac:dyDescent="0.25">
      <c r="A394" t="s">
        <v>173</v>
      </c>
      <c r="B394" t="s">
        <v>74</v>
      </c>
      <c r="C394" s="1">
        <f>'Price List'!C394+'Cost Source'!F394+'Cost Source'!O394</f>
        <v>53.251199999999997</v>
      </c>
      <c r="D394" s="226">
        <f t="shared" si="29"/>
        <v>53.99</v>
      </c>
      <c r="E394" s="1">
        <f>'Price List'!C394+'Cost Source'!S394</f>
        <v>38.251199999999997</v>
      </c>
      <c r="F394" s="241">
        <f t="shared" si="30"/>
        <v>38.99</v>
      </c>
      <c r="G394" s="1">
        <f>'Price List'!C394+'Cost Source'!N394</f>
        <v>37.251199999999997</v>
      </c>
      <c r="H394" s="257">
        <f t="shared" si="31"/>
        <v>37.99</v>
      </c>
      <c r="I394" s="277">
        <f>'Cost Source'!P394</f>
        <v>0</v>
      </c>
      <c r="J394" s="290">
        <v>15</v>
      </c>
    </row>
    <row r="395" spans="1:10" x14ac:dyDescent="0.25">
      <c r="A395" s="37" t="s">
        <v>173</v>
      </c>
      <c r="B395" s="37" t="s">
        <v>535</v>
      </c>
      <c r="C395" s="38">
        <f>'Price List'!C395+'Cost Source'!F395+'Cost Source'!O395</f>
        <v>61.776800000000001</v>
      </c>
      <c r="D395" s="232">
        <f t="shared" si="29"/>
        <v>61.99</v>
      </c>
      <c r="E395" s="38">
        <f>'Price List'!C395+'Cost Source'!S395</f>
        <v>46.776800000000001</v>
      </c>
      <c r="F395" s="239">
        <f t="shared" si="30"/>
        <v>46.99</v>
      </c>
      <c r="G395" s="32">
        <f>'Price List'!C395+'Cost Source'!N395</f>
        <v>46.776800000000001</v>
      </c>
      <c r="H395" s="262">
        <f t="shared" si="31"/>
        <v>46.99</v>
      </c>
      <c r="I395" s="277">
        <f>'Cost Source'!P395</f>
        <v>0</v>
      </c>
      <c r="J395" s="289">
        <v>15</v>
      </c>
    </row>
    <row r="396" spans="1:10" x14ac:dyDescent="0.25">
      <c r="A396" s="26" t="s">
        <v>173</v>
      </c>
      <c r="B396" s="26" t="s">
        <v>75</v>
      </c>
      <c r="C396" s="27">
        <f>'Price List'!C396+'Cost Source'!F396+'Cost Source'!O396</f>
        <v>60.727199999999996</v>
      </c>
      <c r="D396" s="229">
        <f t="shared" si="29"/>
        <v>60.99</v>
      </c>
      <c r="E396" s="27">
        <f>'Price List'!C396+'Cost Source'!S396</f>
        <v>45.727199999999996</v>
      </c>
      <c r="F396" s="244">
        <f t="shared" si="30"/>
        <v>45.99</v>
      </c>
      <c r="G396" s="27">
        <f>'Price List'!C396+'Cost Source'!N396</f>
        <v>45.727199999999996</v>
      </c>
      <c r="H396" s="260">
        <f t="shared" si="31"/>
        <v>45.99</v>
      </c>
      <c r="I396" s="277">
        <f>'Cost Source'!P396</f>
        <v>0</v>
      </c>
      <c r="J396" s="290">
        <v>15</v>
      </c>
    </row>
    <row r="397" spans="1:10" x14ac:dyDescent="0.25">
      <c r="A397" s="36" t="s">
        <v>173</v>
      </c>
      <c r="B397" s="36" t="s">
        <v>76</v>
      </c>
      <c r="C397" s="35">
        <f>'Price List'!C397+'Cost Source'!F397+'Cost Source'!O397</f>
        <v>58.64</v>
      </c>
      <c r="D397" s="225">
        <f t="shared" si="29"/>
        <v>58.99</v>
      </c>
      <c r="E397" s="35">
        <f>'Price List'!C397+'Cost Source'!S397</f>
        <v>43.64</v>
      </c>
      <c r="F397" s="240">
        <f t="shared" si="30"/>
        <v>43.99</v>
      </c>
      <c r="G397" s="35">
        <f>'Price List'!C397+'Cost Source'!N397</f>
        <v>43.64</v>
      </c>
      <c r="H397" s="263">
        <f t="shared" si="31"/>
        <v>43.99</v>
      </c>
      <c r="I397" s="277">
        <f>'Cost Source'!P397</f>
        <v>0</v>
      </c>
      <c r="J397" s="289">
        <v>15</v>
      </c>
    </row>
    <row r="398" spans="1:10" x14ac:dyDescent="0.25">
      <c r="A398" s="140" t="s">
        <v>173</v>
      </c>
      <c r="B398" s="140" t="s">
        <v>77</v>
      </c>
      <c r="C398" s="146">
        <f>'Price List'!C398+'Cost Source'!F398+'Cost Source'!O398</f>
        <v>58.141599999999997</v>
      </c>
      <c r="D398" s="227">
        <f t="shared" si="29"/>
        <v>58.99</v>
      </c>
      <c r="E398" s="146">
        <f>'Price List'!C398+'Cost Source'!S398</f>
        <v>43.141599999999997</v>
      </c>
      <c r="F398" s="242">
        <f t="shared" si="30"/>
        <v>43.99</v>
      </c>
      <c r="G398" s="146">
        <f>'Price List'!C398+'Cost Source'!N398</f>
        <v>41.141599999999997</v>
      </c>
      <c r="H398" s="258">
        <f t="shared" si="31"/>
        <v>41.99</v>
      </c>
      <c r="I398" s="277">
        <f>'Cost Source'!P398</f>
        <v>0</v>
      </c>
      <c r="J398" s="290">
        <v>15</v>
      </c>
    </row>
    <row r="399" spans="1:10" x14ac:dyDescent="0.25">
      <c r="A399" t="s">
        <v>173</v>
      </c>
      <c r="B399" t="s">
        <v>619</v>
      </c>
      <c r="C399" s="1">
        <f>'Price List'!C399+'Cost Source'!F399+'Cost Source'!O399</f>
        <v>61.760800000000003</v>
      </c>
      <c r="D399" s="226">
        <f t="shared" si="29"/>
        <v>61.99</v>
      </c>
      <c r="E399" s="1">
        <f>'Price List'!C399+'Cost Source'!S399</f>
        <v>46.760800000000003</v>
      </c>
      <c r="F399" s="241">
        <f t="shared" si="30"/>
        <v>46.99</v>
      </c>
      <c r="G399" s="1">
        <f>'Price List'!C399+'Cost Source'!N399</f>
        <v>42.760800000000003</v>
      </c>
      <c r="H399" s="257">
        <f t="shared" si="31"/>
        <v>42.99</v>
      </c>
      <c r="I399" s="277">
        <f>'Cost Source'!P399</f>
        <v>0</v>
      </c>
      <c r="J399" s="290"/>
    </row>
    <row r="400" spans="1:10" x14ac:dyDescent="0.25">
      <c r="A400" s="30" t="s">
        <v>173</v>
      </c>
      <c r="B400" s="30" t="s">
        <v>78</v>
      </c>
      <c r="C400" s="32">
        <f>'Price List'!C400+'Cost Source'!F400+'Cost Source'!O400</f>
        <v>41.118399999999994</v>
      </c>
      <c r="D400" s="224">
        <f t="shared" si="29"/>
        <v>41.99</v>
      </c>
      <c r="E400" s="32"/>
      <c r="F400" s="239"/>
      <c r="G400" s="32">
        <f>'Price List'!C400+'Cost Source'!N400</f>
        <v>24.118399999999998</v>
      </c>
      <c r="H400" s="262">
        <f t="shared" si="31"/>
        <v>24.99</v>
      </c>
      <c r="I400" s="272">
        <f>'Cost Source'!P400</f>
        <v>-5</v>
      </c>
      <c r="J400" s="289">
        <v>15</v>
      </c>
    </row>
    <row r="401" spans="1:10" x14ac:dyDescent="0.25">
      <c r="A401" s="26" t="s">
        <v>173</v>
      </c>
      <c r="B401" s="26" t="s">
        <v>79</v>
      </c>
      <c r="C401" s="27">
        <f>'Price List'!C401+'Cost Source'!F401+'Cost Source'!O401</f>
        <v>39.415999999999997</v>
      </c>
      <c r="D401" s="229">
        <f t="shared" si="29"/>
        <v>39.99</v>
      </c>
      <c r="E401" s="27"/>
      <c r="F401" s="244"/>
      <c r="G401" s="27">
        <f>'Price List'!C401+'Cost Source'!N401</f>
        <v>22.416</v>
      </c>
      <c r="H401" s="260">
        <f t="shared" si="31"/>
        <v>22.99</v>
      </c>
      <c r="I401" s="272">
        <f>'Cost Source'!P401</f>
        <v>-5</v>
      </c>
      <c r="J401" s="290">
        <v>15</v>
      </c>
    </row>
    <row r="402" spans="1:10" x14ac:dyDescent="0.25">
      <c r="A402" s="36" t="s">
        <v>173</v>
      </c>
      <c r="B402" s="36" t="s">
        <v>80</v>
      </c>
      <c r="C402" s="35">
        <f>'Price List'!C402+'Cost Source'!F402+'Cost Source'!O402</f>
        <v>53.606400000000001</v>
      </c>
      <c r="D402" s="225">
        <f t="shared" si="29"/>
        <v>53.99</v>
      </c>
      <c r="E402" s="35">
        <f>'Price List'!C402+'Cost Source'!S402</f>
        <v>38.606400000000001</v>
      </c>
      <c r="F402" s="240">
        <f t="shared" si="30"/>
        <v>38.99</v>
      </c>
      <c r="G402" s="35">
        <f>'Price List'!C402+'Cost Source'!N402</f>
        <v>32.606400000000001</v>
      </c>
      <c r="H402" s="263">
        <f t="shared" si="31"/>
        <v>32.99</v>
      </c>
      <c r="I402" s="277">
        <f>'Cost Source'!P402</f>
        <v>0</v>
      </c>
      <c r="J402" s="290">
        <v>20</v>
      </c>
    </row>
    <row r="403" spans="1:10" x14ac:dyDescent="0.25">
      <c r="A403" t="s">
        <v>173</v>
      </c>
      <c r="B403" t="s">
        <v>81</v>
      </c>
      <c r="C403" s="1">
        <f>'Price List'!C403+'Cost Source'!F403+'Cost Source'!O403</f>
        <v>40.622399999999999</v>
      </c>
      <c r="D403" s="226">
        <f t="shared" si="29"/>
        <v>40.99</v>
      </c>
      <c r="E403" s="1">
        <f>'Price List'!C403+'Cost Source'!S403</f>
        <v>25.622399999999999</v>
      </c>
      <c r="F403" s="241">
        <f t="shared" si="30"/>
        <v>25.99</v>
      </c>
      <c r="G403" s="1">
        <f>'Price List'!C403+'Cost Source'!N403</f>
        <v>23.622399999999999</v>
      </c>
      <c r="H403" s="257">
        <f t="shared" si="31"/>
        <v>23.99</v>
      </c>
      <c r="I403" s="277">
        <f>'Cost Source'!P403</f>
        <v>0</v>
      </c>
      <c r="J403" s="289">
        <v>15</v>
      </c>
    </row>
    <row r="404" spans="1:10" x14ac:dyDescent="0.25">
      <c r="A404" s="30" t="s">
        <v>173</v>
      </c>
      <c r="B404" s="30" t="s">
        <v>82</v>
      </c>
      <c r="C404" s="32">
        <f>'Price List'!C404+'Cost Source'!F404+'Cost Source'!O404</f>
        <v>41.217600000000004</v>
      </c>
      <c r="D404" s="224">
        <f t="shared" si="29"/>
        <v>41.99</v>
      </c>
      <c r="E404" s="32">
        <f>'Price List'!C404+'Cost Source'!S404</f>
        <v>26.217600000000001</v>
      </c>
      <c r="F404" s="239">
        <f t="shared" si="30"/>
        <v>26.99</v>
      </c>
      <c r="G404" s="32">
        <f>'Price List'!C404+'Cost Source'!N404</f>
        <v>24.217600000000001</v>
      </c>
      <c r="H404" s="262">
        <f t="shared" si="31"/>
        <v>24.99</v>
      </c>
      <c r="I404" s="277">
        <f>'Cost Source'!P404</f>
        <v>0</v>
      </c>
      <c r="J404" s="290">
        <v>15</v>
      </c>
    </row>
    <row r="405" spans="1:10" x14ac:dyDescent="0.25">
      <c r="A405" s="26" t="s">
        <v>173</v>
      </c>
      <c r="B405" s="26" t="s">
        <v>83</v>
      </c>
      <c r="C405" s="27">
        <f>'Price List'!C405+'Cost Source'!F405+'Cost Source'!O405</f>
        <v>40.081600000000002</v>
      </c>
      <c r="D405" s="229">
        <f t="shared" si="29"/>
        <v>40.99</v>
      </c>
      <c r="E405" s="27">
        <f>'Price List'!C405+'Cost Source'!S405</f>
        <v>25.081600000000002</v>
      </c>
      <c r="F405" s="244">
        <f t="shared" si="30"/>
        <v>25.99</v>
      </c>
      <c r="G405" s="27">
        <f>'Price List'!C405+'Cost Source'!N405</f>
        <v>23.081600000000002</v>
      </c>
      <c r="H405" s="260">
        <f t="shared" si="31"/>
        <v>23.99</v>
      </c>
      <c r="I405" s="277">
        <f>'Cost Source'!P405</f>
        <v>0</v>
      </c>
      <c r="J405" s="289">
        <v>15</v>
      </c>
    </row>
    <row r="406" spans="1:10" x14ac:dyDescent="0.25">
      <c r="A406" s="36" t="s">
        <v>173</v>
      </c>
      <c r="B406" s="36" t="s">
        <v>84</v>
      </c>
      <c r="C406" s="35">
        <f>'Price List'!C406+'Cost Source'!F406+'Cost Source'!O406</f>
        <v>59.787199999999999</v>
      </c>
      <c r="D406" s="225">
        <f t="shared" si="29"/>
        <v>59.99</v>
      </c>
      <c r="E406" s="35">
        <f>'Price List'!C406+'Cost Source'!S406</f>
        <v>44.787199999999999</v>
      </c>
      <c r="F406" s="240">
        <f t="shared" si="30"/>
        <v>44.99</v>
      </c>
      <c r="G406" s="35">
        <f>'Price List'!C406+'Cost Source'!N406</f>
        <v>45.787199999999999</v>
      </c>
      <c r="H406" s="263">
        <f t="shared" si="31"/>
        <v>45.99</v>
      </c>
      <c r="I406" s="277">
        <f>'Cost Source'!P406</f>
        <v>0</v>
      </c>
      <c r="J406" s="290">
        <v>20</v>
      </c>
    </row>
    <row r="407" spans="1:10" x14ac:dyDescent="0.25">
      <c r="A407" t="s">
        <v>173</v>
      </c>
      <c r="B407" t="s">
        <v>85</v>
      </c>
      <c r="C407" s="1">
        <f>'Price List'!C407+'Cost Source'!F407+'Cost Source'!O407</f>
        <v>45.726399999999998</v>
      </c>
      <c r="D407" s="226">
        <f t="shared" si="29"/>
        <v>45.99</v>
      </c>
      <c r="E407" s="1">
        <f>'Price List'!C407+'Cost Source'!S407</f>
        <v>30.726400000000002</v>
      </c>
      <c r="F407" s="241">
        <f t="shared" si="30"/>
        <v>30.99</v>
      </c>
      <c r="G407" s="1">
        <f>'Price List'!C407+'Cost Source'!N407</f>
        <v>29.726400000000002</v>
      </c>
      <c r="H407" s="257">
        <f t="shared" si="31"/>
        <v>29.99</v>
      </c>
      <c r="I407" s="277">
        <f>'Cost Source'!P407</f>
        <v>0</v>
      </c>
      <c r="J407" s="289">
        <v>15</v>
      </c>
    </row>
    <row r="408" spans="1:10" x14ac:dyDescent="0.25">
      <c r="A408" s="30" t="s">
        <v>173</v>
      </c>
      <c r="B408" s="30" t="s">
        <v>86</v>
      </c>
      <c r="C408" s="32">
        <f>'Price List'!C408+'Cost Source'!F408+'Cost Source'!O408</f>
        <v>46.603200000000001</v>
      </c>
      <c r="D408" s="224">
        <f t="shared" si="29"/>
        <v>46.99</v>
      </c>
      <c r="E408" s="32">
        <f>'Price List'!C408+'Cost Source'!S408</f>
        <v>31.603200000000001</v>
      </c>
      <c r="F408" s="239">
        <f t="shared" si="30"/>
        <v>31.99</v>
      </c>
      <c r="G408" s="32">
        <f>'Price List'!C408+'Cost Source'!N408</f>
        <v>30.603200000000001</v>
      </c>
      <c r="H408" s="262">
        <f t="shared" si="31"/>
        <v>30.99</v>
      </c>
      <c r="I408" s="277">
        <f>'Cost Source'!P408</f>
        <v>0</v>
      </c>
      <c r="J408" s="290">
        <v>15</v>
      </c>
    </row>
    <row r="409" spans="1:10" x14ac:dyDescent="0.25">
      <c r="A409" s="26" t="s">
        <v>173</v>
      </c>
      <c r="B409" s="26" t="s">
        <v>87</v>
      </c>
      <c r="C409" s="27">
        <f>'Price List'!C409+'Cost Source'!F409+'Cost Source'!O409</f>
        <v>80.256</v>
      </c>
      <c r="D409" s="229">
        <f t="shared" si="29"/>
        <v>80.989999999999995</v>
      </c>
      <c r="E409" s="27">
        <f>'Price List'!C409+'Cost Source'!S409</f>
        <v>65.256</v>
      </c>
      <c r="F409" s="244">
        <f t="shared" si="30"/>
        <v>65.989999999999995</v>
      </c>
      <c r="G409" s="27">
        <f>'Price List'!C409+'Cost Source'!N409</f>
        <v>64.256</v>
      </c>
      <c r="H409" s="260">
        <f t="shared" si="31"/>
        <v>64.989999999999995</v>
      </c>
      <c r="I409" s="277">
        <f>'Cost Source'!P409</f>
        <v>0</v>
      </c>
      <c r="J409" s="290">
        <v>20</v>
      </c>
    </row>
    <row r="410" spans="1:10" x14ac:dyDescent="0.25">
      <c r="A410" s="36" t="s">
        <v>173</v>
      </c>
      <c r="B410" s="36" t="s">
        <v>88</v>
      </c>
      <c r="C410" s="144">
        <f>'Price List'!C410+'Cost Source'!F410+'Cost Source'!O410</f>
        <v>57.180800000000005</v>
      </c>
      <c r="D410" s="225">
        <f t="shared" si="29"/>
        <v>57.99</v>
      </c>
      <c r="E410" s="144">
        <f>'Price List'!C410+'Cost Source'!S410</f>
        <v>37.180800000000005</v>
      </c>
      <c r="F410" s="240">
        <f t="shared" si="30"/>
        <v>37.99</v>
      </c>
      <c r="G410" s="144">
        <f>'Price List'!C410+'Cost Source'!N410</f>
        <v>25.180800000000001</v>
      </c>
      <c r="H410" s="263">
        <f t="shared" si="31"/>
        <v>25.99</v>
      </c>
      <c r="I410" s="277">
        <f>'Cost Source'!P410</f>
        <v>0</v>
      </c>
      <c r="J410" s="289"/>
    </row>
    <row r="411" spans="1:10" x14ac:dyDescent="0.25">
      <c r="A411" s="30" t="s">
        <v>173</v>
      </c>
      <c r="B411" s="30" t="s">
        <v>89</v>
      </c>
      <c r="C411" s="32">
        <f>'Price List'!C411+'Cost Source'!F411+'Cost Source'!O411</f>
        <v>82.876800000000003</v>
      </c>
      <c r="D411" s="224">
        <f t="shared" si="29"/>
        <v>82.99</v>
      </c>
      <c r="E411" s="32">
        <f>'Price List'!C411+'Cost Source'!S411</f>
        <v>67.876800000000003</v>
      </c>
      <c r="F411" s="239">
        <f t="shared" si="30"/>
        <v>67.989999999999995</v>
      </c>
      <c r="G411" s="32">
        <f>'Price List'!C411+'Cost Source'!N411</f>
        <v>66.876800000000003</v>
      </c>
      <c r="H411" s="262">
        <f t="shared" si="31"/>
        <v>66.989999999999995</v>
      </c>
      <c r="I411" s="277">
        <f>'Cost Source'!P411</f>
        <v>0</v>
      </c>
      <c r="J411" s="290">
        <v>15</v>
      </c>
    </row>
    <row r="412" spans="1:10" x14ac:dyDescent="0.25">
      <c r="A412" s="30" t="s">
        <v>173</v>
      </c>
      <c r="B412" t="s">
        <v>620</v>
      </c>
      <c r="C412" s="1">
        <f>'Price List'!C412+'Cost Source'!F412+'Cost Source'!O412</f>
        <v>53.080799999999996</v>
      </c>
      <c r="D412" s="234">
        <f t="shared" si="29"/>
        <v>53.99</v>
      </c>
      <c r="E412" s="1">
        <f>'Price List'!C412+'Cost Source'!S412</f>
        <v>43.080799999999996</v>
      </c>
      <c r="F412" s="283">
        <f t="shared" si="30"/>
        <v>43.99</v>
      </c>
      <c r="G412" s="1">
        <f>'Price List'!C412+'Cost Source'!N412</f>
        <v>38.080799999999996</v>
      </c>
      <c r="H412" s="261">
        <f t="shared" si="31"/>
        <v>38.99</v>
      </c>
      <c r="I412" s="278">
        <f>'Cost Source'!P412</f>
        <v>0</v>
      </c>
      <c r="J412" s="289">
        <v>20</v>
      </c>
    </row>
    <row r="413" spans="1:10" x14ac:dyDescent="0.25">
      <c r="A413" s="26" t="s">
        <v>173</v>
      </c>
      <c r="B413" s="147" t="s">
        <v>90</v>
      </c>
      <c r="C413" s="144">
        <f>'Price List'!C413+'Cost Source'!F413+'Cost Source'!O413</f>
        <v>52.386399999999995</v>
      </c>
      <c r="D413" s="230">
        <f t="shared" si="29"/>
        <v>52.99</v>
      </c>
      <c r="E413" s="144">
        <f>'Price List'!C413+'Cost Source'!S413</f>
        <v>42.386399999999995</v>
      </c>
      <c r="F413" s="245">
        <f t="shared" si="30"/>
        <v>42.99</v>
      </c>
      <c r="G413" s="144">
        <f>'Price List'!C413+'Cost Source'!N413</f>
        <v>37.386399999999995</v>
      </c>
      <c r="H413" s="259">
        <f t="shared" si="31"/>
        <v>37.99</v>
      </c>
      <c r="I413" s="279">
        <f>'Cost Source'!P413</f>
        <v>0</v>
      </c>
      <c r="J413" s="290">
        <v>20</v>
      </c>
    </row>
    <row r="414" spans="1:10" x14ac:dyDescent="0.25">
      <c r="A414" s="36" t="s">
        <v>173</v>
      </c>
      <c r="B414" s="36" t="s">
        <v>91</v>
      </c>
      <c r="C414" s="35">
        <f>'Price List'!C414+'Cost Source'!F414+'Cost Source'!O414</f>
        <v>52.083200000000005</v>
      </c>
      <c r="D414" s="225">
        <f t="shared" si="29"/>
        <v>52.99</v>
      </c>
      <c r="E414" s="35">
        <f>'Price List'!C414+'Cost Source'!S414</f>
        <v>37.083200000000005</v>
      </c>
      <c r="F414" s="240">
        <f t="shared" si="30"/>
        <v>37.99</v>
      </c>
      <c r="G414" s="35">
        <f>'Price List'!C414+'Cost Source'!N414</f>
        <v>36.083200000000005</v>
      </c>
      <c r="H414" s="263">
        <f t="shared" si="31"/>
        <v>36.99</v>
      </c>
      <c r="I414" s="277">
        <f>'Cost Source'!P414</f>
        <v>0</v>
      </c>
      <c r="J414" s="289">
        <v>15</v>
      </c>
    </row>
    <row r="415" spans="1:10" x14ac:dyDescent="0.25">
      <c r="A415" t="s">
        <v>173</v>
      </c>
      <c r="B415" t="s">
        <v>92</v>
      </c>
      <c r="C415" s="1">
        <f>'Price List'!C415+'Cost Source'!F415+'Cost Source'!O415</f>
        <v>81.270399999999995</v>
      </c>
      <c r="D415" s="226">
        <f t="shared" si="29"/>
        <v>81.99</v>
      </c>
      <c r="E415" s="1">
        <f>'Price List'!C415+'Cost Source'!S415</f>
        <v>66.270399999999995</v>
      </c>
      <c r="F415" s="241">
        <f t="shared" si="30"/>
        <v>66.989999999999995</v>
      </c>
      <c r="G415" s="1">
        <f>'Price List'!C415+'Cost Source'!N415</f>
        <v>70.270399999999995</v>
      </c>
      <c r="H415" s="257">
        <f t="shared" si="31"/>
        <v>70.989999999999995</v>
      </c>
      <c r="I415" s="277">
        <f>'Cost Source'!P415</f>
        <v>0</v>
      </c>
      <c r="J415" s="290">
        <v>15</v>
      </c>
    </row>
    <row r="416" spans="1:10" x14ac:dyDescent="0.25">
      <c r="A416" s="30" t="s">
        <v>173</v>
      </c>
      <c r="B416" s="30" t="s">
        <v>93</v>
      </c>
      <c r="C416" s="32">
        <f>'Price List'!C416+'Cost Source'!F416+'Cost Source'!O416</f>
        <v>56.139200000000002</v>
      </c>
      <c r="D416" s="224">
        <f t="shared" si="29"/>
        <v>56.99</v>
      </c>
      <c r="E416" s="32">
        <f>'Price List'!C416+'Cost Source'!S416</f>
        <v>46.139200000000002</v>
      </c>
      <c r="F416" s="239">
        <f t="shared" si="30"/>
        <v>46.99</v>
      </c>
      <c r="G416" s="32">
        <f>'Price List'!C416+'Cost Source'!N416</f>
        <v>41.139200000000002</v>
      </c>
      <c r="H416" s="262">
        <f t="shared" si="31"/>
        <v>41.99</v>
      </c>
      <c r="I416" s="277">
        <f>'Cost Source'!P416</f>
        <v>0</v>
      </c>
      <c r="J416" s="289">
        <v>20</v>
      </c>
    </row>
    <row r="417" spans="1:13" x14ac:dyDescent="0.25">
      <c r="A417" s="26" t="s">
        <v>173</v>
      </c>
      <c r="B417" s="26" t="s">
        <v>94</v>
      </c>
      <c r="C417" s="27">
        <f>'Price List'!C417+'Cost Source'!F417+'Cost Source'!O417</f>
        <v>71.999200000000002</v>
      </c>
      <c r="D417" s="229">
        <f t="shared" si="29"/>
        <v>71.989999999999995</v>
      </c>
      <c r="E417" s="27">
        <f>'Price List'!C417+'Cost Source'!S417</f>
        <v>61.999200000000002</v>
      </c>
      <c r="F417" s="244">
        <f t="shared" si="30"/>
        <v>61.99</v>
      </c>
      <c r="G417" s="27">
        <f>'Price List'!C417+'Cost Source'!N417</f>
        <v>60.999200000000002</v>
      </c>
      <c r="H417" s="260">
        <f t="shared" si="31"/>
        <v>60.99</v>
      </c>
      <c r="I417" s="277">
        <f>'Cost Source'!P417</f>
        <v>0</v>
      </c>
      <c r="J417" s="290">
        <v>20</v>
      </c>
    </row>
    <row r="418" spans="1:13" x14ac:dyDescent="0.25">
      <c r="A418" s="36" t="s">
        <v>173</v>
      </c>
      <c r="B418" s="36" t="s">
        <v>95</v>
      </c>
      <c r="C418" s="35">
        <f>'Price List'!C418+'Cost Source'!F418+'Cost Source'!O418</f>
        <v>68.102399999999989</v>
      </c>
      <c r="D418" s="225">
        <f t="shared" si="29"/>
        <v>68.989999999999995</v>
      </c>
      <c r="E418" s="35">
        <f>'Price List'!C418+'Cost Source'!S418</f>
        <v>58.102399999999996</v>
      </c>
      <c r="F418" s="240">
        <f t="shared" si="30"/>
        <v>58.99</v>
      </c>
      <c r="G418" s="35">
        <f>'Price List'!C418+'Cost Source'!N418</f>
        <v>50.102399999999996</v>
      </c>
      <c r="H418" s="263">
        <f t="shared" si="31"/>
        <v>50.99</v>
      </c>
      <c r="I418" s="277">
        <f>'Cost Source'!P418</f>
        <v>0</v>
      </c>
      <c r="J418" s="289">
        <v>20</v>
      </c>
    </row>
    <row r="419" spans="1:13" x14ac:dyDescent="0.25">
      <c r="A419" t="s">
        <v>173</v>
      </c>
      <c r="B419" t="s">
        <v>96</v>
      </c>
      <c r="C419" s="1">
        <f>'Price List'!C419+'Cost Source'!F419+'Cost Source'!O419</f>
        <v>101.78880000000001</v>
      </c>
      <c r="D419" s="226">
        <f t="shared" si="29"/>
        <v>101.99</v>
      </c>
      <c r="E419" s="1">
        <f>'Price List'!C419+'Cost Source'!S419</f>
        <v>91.788800000000009</v>
      </c>
      <c r="F419" s="241">
        <f t="shared" si="30"/>
        <v>91.99</v>
      </c>
      <c r="G419" s="1">
        <f>'Price List'!C419+'Cost Source'!N419</f>
        <v>88.788800000000009</v>
      </c>
      <c r="H419" s="257">
        <f t="shared" si="31"/>
        <v>88.99</v>
      </c>
      <c r="I419" s="277">
        <f>'Cost Source'!P419</f>
        <v>0</v>
      </c>
      <c r="J419" s="290">
        <v>20</v>
      </c>
    </row>
    <row r="420" spans="1:13" x14ac:dyDescent="0.25">
      <c r="A420" s="30" t="s">
        <v>173</v>
      </c>
      <c r="B420" s="30" t="s">
        <v>97</v>
      </c>
      <c r="C420" s="32">
        <f>'Price List'!C420+'Cost Source'!F420+'Cost Source'!O420</f>
        <v>138.108</v>
      </c>
      <c r="D420" s="224">
        <f t="shared" si="29"/>
        <v>138.99</v>
      </c>
      <c r="E420" s="32">
        <f>'Price List'!C420+'Cost Source'!S420</f>
        <v>123.10799999999999</v>
      </c>
      <c r="F420" s="239">
        <f t="shared" si="30"/>
        <v>123.99</v>
      </c>
      <c r="G420" s="32">
        <f>'Price List'!C420+'Cost Source'!N420</f>
        <v>123.10799999999999</v>
      </c>
      <c r="H420" s="262">
        <f t="shared" si="31"/>
        <v>123.99</v>
      </c>
      <c r="I420" s="277">
        <f>'Cost Source'!P420</f>
        <v>0</v>
      </c>
      <c r="J420" s="290">
        <v>20</v>
      </c>
    </row>
    <row r="421" spans="1:13" x14ac:dyDescent="0.25">
      <c r="A421" s="26" t="s">
        <v>173</v>
      </c>
      <c r="B421" s="26" t="s">
        <v>536</v>
      </c>
      <c r="C421" s="27">
        <f>'Price List'!C421+'Cost Source'!F421+'Cost Source'!O421</f>
        <v>69.499200000000002</v>
      </c>
      <c r="D421" s="229">
        <f t="shared" si="29"/>
        <v>69.989999999999995</v>
      </c>
      <c r="E421" s="27"/>
      <c r="F421" s="244"/>
      <c r="G421" s="27">
        <f>'Price List'!C421+'Cost Source'!N421</f>
        <v>44.499199999999995</v>
      </c>
      <c r="H421" s="260">
        <f t="shared" si="31"/>
        <v>44.99</v>
      </c>
      <c r="I421" s="272">
        <f>'Cost Source'!P421</f>
        <v>-10</v>
      </c>
      <c r="J421" s="289">
        <v>15</v>
      </c>
    </row>
    <row r="422" spans="1:13" x14ac:dyDescent="0.25">
      <c r="A422" s="36" t="s">
        <v>173</v>
      </c>
      <c r="B422" s="36" t="s">
        <v>537</v>
      </c>
      <c r="C422" s="35">
        <f>'Price List'!C422+'Cost Source'!F422+'Cost Source'!O422</f>
        <v>93.967200000000005</v>
      </c>
      <c r="D422" s="225">
        <f t="shared" si="29"/>
        <v>93.99</v>
      </c>
      <c r="E422" s="35">
        <f>'Price List'!C422+'Cost Source'!S422</f>
        <v>78.967200000000005</v>
      </c>
      <c r="F422" s="240">
        <f t="shared" si="30"/>
        <v>78.989999999999995</v>
      </c>
      <c r="G422" s="35">
        <f>'Price List'!C422+'Cost Source'!N422</f>
        <v>73.967200000000005</v>
      </c>
      <c r="H422" s="263">
        <f t="shared" si="31"/>
        <v>73.989999999999995</v>
      </c>
      <c r="I422" s="277">
        <f>'Cost Source'!P422</f>
        <v>0</v>
      </c>
      <c r="J422" s="290">
        <v>20</v>
      </c>
    </row>
    <row r="423" spans="1:13" x14ac:dyDescent="0.25">
      <c r="A423" s="147" t="s">
        <v>173</v>
      </c>
      <c r="B423" s="147" t="s">
        <v>1070</v>
      </c>
      <c r="C423" s="144">
        <f>'Price List'!C423+'Cost Source'!F423+'Cost Source'!O423</f>
        <v>86.264799999999994</v>
      </c>
      <c r="D423" s="230">
        <f t="shared" si="29"/>
        <v>86.99</v>
      </c>
      <c r="E423" s="144">
        <f>'Price List'!C423+'Cost Source'!S423</f>
        <v>71.264799999999994</v>
      </c>
      <c r="F423" s="245">
        <f t="shared" si="30"/>
        <v>71.989999999999995</v>
      </c>
      <c r="G423" s="144">
        <f>'Price List'!C423+'Cost Source'!N423</f>
        <v>65.264799999999994</v>
      </c>
      <c r="H423" s="259">
        <f t="shared" si="31"/>
        <v>65.989999999999995</v>
      </c>
      <c r="I423" s="279"/>
      <c r="J423" s="290">
        <v>20</v>
      </c>
    </row>
    <row r="424" spans="1:13" x14ac:dyDescent="0.25">
      <c r="A424" t="s">
        <v>173</v>
      </c>
      <c r="B424" t="s">
        <v>98</v>
      </c>
      <c r="C424" s="1">
        <f>'Price List'!C424+'Cost Source'!F424+'Cost Source'!O424</f>
        <v>68.680000000000007</v>
      </c>
      <c r="D424" s="226">
        <f t="shared" si="29"/>
        <v>68.989999999999995</v>
      </c>
      <c r="E424" s="1">
        <f>'Price List'!C424+'Cost Source'!S424</f>
        <v>53.68</v>
      </c>
      <c r="F424" s="241">
        <f t="shared" si="30"/>
        <v>53.99</v>
      </c>
      <c r="G424" s="1">
        <f>'Price List'!C424+'Cost Source'!N424</f>
        <v>43.68</v>
      </c>
      <c r="H424" s="257">
        <f t="shared" si="31"/>
        <v>43.99</v>
      </c>
      <c r="I424" s="282">
        <f>'Cost Source'!P424</f>
        <v>0</v>
      </c>
      <c r="J424" s="289">
        <v>15</v>
      </c>
    </row>
    <row r="425" spans="1:13" x14ac:dyDescent="0.25">
      <c r="A425" s="30" t="s">
        <v>173</v>
      </c>
      <c r="B425" s="30" t="s">
        <v>99</v>
      </c>
      <c r="C425" s="32">
        <f>'Price List'!C425+'Cost Source'!F425+'Cost Source'!O425</f>
        <v>66.06880000000001</v>
      </c>
      <c r="D425" s="224">
        <f t="shared" si="29"/>
        <v>66.989999999999995</v>
      </c>
      <c r="E425" s="32">
        <f>'Price List'!C425+'Cost Source'!S425</f>
        <v>51.068800000000003</v>
      </c>
      <c r="F425" s="239">
        <f t="shared" si="30"/>
        <v>51.99</v>
      </c>
      <c r="G425" s="32">
        <f>'Price List'!C425+'Cost Source'!N425</f>
        <v>41.068800000000003</v>
      </c>
      <c r="H425" s="262">
        <f t="shared" si="31"/>
        <v>41.99</v>
      </c>
      <c r="I425" s="277">
        <f>'Cost Source'!P425</f>
        <v>0</v>
      </c>
      <c r="J425" s="290">
        <v>15</v>
      </c>
    </row>
    <row r="426" spans="1:13" x14ac:dyDescent="0.25">
      <c r="A426" s="26" t="s">
        <v>173</v>
      </c>
      <c r="B426" s="26" t="s">
        <v>584</v>
      </c>
      <c r="C426" s="27">
        <f>'Price List'!C426+'Cost Source'!F426+'Cost Source'!O426</f>
        <v>69.035200000000003</v>
      </c>
      <c r="D426" s="229">
        <f t="shared" si="29"/>
        <v>69.989999999999995</v>
      </c>
      <c r="E426" s="27">
        <f>'Price List'!C426+'Cost Source'!S426</f>
        <v>54.035199999999996</v>
      </c>
      <c r="F426" s="244">
        <f t="shared" si="30"/>
        <v>54.99</v>
      </c>
      <c r="G426" s="27">
        <f>'Price List'!C426+'Cost Source'!N426</f>
        <v>45.035199999999996</v>
      </c>
      <c r="H426" s="260">
        <f t="shared" si="31"/>
        <v>45.99</v>
      </c>
      <c r="I426" s="278">
        <f>'Cost Source'!P426</f>
        <v>0</v>
      </c>
      <c r="J426" s="289">
        <v>15</v>
      </c>
    </row>
    <row r="427" spans="1:13" x14ac:dyDescent="0.25">
      <c r="A427" s="147" t="s">
        <v>173</v>
      </c>
      <c r="B427" s="147" t="s">
        <v>1218</v>
      </c>
      <c r="C427" s="144">
        <f>'Price List'!C427+'Cost Source'!F427+'Cost Source'!O427</f>
        <v>166.2072</v>
      </c>
      <c r="D427" s="230">
        <f t="shared" si="29"/>
        <v>166.99</v>
      </c>
      <c r="E427" s="144">
        <f>'Price List'!C427+'Cost Source'!S427</f>
        <v>151.2072</v>
      </c>
      <c r="F427" s="245">
        <f t="shared" si="30"/>
        <v>151.99</v>
      </c>
      <c r="G427" s="144">
        <f>'Price List'!C427+'Cost Source'!N427</f>
        <v>116.2072</v>
      </c>
      <c r="H427" s="259">
        <f t="shared" si="31"/>
        <v>116.99</v>
      </c>
      <c r="I427" s="279"/>
      <c r="J427" s="290">
        <v>20</v>
      </c>
    </row>
    <row r="428" spans="1:13" x14ac:dyDescent="0.25">
      <c r="A428" s="36" t="s">
        <v>173</v>
      </c>
      <c r="B428" s="36" t="s">
        <v>100</v>
      </c>
      <c r="C428" s="35">
        <f>'Price List'!C428+'Cost Source'!F428+'Cost Source'!O428</f>
        <v>43.916800000000002</v>
      </c>
      <c r="D428" s="225">
        <f t="shared" si="29"/>
        <v>43.99</v>
      </c>
      <c r="E428" s="35">
        <f>'Price List'!C428+'Cost Source'!S428</f>
        <v>28.916800000000002</v>
      </c>
      <c r="F428" s="240">
        <f t="shared" si="30"/>
        <v>28.99</v>
      </c>
      <c r="G428" s="35">
        <f>'Price List'!C428+'Cost Source'!N428</f>
        <v>22.916800000000002</v>
      </c>
      <c r="H428" s="263">
        <f t="shared" si="31"/>
        <v>22.99</v>
      </c>
      <c r="I428" s="277">
        <f>'Cost Source'!P428</f>
        <v>0</v>
      </c>
      <c r="J428" s="290">
        <v>15</v>
      </c>
    </row>
    <row r="429" spans="1:13" x14ac:dyDescent="0.25">
      <c r="A429" t="s">
        <v>173</v>
      </c>
      <c r="B429" t="s">
        <v>101</v>
      </c>
      <c r="C429" s="1">
        <f>'Price List'!C429+'Cost Source'!F429+'Cost Source'!O429</f>
        <v>67.599999999999994</v>
      </c>
      <c r="D429" s="226">
        <f t="shared" si="29"/>
        <v>67.989999999999995</v>
      </c>
      <c r="E429" s="1">
        <f>'Price List'!C429+'Cost Source'!S429</f>
        <v>52.599999999999994</v>
      </c>
      <c r="F429" s="241">
        <f t="shared" si="30"/>
        <v>52.99</v>
      </c>
      <c r="G429" s="1">
        <f>'Price List'!C429+'Cost Source'!N429</f>
        <v>49.599999999999994</v>
      </c>
      <c r="H429" s="257">
        <f t="shared" si="31"/>
        <v>49.99</v>
      </c>
      <c r="I429" s="277">
        <f>'Cost Source'!P429</f>
        <v>0</v>
      </c>
      <c r="J429" s="289">
        <v>15</v>
      </c>
    </row>
    <row r="430" spans="1:13" x14ac:dyDescent="0.25">
      <c r="A430" s="30" t="s">
        <v>173</v>
      </c>
      <c r="B430" s="30" t="s">
        <v>538</v>
      </c>
      <c r="C430" s="32">
        <f>'Price List'!C430+'Cost Source'!F430+'Cost Source'!O430</f>
        <v>66.279200000000003</v>
      </c>
      <c r="D430" s="224">
        <f t="shared" si="29"/>
        <v>66.989999999999995</v>
      </c>
      <c r="E430" s="32">
        <f>'Price List'!C430+'Cost Source'!S430</f>
        <v>51.279200000000003</v>
      </c>
      <c r="F430" s="239">
        <f t="shared" si="30"/>
        <v>51.99</v>
      </c>
      <c r="G430" s="32">
        <f>'Price List'!C430+'Cost Source'!N430</f>
        <v>48.279200000000003</v>
      </c>
      <c r="H430" s="262">
        <f t="shared" si="31"/>
        <v>48.99</v>
      </c>
      <c r="I430" s="277">
        <f>'Cost Source'!P430</f>
        <v>0</v>
      </c>
      <c r="J430" s="290">
        <v>15</v>
      </c>
    </row>
    <row r="431" spans="1:13" x14ac:dyDescent="0.25">
      <c r="A431" s="140" t="s">
        <v>173</v>
      </c>
      <c r="B431" s="140" t="s">
        <v>1235</v>
      </c>
      <c r="C431" s="32">
        <f>'Price List'!C431+'Cost Source'!F431+'Cost Source'!O431</f>
        <v>98.194400000000002</v>
      </c>
      <c r="D431" s="224">
        <f t="shared" si="29"/>
        <v>98.99</v>
      </c>
      <c r="E431" s="32">
        <f>'Price List'!C431+'Cost Source'!S431</f>
        <v>83.194400000000002</v>
      </c>
      <c r="F431" s="239">
        <f t="shared" si="30"/>
        <v>83.99</v>
      </c>
      <c r="G431" s="32">
        <f>'Price List'!C431+'Cost Source'!N431</f>
        <v>80.194400000000002</v>
      </c>
      <c r="H431" s="261">
        <f t="shared" si="31"/>
        <v>80.989999999999995</v>
      </c>
      <c r="I431" s="278"/>
      <c r="J431" s="289">
        <v>15</v>
      </c>
    </row>
    <row r="432" spans="1:13" x14ac:dyDescent="0.25">
      <c r="A432" s="140" t="s">
        <v>173</v>
      </c>
      <c r="B432" s="140" t="s">
        <v>1120</v>
      </c>
      <c r="C432" s="32">
        <f>'Price List'!C432+'Cost Source'!F432+'Cost Source'!O432</f>
        <v>122.02160000000001</v>
      </c>
      <c r="D432" s="224">
        <f t="shared" si="29"/>
        <v>122.99</v>
      </c>
      <c r="E432" s="32">
        <f>'Price List'!C432+'Cost Source'!S432</f>
        <v>107.02160000000001</v>
      </c>
      <c r="F432" s="239">
        <f t="shared" si="30"/>
        <v>107.99</v>
      </c>
      <c r="G432" s="32">
        <f>'Price List'!C432+'Cost Source'!N432</f>
        <v>100.02160000000001</v>
      </c>
      <c r="H432" s="258">
        <f t="shared" si="31"/>
        <v>100.99</v>
      </c>
      <c r="I432" s="279"/>
      <c r="J432" s="290">
        <v>15</v>
      </c>
      <c r="M432" s="1"/>
    </row>
    <row r="433" spans="1:10" x14ac:dyDescent="0.25">
      <c r="A433" s="140" t="s">
        <v>173</v>
      </c>
      <c r="B433" s="140" t="s">
        <v>1004</v>
      </c>
      <c r="C433" s="146">
        <f>'Price List'!C433+'Cost Source'!F433+'Cost Source'!O433</f>
        <v>172.46879999999999</v>
      </c>
      <c r="D433" s="227">
        <f t="shared" si="29"/>
        <v>172.99</v>
      </c>
      <c r="E433" s="146">
        <f>'Price List'!C433+'Cost Source'!S433</f>
        <v>157.46879999999999</v>
      </c>
      <c r="F433" s="242">
        <f t="shared" si="30"/>
        <v>157.99</v>
      </c>
      <c r="G433" s="146">
        <f>'Price List'!C433+'Cost Source'!N433</f>
        <v>122.4688</v>
      </c>
      <c r="H433" s="258">
        <f t="shared" si="31"/>
        <v>122.99</v>
      </c>
      <c r="I433" s="279"/>
      <c r="J433" s="290">
        <v>15</v>
      </c>
    </row>
    <row r="434" spans="1:10" x14ac:dyDescent="0.25">
      <c r="A434" t="s">
        <v>173</v>
      </c>
      <c r="B434" t="s">
        <v>1196</v>
      </c>
      <c r="C434" s="1">
        <f>+'Price List'!C434+'Cost Source'!F434+'Cost Source'!O434</f>
        <v>143.38159999999999</v>
      </c>
      <c r="D434" s="234">
        <f t="shared" si="29"/>
        <v>143.99</v>
      </c>
      <c r="E434" s="1">
        <f>'Price List'!C434+'Cost Source'!S434</f>
        <v>128.38159999999999</v>
      </c>
      <c r="F434" s="283">
        <f t="shared" si="30"/>
        <v>128.99</v>
      </c>
      <c r="G434" s="1">
        <f>'Price List'!C434+'Cost Source'!N434</f>
        <v>128.38159999999999</v>
      </c>
      <c r="H434" s="261">
        <f t="shared" si="31"/>
        <v>128.99</v>
      </c>
      <c r="I434" s="278">
        <v>0</v>
      </c>
      <c r="J434" s="291">
        <v>20</v>
      </c>
    </row>
    <row r="435" spans="1:10" x14ac:dyDescent="0.25">
      <c r="A435" s="147" t="s">
        <v>173</v>
      </c>
      <c r="B435" s="147" t="s">
        <v>102</v>
      </c>
      <c r="C435" s="144">
        <f>'Price List'!C435+'Cost Source'!F435+'Cost Source'!O435</f>
        <v>57.315200000000004</v>
      </c>
      <c r="D435" s="230">
        <f t="shared" si="29"/>
        <v>57.99</v>
      </c>
      <c r="E435" s="144">
        <f>'Price List'!C435+'Cost Source'!S435</f>
        <v>47.315200000000004</v>
      </c>
      <c r="F435" s="245">
        <f t="shared" si="30"/>
        <v>47.99</v>
      </c>
      <c r="G435" s="144">
        <f>'Price List'!C435+'Cost Source'!N435</f>
        <v>37.315200000000004</v>
      </c>
      <c r="H435" s="259">
        <f t="shared" si="31"/>
        <v>37.99</v>
      </c>
      <c r="I435" s="279">
        <f>'Cost Source'!P435</f>
        <v>0</v>
      </c>
      <c r="J435" s="290">
        <v>15</v>
      </c>
    </row>
    <row r="436" spans="1:10" x14ac:dyDescent="0.25">
      <c r="A436" t="s">
        <v>173</v>
      </c>
      <c r="B436" s="159" t="s">
        <v>539</v>
      </c>
      <c r="C436" s="150">
        <f>'Price List'!C436+'Cost Source'!L436+'Cost Source'!O436</f>
        <v>108.15520000000001</v>
      </c>
      <c r="D436" s="228">
        <f t="shared" si="29"/>
        <v>108.99</v>
      </c>
      <c r="E436" s="150">
        <f>'Price List'!C436+'Cost Source'!Y436</f>
        <v>93.155200000000008</v>
      </c>
      <c r="F436" s="243">
        <f t="shared" si="30"/>
        <v>93.99</v>
      </c>
      <c r="G436" s="150">
        <f>'Price List'!C436+'Cost Source'!N436</f>
        <v>90.155200000000008</v>
      </c>
      <c r="H436" s="285">
        <f t="shared" si="31"/>
        <v>90.99</v>
      </c>
      <c r="I436" s="282">
        <f>'Cost Source'!P436</f>
        <v>0</v>
      </c>
      <c r="J436" s="290">
        <v>20</v>
      </c>
    </row>
    <row r="437" spans="1:10" x14ac:dyDescent="0.25">
      <c r="A437" s="30" t="s">
        <v>173</v>
      </c>
      <c r="B437" s="30" t="s">
        <v>540</v>
      </c>
      <c r="C437" s="146">
        <f>'Price List'!C437+'Cost Source'!L437+'Cost Source'!O437</f>
        <v>108.3768</v>
      </c>
      <c r="D437" s="224">
        <f t="shared" si="29"/>
        <v>108.99</v>
      </c>
      <c r="E437" s="146">
        <f>'Price List'!C437+'Cost Source'!Y437</f>
        <v>93.376800000000003</v>
      </c>
      <c r="F437" s="239">
        <f t="shared" si="30"/>
        <v>93.99</v>
      </c>
      <c r="G437" s="146">
        <f>'Price List'!C437+'Cost Source'!N437</f>
        <v>89.376800000000003</v>
      </c>
      <c r="H437" s="262">
        <f t="shared" si="31"/>
        <v>89.99</v>
      </c>
      <c r="I437" s="277">
        <f>'Cost Source'!P437</f>
        <v>0</v>
      </c>
      <c r="J437" s="290">
        <v>20</v>
      </c>
    </row>
    <row r="438" spans="1:10" x14ac:dyDescent="0.25">
      <c r="A438" s="26" t="s">
        <v>173</v>
      </c>
      <c r="B438" s="26" t="s">
        <v>546</v>
      </c>
      <c r="C438" s="146">
        <f>'Price List'!C438+'Cost Source'!L438+'Cost Source'!O438</f>
        <v>53.125599999999999</v>
      </c>
      <c r="D438" s="229">
        <f t="shared" si="29"/>
        <v>53.99</v>
      </c>
      <c r="E438" s="146">
        <f>'Price List'!C438+'Cost Source'!Y438</f>
        <v>38.125599999999999</v>
      </c>
      <c r="F438" s="244">
        <f t="shared" si="30"/>
        <v>38.99</v>
      </c>
      <c r="G438" s="146">
        <f>'Price List'!C438+'Cost Source'!N438</f>
        <v>28.125599999999999</v>
      </c>
      <c r="H438" s="260">
        <f t="shared" si="31"/>
        <v>28.99</v>
      </c>
      <c r="I438" s="278">
        <f>'Cost Source'!P438</f>
        <v>0</v>
      </c>
      <c r="J438" s="289">
        <v>20</v>
      </c>
    </row>
    <row r="439" spans="1:10" x14ac:dyDescent="0.25">
      <c r="A439" s="140" t="s">
        <v>173</v>
      </c>
      <c r="B439" s="140" t="s">
        <v>541</v>
      </c>
      <c r="C439" s="146">
        <f>'Price List'!C439+'Cost Source'!L439+'Cost Source'!O439</f>
        <v>48.551200000000001</v>
      </c>
      <c r="D439" s="227">
        <f t="shared" si="29"/>
        <v>48.99</v>
      </c>
      <c r="E439" s="146">
        <f>'Price List'!C439+'Cost Source'!Y439</f>
        <v>28.551200000000001</v>
      </c>
      <c r="F439" s="242">
        <f t="shared" si="30"/>
        <v>28.99</v>
      </c>
      <c r="G439" s="146">
        <f>'Price List'!C439+'Cost Source'!N439</f>
        <v>18.551200000000001</v>
      </c>
      <c r="H439" s="258">
        <f t="shared" si="31"/>
        <v>18.989999999999998</v>
      </c>
      <c r="I439" s="279">
        <f>'Cost Source'!P439</f>
        <v>0</v>
      </c>
      <c r="J439" s="290">
        <v>20</v>
      </c>
    </row>
    <row r="440" spans="1:10" x14ac:dyDescent="0.25">
      <c r="A440" s="159" t="s">
        <v>173</v>
      </c>
      <c r="B440" s="159" t="s">
        <v>542</v>
      </c>
      <c r="C440" s="146">
        <f>'Price List'!C440+'Cost Source'!L440+'Cost Source'!O440</f>
        <v>43.093600000000002</v>
      </c>
      <c r="D440" s="228">
        <f t="shared" si="29"/>
        <v>43.99</v>
      </c>
      <c r="E440" s="146">
        <f>'Price List'!C440+'Cost Source'!Y440</f>
        <v>28.093600000000002</v>
      </c>
      <c r="F440" s="243">
        <f t="shared" si="30"/>
        <v>28.99</v>
      </c>
      <c r="G440" s="146">
        <f>'Price List'!C440+'Cost Source'!N440</f>
        <v>18.093600000000002</v>
      </c>
      <c r="H440" s="285">
        <f t="shared" si="31"/>
        <v>18.989999999999998</v>
      </c>
      <c r="I440" s="282">
        <f>'Cost Source'!P440</f>
        <v>0</v>
      </c>
      <c r="J440" s="289">
        <v>20</v>
      </c>
    </row>
    <row r="441" spans="1:10" x14ac:dyDescent="0.25">
      <c r="A441" s="26" t="s">
        <v>173</v>
      </c>
      <c r="B441" s="26" t="s">
        <v>543</v>
      </c>
      <c r="C441" s="146">
        <f>'Price List'!C441+'Cost Source'!L441+'Cost Source'!O441</f>
        <v>105.12560000000001</v>
      </c>
      <c r="D441" s="229">
        <f t="shared" si="29"/>
        <v>105.99</v>
      </c>
      <c r="E441" s="146">
        <f>'Price List'!C441+'Cost Source'!Y441</f>
        <v>90.125600000000006</v>
      </c>
      <c r="F441" s="244">
        <f t="shared" si="30"/>
        <v>90.99</v>
      </c>
      <c r="G441" s="146">
        <f>'Price List'!C441+'Cost Source'!N441</f>
        <v>86.125600000000006</v>
      </c>
      <c r="H441" s="260">
        <f t="shared" si="31"/>
        <v>86.99</v>
      </c>
      <c r="I441" s="277">
        <f>'Cost Source'!P441</f>
        <v>0</v>
      </c>
      <c r="J441" s="290">
        <v>20</v>
      </c>
    </row>
    <row r="442" spans="1:10" x14ac:dyDescent="0.25">
      <c r="A442" s="36" t="s">
        <v>173</v>
      </c>
      <c r="B442" s="36" t="s">
        <v>544</v>
      </c>
      <c r="C442" s="146">
        <f>'Price List'!C442+'Cost Source'!L442+'Cost Source'!O442</f>
        <v>71.768799999999999</v>
      </c>
      <c r="D442" s="225">
        <f t="shared" si="29"/>
        <v>71.989999999999995</v>
      </c>
      <c r="E442" s="146">
        <f>'Price List'!C442+'Cost Source'!Y442</f>
        <v>56.768800000000006</v>
      </c>
      <c r="F442" s="240">
        <f t="shared" si="30"/>
        <v>56.99</v>
      </c>
      <c r="G442" s="146">
        <f>'Price List'!C442+'Cost Source'!N442</f>
        <v>46.768800000000006</v>
      </c>
      <c r="H442" s="263">
        <f t="shared" si="31"/>
        <v>46.99</v>
      </c>
      <c r="I442" s="277">
        <f>'Cost Source'!P442</f>
        <v>0</v>
      </c>
      <c r="J442" s="289">
        <v>20</v>
      </c>
    </row>
    <row r="443" spans="1:10" x14ac:dyDescent="0.25">
      <c r="A443" t="s">
        <v>173</v>
      </c>
      <c r="B443" t="s">
        <v>545</v>
      </c>
      <c r="C443" s="146">
        <f>'Price List'!C443+'Cost Source'!L443+'Cost Source'!O443</f>
        <v>54.3992</v>
      </c>
      <c r="D443" s="226">
        <f t="shared" si="29"/>
        <v>54.99</v>
      </c>
      <c r="E443" s="146">
        <f>'Price List'!C443+'Cost Source'!Y443</f>
        <v>39.3992</v>
      </c>
      <c r="F443" s="241">
        <f t="shared" si="30"/>
        <v>39.99</v>
      </c>
      <c r="G443" s="146">
        <f>'Price List'!C443+'Cost Source'!N443</f>
        <v>29.3992</v>
      </c>
      <c r="H443" s="257">
        <f t="shared" si="31"/>
        <v>29.99</v>
      </c>
      <c r="I443" s="277">
        <f>'Cost Source'!P443</f>
        <v>0</v>
      </c>
      <c r="J443" s="290">
        <v>20</v>
      </c>
    </row>
    <row r="444" spans="1:10" x14ac:dyDescent="0.25">
      <c r="A444" s="30" t="s">
        <v>173</v>
      </c>
      <c r="B444" s="30" t="s">
        <v>103</v>
      </c>
      <c r="C444" s="32">
        <f>'Price List'!C444+'Cost Source'!G444+'Cost Source'!O444</f>
        <v>74.834400000000002</v>
      </c>
      <c r="D444" s="224">
        <f t="shared" si="29"/>
        <v>74.989999999999995</v>
      </c>
      <c r="E444" s="32"/>
      <c r="F444" s="239"/>
      <c r="G444" s="32">
        <f>'Price List'!C444+'Cost Source'!N444</f>
        <v>51.834400000000002</v>
      </c>
      <c r="H444" s="262">
        <f t="shared" si="31"/>
        <v>51.99</v>
      </c>
      <c r="I444" s="272">
        <f>'Cost Source'!P444</f>
        <v>-10</v>
      </c>
      <c r="J444" s="291">
        <v>20</v>
      </c>
    </row>
    <row r="445" spans="1:10" x14ac:dyDescent="0.25">
      <c r="A445" s="26" t="s">
        <v>173</v>
      </c>
      <c r="B445" s="26" t="s">
        <v>547</v>
      </c>
      <c r="C445" s="27">
        <f>'Price List'!C445+'Cost Source'!G445+'Cost Source'!O445</f>
        <v>84.373599999999996</v>
      </c>
      <c r="D445" s="229">
        <f t="shared" si="29"/>
        <v>84.99</v>
      </c>
      <c r="E445" s="27">
        <f>'Price List'!C445+'Cost Source'!T445</f>
        <v>21.373599999999996</v>
      </c>
      <c r="F445" s="244">
        <f t="shared" ref="F445:F464" si="32">ROUNDUP(E445,0)-0.01</f>
        <v>21.99</v>
      </c>
      <c r="G445" s="27">
        <f>'Price List'!C445+'Cost Source'!N445</f>
        <v>63.373599999999996</v>
      </c>
      <c r="H445" s="260">
        <f t="shared" si="31"/>
        <v>63.99</v>
      </c>
      <c r="I445" s="280">
        <f>'Cost Source'!P445</f>
        <v>-15</v>
      </c>
      <c r="J445" s="291">
        <v>20</v>
      </c>
    </row>
    <row r="446" spans="1:10" x14ac:dyDescent="0.25">
      <c r="A446" s="147" t="s">
        <v>173</v>
      </c>
      <c r="B446" s="147" t="s">
        <v>1119</v>
      </c>
      <c r="C446" s="144">
        <f>'Price List'!C446+'Cost Source'!G446+'Cost Source'!O446</f>
        <v>85.317599999999999</v>
      </c>
      <c r="D446" s="230">
        <f t="shared" si="29"/>
        <v>85.99</v>
      </c>
      <c r="E446" s="144">
        <f>'Price List'!C446+'Cost Source'!T446</f>
        <v>24.317600000000006</v>
      </c>
      <c r="F446" s="245">
        <f t="shared" si="32"/>
        <v>24.99</v>
      </c>
      <c r="G446" s="144">
        <f>'Price List'!C446+'Cost Source'!N446</f>
        <v>65.317599999999999</v>
      </c>
      <c r="H446" s="259">
        <f t="shared" si="31"/>
        <v>65.989999999999995</v>
      </c>
      <c r="I446" s="275">
        <f>'Cost Source'!P446</f>
        <v>-15</v>
      </c>
      <c r="J446" s="290">
        <v>20</v>
      </c>
    </row>
    <row r="447" spans="1:10" x14ac:dyDescent="0.25">
      <c r="A447" s="152" t="s">
        <v>173</v>
      </c>
      <c r="B447" s="152" t="s">
        <v>104</v>
      </c>
      <c r="C447" s="154">
        <f>'Price List'!C447+'Cost Source'!G447+'Cost Source'!O447</f>
        <v>44.896000000000001</v>
      </c>
      <c r="D447" s="231">
        <f t="shared" si="29"/>
        <v>44.99</v>
      </c>
      <c r="E447" s="154"/>
      <c r="F447" s="246"/>
      <c r="G447" s="154">
        <f>'Price List'!C447+'Cost Source'!N447</f>
        <v>22.896000000000001</v>
      </c>
      <c r="H447" s="267">
        <f t="shared" ref="H447:H521" si="33">ROUNDUP(G447,0)-0.01</f>
        <v>22.99</v>
      </c>
      <c r="I447" s="276">
        <f>'Cost Source'!P447</f>
        <v>-5</v>
      </c>
      <c r="J447" s="289">
        <v>20</v>
      </c>
    </row>
    <row r="448" spans="1:10" x14ac:dyDescent="0.25">
      <c r="A448" t="s">
        <v>173</v>
      </c>
      <c r="B448" t="s">
        <v>105</v>
      </c>
      <c r="C448" s="1">
        <f>'Price List'!C448+'Cost Source'!G448+'Cost Source'!O448</f>
        <v>51.396000000000001</v>
      </c>
      <c r="D448" s="226">
        <f t="shared" si="29"/>
        <v>51.99</v>
      </c>
      <c r="E448" s="1"/>
      <c r="F448" s="244"/>
      <c r="G448" s="1">
        <f>'Price List'!C448+'Cost Source'!N448</f>
        <v>30.396000000000001</v>
      </c>
      <c r="H448" s="257">
        <f t="shared" si="33"/>
        <v>30.99</v>
      </c>
      <c r="I448" s="272">
        <f>'Cost Source'!P448</f>
        <v>-5</v>
      </c>
      <c r="J448" s="290">
        <v>20</v>
      </c>
    </row>
    <row r="449" spans="1:10" x14ac:dyDescent="0.25">
      <c r="A449" s="30" t="s">
        <v>173</v>
      </c>
      <c r="B449" s="30" t="s">
        <v>106</v>
      </c>
      <c r="C449" s="32">
        <f>'Price List'!C449+'Cost Source'!G449+'Cost Source'!O449</f>
        <v>40.102400000000003</v>
      </c>
      <c r="D449" s="224">
        <f t="shared" si="29"/>
        <v>40.99</v>
      </c>
      <c r="E449" s="32"/>
      <c r="F449" s="245"/>
      <c r="G449" s="32">
        <f>'Price List'!C449+'Cost Source'!N449</f>
        <v>17.102400000000003</v>
      </c>
      <c r="H449" s="262">
        <f t="shared" si="33"/>
        <v>17.989999999999998</v>
      </c>
      <c r="I449" s="272">
        <f>'Cost Source'!P449</f>
        <v>-5</v>
      </c>
      <c r="J449" s="289">
        <v>20</v>
      </c>
    </row>
    <row r="450" spans="1:10" x14ac:dyDescent="0.25">
      <c r="A450" s="26" t="s">
        <v>173</v>
      </c>
      <c r="B450" s="26" t="s">
        <v>107</v>
      </c>
      <c r="C450" s="27">
        <f>'Price List'!C450+'Cost Source'!G450+'Cost Source'!O450</f>
        <v>38.803200000000004</v>
      </c>
      <c r="D450" s="229">
        <f t="shared" si="29"/>
        <v>38.99</v>
      </c>
      <c r="E450" s="27"/>
      <c r="F450" s="244"/>
      <c r="G450" s="27">
        <f>'Price List'!C450+'Cost Source'!N450</f>
        <v>15.8032</v>
      </c>
      <c r="H450" s="260">
        <f t="shared" si="33"/>
        <v>15.99</v>
      </c>
      <c r="I450" s="272">
        <f>'Cost Source'!P450</f>
        <v>-5</v>
      </c>
      <c r="J450" s="290">
        <v>20</v>
      </c>
    </row>
    <row r="451" spans="1:10" x14ac:dyDescent="0.25">
      <c r="A451" s="147" t="s">
        <v>173</v>
      </c>
      <c r="B451" s="140" t="s">
        <v>621</v>
      </c>
      <c r="C451" s="144">
        <f>'Price List'!C451+'Cost Source'!G451+'Cost Source'!O451</f>
        <v>47.895200000000003</v>
      </c>
      <c r="D451" s="230">
        <f t="shared" si="29"/>
        <v>47.99</v>
      </c>
      <c r="E451" s="144"/>
      <c r="F451" s="245"/>
      <c r="G451" s="144">
        <f>'Price List'!C451+'Cost Source'!N451</f>
        <v>25.895199999999999</v>
      </c>
      <c r="H451" s="259">
        <f t="shared" si="33"/>
        <v>25.99</v>
      </c>
      <c r="I451" s="272">
        <f>'Cost Source'!P451</f>
        <v>-5</v>
      </c>
      <c r="J451" s="292">
        <v>20</v>
      </c>
    </row>
    <row r="452" spans="1:10" x14ac:dyDescent="0.25">
      <c r="A452" s="36" t="s">
        <v>173</v>
      </c>
      <c r="B452" s="36" t="s">
        <v>108</v>
      </c>
      <c r="C452" s="35">
        <f>'Price List'!C452+'Cost Source'!G452+'Cost Source'!O452</f>
        <v>46.272000000000006</v>
      </c>
      <c r="D452" s="225">
        <f t="shared" si="29"/>
        <v>46.99</v>
      </c>
      <c r="E452" s="35"/>
      <c r="F452" s="244"/>
      <c r="G452" s="35">
        <f>'Price List'!C452+'Cost Source'!N452</f>
        <v>24.272000000000002</v>
      </c>
      <c r="H452" s="263">
        <f t="shared" si="33"/>
        <v>24.99</v>
      </c>
      <c r="I452" s="272">
        <f>'Cost Source'!P452</f>
        <v>-5</v>
      </c>
      <c r="J452" s="290">
        <v>20</v>
      </c>
    </row>
    <row r="453" spans="1:10" x14ac:dyDescent="0.25">
      <c r="A453" t="s">
        <v>173</v>
      </c>
      <c r="B453" t="s">
        <v>109</v>
      </c>
      <c r="C453" s="1">
        <f>'Price List'!C453+'Cost Source'!G453+'Cost Source'!O453</f>
        <v>36.159999999999997</v>
      </c>
      <c r="D453" s="226">
        <f t="shared" si="29"/>
        <v>36.99</v>
      </c>
      <c r="E453" s="1"/>
      <c r="F453" s="245"/>
      <c r="G453" s="1">
        <f>'Price List'!C453+'Cost Source'!N453</f>
        <v>13.16</v>
      </c>
      <c r="H453" s="257">
        <f t="shared" si="33"/>
        <v>13.99</v>
      </c>
      <c r="I453" s="277">
        <f>'Cost Source'!P453</f>
        <v>0</v>
      </c>
      <c r="J453" s="289">
        <v>20</v>
      </c>
    </row>
    <row r="454" spans="1:10" x14ac:dyDescent="0.25">
      <c r="A454" s="30" t="s">
        <v>173</v>
      </c>
      <c r="B454" s="30" t="s">
        <v>110</v>
      </c>
      <c r="C454" s="32">
        <f>'Price List'!C454+'Cost Source'!G454+'Cost Source'!O454</f>
        <v>40.083200000000005</v>
      </c>
      <c r="D454" s="224">
        <f t="shared" si="29"/>
        <v>40.99</v>
      </c>
      <c r="E454" s="32"/>
      <c r="F454" s="244"/>
      <c r="G454" s="32">
        <f>'Price List'!C454+'Cost Source'!N454</f>
        <v>17.083200000000001</v>
      </c>
      <c r="H454" s="262">
        <f t="shared" si="33"/>
        <v>17.989999999999998</v>
      </c>
      <c r="I454" s="272">
        <f>'Cost Source'!P454</f>
        <v>-5</v>
      </c>
      <c r="J454" s="290">
        <v>20</v>
      </c>
    </row>
    <row r="455" spans="1:10" x14ac:dyDescent="0.25">
      <c r="A455" s="26" t="s">
        <v>173</v>
      </c>
      <c r="B455" s="26" t="s">
        <v>111</v>
      </c>
      <c r="C455" s="27">
        <f>'Price List'!C455+'Cost Source'!G455+'Cost Source'!O455</f>
        <v>64.372</v>
      </c>
      <c r="D455" s="229">
        <f t="shared" ref="D455:D540" si="34">ROUNDUP(C455,0)-0.01</f>
        <v>64.989999999999995</v>
      </c>
      <c r="E455" s="27"/>
      <c r="F455" s="254"/>
      <c r="G455" s="27">
        <f>'Price List'!C455+'Cost Source'!N455</f>
        <v>45.372</v>
      </c>
      <c r="H455" s="260">
        <f t="shared" si="33"/>
        <v>45.99</v>
      </c>
      <c r="I455" s="280">
        <f>'Cost Source'!P455</f>
        <v>-5</v>
      </c>
      <c r="J455" s="291">
        <v>20</v>
      </c>
    </row>
    <row r="456" spans="1:10" x14ac:dyDescent="0.25">
      <c r="A456" s="147" t="s">
        <v>173</v>
      </c>
      <c r="B456" s="147" t="s">
        <v>1219</v>
      </c>
      <c r="C456" s="144"/>
      <c r="D456" s="230"/>
      <c r="E456" s="144"/>
      <c r="F456" s="245"/>
      <c r="G456" s="144"/>
      <c r="H456" s="259"/>
      <c r="I456" s="275"/>
      <c r="J456" s="290"/>
    </row>
    <row r="457" spans="1:10" x14ac:dyDescent="0.25">
      <c r="A457" s="152" t="s">
        <v>173</v>
      </c>
      <c r="B457" s="152" t="s">
        <v>1024</v>
      </c>
      <c r="C457" s="154">
        <f>'Price List'!C457+'Cost Source'!G457+'Cost Source'!O457</f>
        <v>46.839200000000005</v>
      </c>
      <c r="D457" s="231">
        <f t="shared" si="34"/>
        <v>46.99</v>
      </c>
      <c r="E457" s="154"/>
      <c r="F457" s="246"/>
      <c r="G457" s="154">
        <f>'Price List'!C457+'Cost Source'!N457</f>
        <v>26.839200000000002</v>
      </c>
      <c r="H457" s="267">
        <f t="shared" si="33"/>
        <v>26.99</v>
      </c>
      <c r="I457" s="276"/>
      <c r="J457" s="289">
        <v>20</v>
      </c>
    </row>
    <row r="458" spans="1:10" x14ac:dyDescent="0.25">
      <c r="A458" s="147" t="s">
        <v>173</v>
      </c>
      <c r="B458" s="152" t="s">
        <v>1069</v>
      </c>
      <c r="C458" s="154">
        <f>'Price List'!C458+'Cost Source'!G458+'Cost Source'!O458</f>
        <v>43.191200000000002</v>
      </c>
      <c r="D458" s="230">
        <f t="shared" si="34"/>
        <v>43.99</v>
      </c>
      <c r="E458" s="154"/>
      <c r="F458" s="245"/>
      <c r="G458" s="154">
        <f>'Price List'!C458+'Cost Source'!N458</f>
        <v>21.191200000000002</v>
      </c>
      <c r="H458" s="259">
        <f t="shared" si="33"/>
        <v>21.99</v>
      </c>
      <c r="I458" s="276">
        <f>'Cost Source'!P458</f>
        <v>-5</v>
      </c>
      <c r="J458" s="290">
        <v>20</v>
      </c>
    </row>
    <row r="459" spans="1:10" x14ac:dyDescent="0.25">
      <c r="A459" s="152" t="s">
        <v>173</v>
      </c>
      <c r="B459" s="152" t="s">
        <v>112</v>
      </c>
      <c r="C459" s="154">
        <f>'Price List'!C459+'Cost Source'!G459+'Cost Source'!O459</f>
        <v>45.775999999999996</v>
      </c>
      <c r="D459" s="231">
        <f t="shared" si="34"/>
        <v>45.99</v>
      </c>
      <c r="E459" s="154"/>
      <c r="F459" s="244"/>
      <c r="G459" s="154">
        <f>'Price List'!C459+'Cost Source'!N459</f>
        <v>23.776</v>
      </c>
      <c r="H459" s="267">
        <f t="shared" si="33"/>
        <v>23.99</v>
      </c>
      <c r="I459" s="276">
        <f>'Cost Source'!P459</f>
        <v>-5</v>
      </c>
      <c r="J459" s="290">
        <v>20</v>
      </c>
    </row>
    <row r="460" spans="1:10" x14ac:dyDescent="0.25">
      <c r="A460" t="s">
        <v>173</v>
      </c>
      <c r="B460" t="s">
        <v>113</v>
      </c>
      <c r="C460" s="1">
        <f>'Price List'!C460+'Cost Source'!G460+'Cost Source'!O460</f>
        <v>92.765600000000006</v>
      </c>
      <c r="D460" s="226">
        <f t="shared" si="34"/>
        <v>92.99</v>
      </c>
      <c r="E460" s="1"/>
      <c r="F460" s="245"/>
      <c r="G460" s="1">
        <f>'Price List'!C460+'Cost Source'!N460</f>
        <v>78.765600000000006</v>
      </c>
      <c r="H460" s="257">
        <f t="shared" si="33"/>
        <v>78.989999999999995</v>
      </c>
      <c r="I460" s="272">
        <f>'Cost Source'!P460</f>
        <v>-20</v>
      </c>
      <c r="J460" s="289">
        <v>20</v>
      </c>
    </row>
    <row r="461" spans="1:10" x14ac:dyDescent="0.25">
      <c r="A461" s="30" t="s">
        <v>173</v>
      </c>
      <c r="B461" s="30" t="s">
        <v>114</v>
      </c>
      <c r="C461" s="32">
        <f>'Price List'!C461+'Cost Source'!G461+'Cost Source'!O461</f>
        <v>50.896799999999999</v>
      </c>
      <c r="D461" s="224">
        <f t="shared" si="34"/>
        <v>50.99</v>
      </c>
      <c r="E461" s="32"/>
      <c r="F461" s="244"/>
      <c r="G461" s="32">
        <f>'Price List'!C461+'Cost Source'!N461</f>
        <v>29.896800000000002</v>
      </c>
      <c r="H461" s="262">
        <f t="shared" si="33"/>
        <v>29.99</v>
      </c>
      <c r="I461" s="272">
        <f>'Cost Source'!P461</f>
        <v>-5</v>
      </c>
      <c r="J461" s="290">
        <v>20</v>
      </c>
    </row>
    <row r="462" spans="1:10" x14ac:dyDescent="0.25">
      <c r="A462" s="156" t="s">
        <v>173</v>
      </c>
      <c r="B462" s="26" t="s">
        <v>852</v>
      </c>
      <c r="C462" s="1">
        <f>'Price List'!C462+'Cost Source'!G462+'Cost Source'!O462</f>
        <v>48.023200000000003</v>
      </c>
      <c r="D462" s="234">
        <f t="shared" si="34"/>
        <v>48.99</v>
      </c>
      <c r="E462" s="1"/>
      <c r="F462" s="245"/>
      <c r="G462" s="1">
        <f>'Price List'!C462+'Cost Source'!N462</f>
        <v>27.023199999999999</v>
      </c>
      <c r="H462" s="261">
        <f t="shared" si="33"/>
        <v>27.99</v>
      </c>
      <c r="I462" s="272">
        <f>'Cost Source'!P462</f>
        <v>-5</v>
      </c>
      <c r="J462" s="289">
        <v>20</v>
      </c>
    </row>
    <row r="463" spans="1:10" x14ac:dyDescent="0.25">
      <c r="A463" s="147" t="s">
        <v>173</v>
      </c>
      <c r="B463" s="147" t="s">
        <v>115</v>
      </c>
      <c r="C463" s="144">
        <f>'Price List'!C463+'Cost Source'!G463+'Cost Source'!O463</f>
        <v>60.682400000000001</v>
      </c>
      <c r="D463" s="230">
        <f t="shared" si="34"/>
        <v>60.99</v>
      </c>
      <c r="E463" s="144"/>
      <c r="F463" s="244"/>
      <c r="G463" s="144">
        <f>'Price List'!C463+'Cost Source'!N463</f>
        <v>41.682400000000001</v>
      </c>
      <c r="H463" s="259">
        <f t="shared" si="33"/>
        <v>41.99</v>
      </c>
      <c r="I463" s="272">
        <f>'Cost Source'!P463</f>
        <v>-10</v>
      </c>
      <c r="J463" s="290">
        <v>20</v>
      </c>
    </row>
    <row r="464" spans="1:10" x14ac:dyDescent="0.25">
      <c r="A464" s="36" t="s">
        <v>173</v>
      </c>
      <c r="B464" s="36" t="s">
        <v>116</v>
      </c>
      <c r="C464" s="35">
        <f>'Price List'!C464+'Cost Source'!G464+'Cost Source'!O464</f>
        <v>102.0288</v>
      </c>
      <c r="D464" s="225">
        <f t="shared" si="34"/>
        <v>102.99</v>
      </c>
      <c r="E464" s="35">
        <f>'Price List'!C464+'Cost Source'!T464</f>
        <v>27.028800000000004</v>
      </c>
      <c r="F464" s="245">
        <f t="shared" si="32"/>
        <v>27.99</v>
      </c>
      <c r="G464" s="35">
        <f>'Price List'!C464+'Cost Source'!N464</f>
        <v>86.028800000000004</v>
      </c>
      <c r="H464" s="263">
        <f t="shared" si="33"/>
        <v>86.99</v>
      </c>
      <c r="I464" s="272">
        <f>'Cost Source'!P464</f>
        <v>-10</v>
      </c>
      <c r="J464" s="289">
        <v>20</v>
      </c>
    </row>
    <row r="465" spans="1:10" x14ac:dyDescent="0.25">
      <c r="A465" t="s">
        <v>173</v>
      </c>
      <c r="B465" t="s">
        <v>117</v>
      </c>
      <c r="C465" s="1">
        <f>'Price List'!C465+'Cost Source'!G465+'Cost Source'!O465</f>
        <v>57.392800000000008</v>
      </c>
      <c r="D465" s="226">
        <f t="shared" si="34"/>
        <v>57.99</v>
      </c>
      <c r="E465" s="1"/>
      <c r="F465" s="241"/>
      <c r="G465" s="1">
        <f>'Price List'!C465+'Cost Source'!N465</f>
        <v>37.392800000000008</v>
      </c>
      <c r="H465" s="257">
        <f t="shared" si="33"/>
        <v>37.99</v>
      </c>
      <c r="I465" s="272">
        <f>'Cost Source'!P465</f>
        <v>-5</v>
      </c>
      <c r="J465" s="290">
        <v>20</v>
      </c>
    </row>
    <row r="466" spans="1:10" x14ac:dyDescent="0.25">
      <c r="A466" s="140" t="s">
        <v>173</v>
      </c>
      <c r="B466" s="140" t="s">
        <v>622</v>
      </c>
      <c r="C466" s="146">
        <f>'Price List'!C466+'Cost Source'!G466+'Cost Source'!O466</f>
        <v>47.588000000000001</v>
      </c>
      <c r="D466" s="227">
        <f t="shared" si="34"/>
        <v>47.99</v>
      </c>
      <c r="E466" s="146"/>
      <c r="F466" s="242"/>
      <c r="G466" s="146">
        <f>'Price List'!C466+'Cost Source'!N466</f>
        <v>25.588000000000001</v>
      </c>
      <c r="H466" s="258">
        <f t="shared" si="33"/>
        <v>25.99</v>
      </c>
      <c r="I466" s="277">
        <f>'Cost Source'!P466</f>
        <v>0</v>
      </c>
      <c r="J466" s="289">
        <v>20</v>
      </c>
    </row>
    <row r="467" spans="1:10" x14ac:dyDescent="0.25">
      <c r="A467" s="30" t="s">
        <v>173</v>
      </c>
      <c r="B467" s="30" t="s">
        <v>118</v>
      </c>
      <c r="C467" s="32">
        <f>'Price List'!C467+'Cost Source'!G467+'Cost Source'!O467</f>
        <v>35.772800000000004</v>
      </c>
      <c r="D467" s="224">
        <f t="shared" si="34"/>
        <v>35.99</v>
      </c>
      <c r="E467" s="32"/>
      <c r="F467" s="239"/>
      <c r="G467" s="32">
        <f>'Price List'!C467+'Cost Source'!N467</f>
        <v>13.7728</v>
      </c>
      <c r="H467" s="262">
        <f t="shared" si="33"/>
        <v>13.99</v>
      </c>
      <c r="I467" s="272">
        <f>'Cost Source'!P467</f>
        <v>-5</v>
      </c>
      <c r="J467" s="290">
        <v>20</v>
      </c>
    </row>
    <row r="468" spans="1:10" x14ac:dyDescent="0.25">
      <c r="A468" s="140" t="s">
        <v>173</v>
      </c>
      <c r="B468" s="140" t="s">
        <v>1130</v>
      </c>
      <c r="C468" s="146">
        <f>'Price List'!C468+'Cost Source'!G468+'Cost Source'!O468</f>
        <v>53.697600000000001</v>
      </c>
      <c r="D468" s="224">
        <f t="shared" si="34"/>
        <v>53.99</v>
      </c>
      <c r="E468" s="146"/>
      <c r="F468" s="242"/>
      <c r="G468" s="146">
        <f>'Price List'!C468+'Cost Source'!N468</f>
        <v>27.697600000000001</v>
      </c>
      <c r="H468" s="262">
        <f t="shared" si="33"/>
        <v>27.99</v>
      </c>
      <c r="I468" s="275">
        <v>-5</v>
      </c>
      <c r="J468" s="289">
        <v>20</v>
      </c>
    </row>
    <row r="469" spans="1:10" x14ac:dyDescent="0.25">
      <c r="A469" s="140" t="s">
        <v>173</v>
      </c>
      <c r="B469" s="140" t="s">
        <v>1289</v>
      </c>
      <c r="C469" s="146"/>
      <c r="D469" s="227"/>
      <c r="E469" s="146"/>
      <c r="F469" s="242"/>
      <c r="G469" s="146"/>
      <c r="H469" s="258"/>
      <c r="I469" s="275"/>
      <c r="J469" s="289"/>
    </row>
    <row r="470" spans="1:10" x14ac:dyDescent="0.25">
      <c r="A470" s="147" t="s">
        <v>173</v>
      </c>
      <c r="B470" s="147" t="s">
        <v>119</v>
      </c>
      <c r="C470" s="144">
        <f>'Price List'!C470+'Cost Source'!G470+'Cost Source'!O470</f>
        <v>84.304000000000002</v>
      </c>
      <c r="D470" s="230">
        <f t="shared" si="34"/>
        <v>84.99</v>
      </c>
      <c r="E470" s="144"/>
      <c r="F470" s="245"/>
      <c r="G470" s="144">
        <f>'Price List'!C470+'Cost Source'!N470</f>
        <v>69.304000000000002</v>
      </c>
      <c r="H470" s="259">
        <f t="shared" si="33"/>
        <v>69.989999999999995</v>
      </c>
      <c r="I470" s="272">
        <f>'Cost Source'!P470</f>
        <v>-10</v>
      </c>
      <c r="J470" s="290">
        <v>20</v>
      </c>
    </row>
    <row r="471" spans="1:10" x14ac:dyDescent="0.25">
      <c r="A471" s="26" t="s">
        <v>173</v>
      </c>
      <c r="B471" s="26" t="s">
        <v>916</v>
      </c>
      <c r="C471" s="27">
        <f>'Price List'!C471+'Cost Source'!G471+'Cost Source'!O471</f>
        <v>60.781599999999997</v>
      </c>
      <c r="D471" s="229">
        <f t="shared" si="34"/>
        <v>60.99</v>
      </c>
      <c r="E471" s="27"/>
      <c r="F471" s="244"/>
      <c r="G471" s="27">
        <f>'Price List'!C471+'Cost Source'!N471</f>
        <v>40.781599999999997</v>
      </c>
      <c r="H471" s="260">
        <f t="shared" si="33"/>
        <v>40.99</v>
      </c>
      <c r="I471" s="277">
        <f>'Cost Source'!P471</f>
        <v>0</v>
      </c>
      <c r="J471" s="290">
        <v>20</v>
      </c>
    </row>
    <row r="472" spans="1:10" x14ac:dyDescent="0.25">
      <c r="A472" s="36" t="s">
        <v>173</v>
      </c>
      <c r="B472" s="36" t="s">
        <v>120</v>
      </c>
      <c r="C472" s="35">
        <f>'Price List'!C472+'Cost Source'!G472+'Cost Source'!O472</f>
        <v>61.431200000000004</v>
      </c>
      <c r="D472" s="225">
        <f t="shared" si="34"/>
        <v>61.99</v>
      </c>
      <c r="E472" s="35"/>
      <c r="F472" s="240"/>
      <c r="G472" s="35">
        <f>'Price List'!C472+'Cost Source'!N472</f>
        <v>42.431200000000004</v>
      </c>
      <c r="H472" s="263">
        <f t="shared" si="33"/>
        <v>42.99</v>
      </c>
      <c r="I472" s="272">
        <f>'Cost Source'!P472</f>
        <v>-5</v>
      </c>
      <c r="J472" s="289">
        <v>20</v>
      </c>
    </row>
    <row r="473" spans="1:10" x14ac:dyDescent="0.25">
      <c r="A473" t="s">
        <v>173</v>
      </c>
      <c r="B473" t="s">
        <v>121</v>
      </c>
      <c r="C473" s="1">
        <f>'Price List'!C473+'Cost Source'!G473+'Cost Source'!O473</f>
        <v>38.816000000000003</v>
      </c>
      <c r="D473" s="226">
        <f t="shared" si="34"/>
        <v>38.99</v>
      </c>
      <c r="E473" s="1"/>
      <c r="F473" s="241"/>
      <c r="G473" s="1">
        <f>'Price List'!C473+'Cost Source'!N473</f>
        <v>16.816000000000003</v>
      </c>
      <c r="H473" s="257">
        <f t="shared" si="33"/>
        <v>16.989999999999998</v>
      </c>
      <c r="I473" s="277">
        <f>'Cost Source'!P473</f>
        <v>0</v>
      </c>
      <c r="J473" s="290">
        <v>20</v>
      </c>
    </row>
    <row r="474" spans="1:10" x14ac:dyDescent="0.25">
      <c r="A474" s="30" t="s">
        <v>173</v>
      </c>
      <c r="B474" s="30" t="s">
        <v>122</v>
      </c>
      <c r="C474" s="32">
        <f>'Price List'!C474+'Cost Source'!G474+'Cost Source'!O474</f>
        <v>42.387999999999998</v>
      </c>
      <c r="D474" s="224">
        <f t="shared" si="34"/>
        <v>42.99</v>
      </c>
      <c r="E474" s="32"/>
      <c r="F474" s="239"/>
      <c r="G474" s="32">
        <f>'Price List'!C474+'Cost Source'!N474</f>
        <v>20.387999999999998</v>
      </c>
      <c r="H474" s="262">
        <f t="shared" si="33"/>
        <v>20.99</v>
      </c>
      <c r="I474" s="277">
        <f>'Cost Source'!P474</f>
        <v>0</v>
      </c>
      <c r="J474" s="289">
        <v>20</v>
      </c>
    </row>
    <row r="475" spans="1:10" x14ac:dyDescent="0.25">
      <c r="A475" s="26" t="s">
        <v>173</v>
      </c>
      <c r="B475" s="26" t="s">
        <v>123</v>
      </c>
      <c r="C475" s="27">
        <f>'Price List'!C475+'Cost Source'!G475+'Cost Source'!O475</f>
        <v>48.244</v>
      </c>
      <c r="D475" s="229">
        <f t="shared" si="34"/>
        <v>48.99</v>
      </c>
      <c r="E475" s="27">
        <f>'Price List'!C475+'Cost Source'!T475</f>
        <v>8.2440000000000033</v>
      </c>
      <c r="F475" s="240">
        <f t="shared" ref="F475:F502" si="35">ROUNDUP(E475,0)-0.01</f>
        <v>8.99</v>
      </c>
      <c r="G475" s="27">
        <f>'Price List'!C475+'Cost Source'!N475</f>
        <v>26.244000000000003</v>
      </c>
      <c r="H475" s="260">
        <f t="shared" si="33"/>
        <v>26.99</v>
      </c>
      <c r="I475" s="272">
        <f>'Cost Source'!P475</f>
        <v>-5</v>
      </c>
      <c r="J475" s="290">
        <v>20</v>
      </c>
    </row>
    <row r="476" spans="1:10" x14ac:dyDescent="0.25">
      <c r="A476" s="36" t="s">
        <v>173</v>
      </c>
      <c r="B476" s="36" t="s">
        <v>124</v>
      </c>
      <c r="C476" s="35">
        <f>'Price List'!C476+'Cost Source'!G476+'Cost Source'!O476</f>
        <v>36.345599999999997</v>
      </c>
      <c r="D476" s="225">
        <f t="shared" si="34"/>
        <v>36.99</v>
      </c>
      <c r="E476" s="35">
        <f>'Price List'!C476+'Cost Source'!T476</f>
        <v>16.345599999999997</v>
      </c>
      <c r="F476" s="240">
        <f t="shared" si="35"/>
        <v>16.989999999999998</v>
      </c>
      <c r="G476" s="35">
        <f>'Price List'!C476+'Cost Source'!N476</f>
        <v>14.345599999999999</v>
      </c>
      <c r="H476" s="263">
        <f t="shared" si="33"/>
        <v>14.99</v>
      </c>
      <c r="I476" s="277">
        <f>'Cost Source'!P476</f>
        <v>0</v>
      </c>
      <c r="J476" s="289">
        <v>20</v>
      </c>
    </row>
    <row r="477" spans="1:10" x14ac:dyDescent="0.25">
      <c r="A477" t="s">
        <v>173</v>
      </c>
      <c r="B477" t="s">
        <v>125</v>
      </c>
      <c r="C477" s="1">
        <f>'Price List'!C477+'Cost Source'!G477+'Cost Source'!O477</f>
        <v>40.934400000000004</v>
      </c>
      <c r="D477" s="226">
        <f t="shared" si="34"/>
        <v>40.99</v>
      </c>
      <c r="E477" s="1"/>
      <c r="F477" s="241"/>
      <c r="G477" s="1">
        <f>'Price List'!C477+'Cost Source'!N477</f>
        <v>18.934400000000004</v>
      </c>
      <c r="H477" s="257">
        <f t="shared" si="33"/>
        <v>18.989999999999998</v>
      </c>
      <c r="I477" s="277">
        <f>'Cost Source'!P477</f>
        <v>0</v>
      </c>
      <c r="J477" s="290">
        <v>20</v>
      </c>
    </row>
    <row r="478" spans="1:10" x14ac:dyDescent="0.25">
      <c r="A478" s="30" t="s">
        <v>173</v>
      </c>
      <c r="B478" s="30" t="s">
        <v>126</v>
      </c>
      <c r="C478" s="32">
        <f>'Price List'!C478+'Cost Source'!G478+'Cost Source'!O478</f>
        <v>36.72</v>
      </c>
      <c r="D478" s="224">
        <f t="shared" si="34"/>
        <v>36.99</v>
      </c>
      <c r="E478" s="32"/>
      <c r="F478" s="239"/>
      <c r="G478" s="32">
        <f>'Price List'!C478+'Cost Source'!N478</f>
        <v>14.72</v>
      </c>
      <c r="H478" s="262">
        <f t="shared" si="33"/>
        <v>14.99</v>
      </c>
      <c r="I478" s="272">
        <f>'Cost Source'!P478</f>
        <v>-5</v>
      </c>
      <c r="J478" s="289">
        <v>20</v>
      </c>
    </row>
    <row r="479" spans="1:10" x14ac:dyDescent="0.25">
      <c r="A479" s="26" t="s">
        <v>173</v>
      </c>
      <c r="B479" s="26" t="s">
        <v>127</v>
      </c>
      <c r="C479" s="27">
        <f>'Price List'!C479+'Cost Source'!G479+'Cost Source'!O479</f>
        <v>39.434400000000004</v>
      </c>
      <c r="D479" s="229">
        <f t="shared" si="34"/>
        <v>39.99</v>
      </c>
      <c r="E479" s="27"/>
      <c r="F479" s="244"/>
      <c r="G479" s="27">
        <f>'Price List'!C479+'Cost Source'!N479</f>
        <v>17.434400000000004</v>
      </c>
      <c r="H479" s="260">
        <f t="shared" si="33"/>
        <v>17.989999999999998</v>
      </c>
      <c r="I479" s="277">
        <f>'Cost Source'!P479</f>
        <v>0</v>
      </c>
      <c r="J479" s="290">
        <v>20</v>
      </c>
    </row>
    <row r="480" spans="1:10" x14ac:dyDescent="0.25">
      <c r="A480" s="36" t="s">
        <v>173</v>
      </c>
      <c r="B480" s="36" t="s">
        <v>128</v>
      </c>
      <c r="C480" s="35">
        <f>'Price List'!C480+'Cost Source'!G480+'Cost Source'!O480</f>
        <v>41.389600000000002</v>
      </c>
      <c r="D480" s="225">
        <f t="shared" si="34"/>
        <v>41.99</v>
      </c>
      <c r="E480" s="35"/>
      <c r="F480" s="240"/>
      <c r="G480" s="35">
        <f>'Price List'!C480+'Cost Source'!N480</f>
        <v>19.389600000000002</v>
      </c>
      <c r="H480" s="263">
        <f t="shared" si="33"/>
        <v>19.989999999999998</v>
      </c>
      <c r="I480" s="277">
        <f>'Cost Source'!P480</f>
        <v>0</v>
      </c>
      <c r="J480" s="289">
        <v>20</v>
      </c>
    </row>
    <row r="481" spans="1:10" x14ac:dyDescent="0.25">
      <c r="A481" t="s">
        <v>173</v>
      </c>
      <c r="B481" t="s">
        <v>129</v>
      </c>
      <c r="C481" s="1">
        <f>'Price List'!C481+'Cost Source'!G481+'Cost Source'!O481</f>
        <v>37.017600000000002</v>
      </c>
      <c r="D481" s="226">
        <f t="shared" si="34"/>
        <v>37.99</v>
      </c>
      <c r="E481" s="1"/>
      <c r="F481" s="241"/>
      <c r="G481" s="1">
        <f>'Price List'!C481+'Cost Source'!N481</f>
        <v>15.0176</v>
      </c>
      <c r="H481" s="257">
        <f t="shared" si="33"/>
        <v>15.99</v>
      </c>
      <c r="I481" s="277">
        <f>'Cost Source'!P481</f>
        <v>0</v>
      </c>
      <c r="J481" s="290">
        <v>20</v>
      </c>
    </row>
    <row r="482" spans="1:10" x14ac:dyDescent="0.25">
      <c r="A482" s="30" t="s">
        <v>173</v>
      </c>
      <c r="B482" s="37" t="s">
        <v>130</v>
      </c>
      <c r="C482" s="38">
        <f>'Price List'!C482+'Cost Source'!G482+'Cost Source'!O482</f>
        <v>54.495199999999997</v>
      </c>
      <c r="D482" s="224">
        <f t="shared" si="34"/>
        <v>54.99</v>
      </c>
      <c r="E482" s="32">
        <f>'Price List'!C482+'Cost Source'!T482</f>
        <v>19.495200000000001</v>
      </c>
      <c r="F482" s="239">
        <f t="shared" si="35"/>
        <v>19.989999999999998</v>
      </c>
      <c r="G482" s="32">
        <f>'Price List'!C482+'Cost Source'!N482</f>
        <v>32.495199999999997</v>
      </c>
      <c r="H482" s="262">
        <f t="shared" si="33"/>
        <v>32.99</v>
      </c>
      <c r="I482" s="272">
        <f>'Cost Source'!P482</f>
        <v>-5</v>
      </c>
      <c r="J482" s="289">
        <v>20</v>
      </c>
    </row>
    <row r="483" spans="1:10" x14ac:dyDescent="0.25">
      <c r="A483" t="s">
        <v>173</v>
      </c>
      <c r="B483" s="25" t="s">
        <v>1220</v>
      </c>
      <c r="C483" s="27">
        <f>'Price List'!C483+'Cost Source'!G483+'Cost Source'!O483</f>
        <v>65.0488</v>
      </c>
      <c r="D483" s="234">
        <f t="shared" si="34"/>
        <v>65.989999999999995</v>
      </c>
      <c r="E483" s="1"/>
      <c r="F483" s="241"/>
      <c r="G483" s="27">
        <f>'Price List'!C483+'Cost Source'!N483</f>
        <v>45.0488</v>
      </c>
      <c r="H483" s="261">
        <f t="shared" si="33"/>
        <v>45.99</v>
      </c>
      <c r="I483" s="280">
        <f>'Cost Source'!P483</f>
        <v>-5</v>
      </c>
      <c r="J483" s="290">
        <v>20</v>
      </c>
    </row>
    <row r="484" spans="1:10" x14ac:dyDescent="0.25">
      <c r="A484" s="147" t="s">
        <v>173</v>
      </c>
      <c r="B484" s="147" t="s">
        <v>131</v>
      </c>
      <c r="C484" s="144">
        <f>'Price List'!C484+'Cost Source'!G484+'Cost Source'!O484</f>
        <v>44.896799999999999</v>
      </c>
      <c r="D484" s="230">
        <f t="shared" si="34"/>
        <v>44.99</v>
      </c>
      <c r="E484" s="144"/>
      <c r="F484" s="245"/>
      <c r="G484" s="144">
        <f>'Price List'!C484+'Cost Source'!N484</f>
        <v>22.896799999999999</v>
      </c>
      <c r="H484" s="259">
        <f t="shared" si="33"/>
        <v>22.99</v>
      </c>
      <c r="I484" s="275">
        <f>'Cost Source'!P484</f>
        <v>-5</v>
      </c>
      <c r="J484" s="290">
        <v>20</v>
      </c>
    </row>
    <row r="485" spans="1:10" x14ac:dyDescent="0.25">
      <c r="A485" s="36" t="s">
        <v>173</v>
      </c>
      <c r="B485" s="36" t="s">
        <v>132</v>
      </c>
      <c r="C485" s="35">
        <f>'Price List'!C485+'Cost Source'!G485+'Cost Source'!O485</f>
        <v>44.416800000000002</v>
      </c>
      <c r="D485" s="225">
        <f t="shared" si="34"/>
        <v>44.99</v>
      </c>
      <c r="E485" s="35"/>
      <c r="F485" s="240"/>
      <c r="G485" s="35">
        <f>'Price List'!C485+'Cost Source'!N485</f>
        <v>22.416800000000002</v>
      </c>
      <c r="H485" s="263">
        <f t="shared" si="33"/>
        <v>22.99</v>
      </c>
      <c r="I485" s="277">
        <f>'Cost Source'!P485</f>
        <v>0</v>
      </c>
      <c r="J485" s="289">
        <v>20</v>
      </c>
    </row>
    <row r="486" spans="1:10" x14ac:dyDescent="0.25">
      <c r="A486" t="s">
        <v>173</v>
      </c>
      <c r="B486" t="s">
        <v>133</v>
      </c>
      <c r="C486" s="1">
        <f>'Price List'!C486+'Cost Source'!G486+'Cost Source'!O486</f>
        <v>50.8904</v>
      </c>
      <c r="D486" s="226">
        <f t="shared" si="34"/>
        <v>50.99</v>
      </c>
      <c r="E486" s="1"/>
      <c r="F486" s="241"/>
      <c r="G486" s="1">
        <f>'Price List'!C486+'Cost Source'!N486</f>
        <v>29.8904</v>
      </c>
      <c r="H486" s="257">
        <f t="shared" si="33"/>
        <v>29.99</v>
      </c>
      <c r="I486" s="272">
        <f>'Cost Source'!P486</f>
        <v>-5</v>
      </c>
      <c r="J486" s="290">
        <v>20</v>
      </c>
    </row>
    <row r="487" spans="1:10" x14ac:dyDescent="0.25">
      <c r="A487" s="30" t="s">
        <v>173</v>
      </c>
      <c r="B487" s="156" t="s">
        <v>134</v>
      </c>
      <c r="C487" s="149">
        <f>'Price List'!C487+'Cost Source'!G487+'Cost Source'!O487</f>
        <v>47.908000000000001</v>
      </c>
      <c r="D487" s="234">
        <f t="shared" si="34"/>
        <v>47.99</v>
      </c>
      <c r="E487" s="149"/>
      <c r="F487" s="283"/>
      <c r="G487" s="149">
        <f>'Price List'!C487+'Cost Source'!N487</f>
        <v>26.908000000000001</v>
      </c>
      <c r="H487" s="261">
        <f t="shared" si="33"/>
        <v>26.99</v>
      </c>
      <c r="I487" s="280">
        <f>'Cost Source'!P487</f>
        <v>-5</v>
      </c>
      <c r="J487" s="289">
        <v>20</v>
      </c>
    </row>
    <row r="488" spans="1:10" x14ac:dyDescent="0.25">
      <c r="A488" s="30" t="s">
        <v>173</v>
      </c>
      <c r="B488" s="140" t="s">
        <v>1068</v>
      </c>
      <c r="C488" s="146">
        <f>'Price List'!C488+'Cost Source'!G488+'Cost Source'!O488</f>
        <v>36.96</v>
      </c>
      <c r="D488" s="234">
        <f t="shared" si="34"/>
        <v>36.99</v>
      </c>
      <c r="E488" s="146"/>
      <c r="F488" s="242"/>
      <c r="G488" s="146">
        <f>'Price List'!C488+'Cost Source'!N488</f>
        <v>13.96</v>
      </c>
      <c r="H488" s="261">
        <f t="shared" si="33"/>
        <v>13.99</v>
      </c>
      <c r="I488" s="275">
        <f>'Cost Source'!P488</f>
        <v>-5</v>
      </c>
      <c r="J488" s="290">
        <v>20</v>
      </c>
    </row>
    <row r="489" spans="1:10" x14ac:dyDescent="0.25">
      <c r="A489" s="26" t="s">
        <v>173</v>
      </c>
      <c r="B489" s="26" t="s">
        <v>135</v>
      </c>
      <c r="C489" s="27">
        <f>'Price List'!C489+'Cost Source'!G489+'Cost Source'!O489</f>
        <v>38.691200000000002</v>
      </c>
      <c r="D489" s="230">
        <f t="shared" si="34"/>
        <v>38.99</v>
      </c>
      <c r="E489" s="27"/>
      <c r="F489" s="244"/>
      <c r="G489" s="27">
        <f>'Price List'!C489+'Cost Source'!N489</f>
        <v>16.691200000000002</v>
      </c>
      <c r="H489" s="259">
        <f t="shared" si="33"/>
        <v>16.989999999999998</v>
      </c>
      <c r="I489" s="282">
        <f>'Cost Source'!P489</f>
        <v>0</v>
      </c>
      <c r="J489" s="292">
        <v>20</v>
      </c>
    </row>
    <row r="490" spans="1:10" x14ac:dyDescent="0.25">
      <c r="A490" s="36" t="s">
        <v>173</v>
      </c>
      <c r="B490" s="36" t="s">
        <v>136</v>
      </c>
      <c r="C490" s="35">
        <f>'Price List'!C490+'Cost Source'!G490+'Cost Source'!O490</f>
        <v>54.464799999999997</v>
      </c>
      <c r="D490" s="225">
        <f t="shared" si="34"/>
        <v>54.99</v>
      </c>
      <c r="E490" s="35"/>
      <c r="F490" s="240"/>
      <c r="G490" s="35">
        <f>'Price List'!C490+'Cost Source'!N490</f>
        <v>34.464799999999997</v>
      </c>
      <c r="H490" s="263">
        <f t="shared" si="33"/>
        <v>34.99</v>
      </c>
      <c r="I490" s="272">
        <f>'Cost Source'!P490</f>
        <v>-5</v>
      </c>
      <c r="J490" s="289">
        <v>20</v>
      </c>
    </row>
    <row r="491" spans="1:10" x14ac:dyDescent="0.25">
      <c r="A491" t="s">
        <v>173</v>
      </c>
      <c r="B491" t="s">
        <v>137</v>
      </c>
      <c r="C491" s="1">
        <f>'Price List'!C491+'Cost Source'!G491+'Cost Source'!O491</f>
        <v>52.6248</v>
      </c>
      <c r="D491" s="226">
        <f t="shared" si="34"/>
        <v>52.99</v>
      </c>
      <c r="E491" s="1"/>
      <c r="F491" s="241"/>
      <c r="G491" s="1">
        <f>'Price List'!C491+'Cost Source'!N491</f>
        <v>31.6248</v>
      </c>
      <c r="H491" s="257">
        <f t="shared" si="33"/>
        <v>31.99</v>
      </c>
      <c r="I491" s="272">
        <f>'Cost Source'!P491</f>
        <v>-5</v>
      </c>
      <c r="J491" s="290">
        <v>20</v>
      </c>
    </row>
    <row r="492" spans="1:10" x14ac:dyDescent="0.25">
      <c r="A492" s="30" t="s">
        <v>173</v>
      </c>
      <c r="B492" s="30" t="s">
        <v>138</v>
      </c>
      <c r="C492" s="32">
        <f>'Price List'!C492+'Cost Source'!G492+'Cost Source'!O492</f>
        <v>43.6616</v>
      </c>
      <c r="D492" s="224">
        <f t="shared" si="34"/>
        <v>43.99</v>
      </c>
      <c r="E492" s="32"/>
      <c r="F492" s="239"/>
      <c r="G492" s="32">
        <f>'Price List'!C492+'Cost Source'!N492</f>
        <v>21.6616</v>
      </c>
      <c r="H492" s="262">
        <f t="shared" si="33"/>
        <v>21.99</v>
      </c>
      <c r="I492" s="277">
        <f>'Cost Source'!P492</f>
        <v>0</v>
      </c>
      <c r="J492" s="289">
        <v>20</v>
      </c>
    </row>
    <row r="493" spans="1:10" x14ac:dyDescent="0.25">
      <c r="A493" s="26" t="s">
        <v>173</v>
      </c>
      <c r="B493" s="26" t="s">
        <v>139</v>
      </c>
      <c r="C493" s="27">
        <f>'Price List'!C493+'Cost Source'!G493+'Cost Source'!O493</f>
        <v>47.783200000000001</v>
      </c>
      <c r="D493" s="229">
        <f t="shared" si="34"/>
        <v>47.99</v>
      </c>
      <c r="E493" s="27"/>
      <c r="F493" s="244"/>
      <c r="G493" s="27">
        <f>'Price List'!C493+'Cost Source'!N493</f>
        <v>25.783200000000001</v>
      </c>
      <c r="H493" s="260">
        <f t="shared" si="33"/>
        <v>25.99</v>
      </c>
      <c r="I493" s="277">
        <f>'Cost Source'!P493</f>
        <v>0</v>
      </c>
      <c r="J493" s="290">
        <v>20</v>
      </c>
    </row>
    <row r="494" spans="1:10" x14ac:dyDescent="0.25">
      <c r="A494" s="36" t="s">
        <v>173</v>
      </c>
      <c r="B494" s="36" t="s">
        <v>140</v>
      </c>
      <c r="C494" s="35">
        <f>'Price List'!C494+'Cost Source'!G494+'Cost Source'!O494</f>
        <v>54.464799999999997</v>
      </c>
      <c r="D494" s="225">
        <f t="shared" si="34"/>
        <v>54.99</v>
      </c>
      <c r="E494" s="35"/>
      <c r="F494" s="240"/>
      <c r="G494" s="35">
        <f>'Price List'!C494+'Cost Source'!N494</f>
        <v>34.464799999999997</v>
      </c>
      <c r="H494" s="263">
        <f t="shared" si="33"/>
        <v>34.99</v>
      </c>
      <c r="I494" s="277">
        <f>'Cost Source'!P494</f>
        <v>0</v>
      </c>
      <c r="J494" s="289">
        <v>20</v>
      </c>
    </row>
    <row r="495" spans="1:10" x14ac:dyDescent="0.25">
      <c r="A495" t="s">
        <v>173</v>
      </c>
      <c r="B495" t="s">
        <v>141</v>
      </c>
      <c r="C495" s="1">
        <f>'Price List'!C495+'Cost Source'!G495+'Cost Source'!O495</f>
        <v>45.056800000000003</v>
      </c>
      <c r="D495" s="226">
        <f t="shared" si="34"/>
        <v>45.99</v>
      </c>
      <c r="E495" s="1"/>
      <c r="F495" s="241"/>
      <c r="G495" s="1">
        <f>'Price List'!C495+'Cost Source'!N495</f>
        <v>23.056800000000003</v>
      </c>
      <c r="H495" s="257">
        <f t="shared" si="33"/>
        <v>23.99</v>
      </c>
      <c r="I495" s="272">
        <f>'Cost Source'!P495</f>
        <v>-5</v>
      </c>
      <c r="J495" s="290">
        <v>20</v>
      </c>
    </row>
    <row r="496" spans="1:10" x14ac:dyDescent="0.25">
      <c r="A496" s="30" t="s">
        <v>173</v>
      </c>
      <c r="B496" s="30" t="s">
        <v>142</v>
      </c>
      <c r="C496" s="32">
        <f>'Price List'!C496+'Cost Source'!G496+'Cost Source'!O496</f>
        <v>75.047200000000004</v>
      </c>
      <c r="D496" s="224">
        <f t="shared" si="34"/>
        <v>75.989999999999995</v>
      </c>
      <c r="E496" s="32"/>
      <c r="F496" s="239"/>
      <c r="G496" s="32">
        <f>'Price List'!C496+'Cost Source'!N496</f>
        <v>58.047200000000004</v>
      </c>
      <c r="H496" s="262">
        <f t="shared" si="33"/>
        <v>58.99</v>
      </c>
      <c r="I496" s="277">
        <f>'Cost Source'!P496</f>
        <v>0</v>
      </c>
      <c r="J496" s="289">
        <v>20</v>
      </c>
    </row>
    <row r="497" spans="1:10" x14ac:dyDescent="0.25">
      <c r="A497" s="26" t="s">
        <v>173</v>
      </c>
      <c r="B497" s="26" t="s">
        <v>143</v>
      </c>
      <c r="C497" s="27">
        <f>'Price List'!C497+'Cost Source'!G497+'Cost Source'!O497</f>
        <v>37.235199999999999</v>
      </c>
      <c r="D497" s="229">
        <f t="shared" si="34"/>
        <v>37.99</v>
      </c>
      <c r="E497" s="27"/>
      <c r="F497" s="244"/>
      <c r="G497" s="27">
        <f>'Price List'!C497+'Cost Source'!N497</f>
        <v>15.235200000000001</v>
      </c>
      <c r="H497" s="260">
        <f t="shared" si="33"/>
        <v>15.99</v>
      </c>
      <c r="I497" s="277">
        <f>'Cost Source'!P497</f>
        <v>0</v>
      </c>
      <c r="J497" s="290">
        <v>20</v>
      </c>
    </row>
    <row r="498" spans="1:10" x14ac:dyDescent="0.25">
      <c r="A498" s="36" t="s">
        <v>173</v>
      </c>
      <c r="B498" s="36" t="s">
        <v>144</v>
      </c>
      <c r="C498" s="35">
        <f>'Price List'!C498+'Cost Source'!G498+'Cost Source'!O498</f>
        <v>40.5184</v>
      </c>
      <c r="D498" s="225">
        <f t="shared" si="34"/>
        <v>40.99</v>
      </c>
      <c r="E498" s="35"/>
      <c r="F498" s="240"/>
      <c r="G498" s="35">
        <f>'Price List'!C498+'Cost Source'!N498</f>
        <v>18.5184</v>
      </c>
      <c r="H498" s="263">
        <f t="shared" si="33"/>
        <v>18.989999999999998</v>
      </c>
      <c r="I498" s="272">
        <f>'Cost Source'!P498</f>
        <v>-5</v>
      </c>
      <c r="J498" s="289">
        <v>20</v>
      </c>
    </row>
    <row r="499" spans="1:10" x14ac:dyDescent="0.25">
      <c r="A499" t="s">
        <v>173</v>
      </c>
      <c r="B499" t="s">
        <v>145</v>
      </c>
      <c r="C499" s="1">
        <f>'Price List'!C499+'Cost Source'!G499+'Cost Source'!O499</f>
        <v>36.3904</v>
      </c>
      <c r="D499" s="226">
        <f t="shared" si="34"/>
        <v>36.99</v>
      </c>
      <c r="E499" s="1"/>
      <c r="F499" s="241"/>
      <c r="G499" s="1">
        <f>'Price List'!C499+'Cost Source'!N499</f>
        <v>14.3904</v>
      </c>
      <c r="H499" s="257">
        <f t="shared" si="33"/>
        <v>14.99</v>
      </c>
      <c r="I499" s="277">
        <f>'Cost Source'!P499</f>
        <v>0</v>
      </c>
      <c r="J499" s="290">
        <v>20</v>
      </c>
    </row>
    <row r="500" spans="1:10" x14ac:dyDescent="0.25">
      <c r="A500" s="30" t="s">
        <v>173</v>
      </c>
      <c r="B500" s="30" t="s">
        <v>146</v>
      </c>
      <c r="C500" s="32">
        <f>'Price List'!C500+'Cost Source'!G500+'Cost Source'!O500</f>
        <v>40.484000000000002</v>
      </c>
      <c r="D500" s="224">
        <f t="shared" si="34"/>
        <v>40.99</v>
      </c>
      <c r="E500" s="32"/>
      <c r="F500" s="239"/>
      <c r="G500" s="32">
        <f>'Price List'!C500+'Cost Source'!N500</f>
        <v>18.484000000000002</v>
      </c>
      <c r="H500" s="262">
        <f t="shared" si="33"/>
        <v>18.989999999999998</v>
      </c>
      <c r="I500" s="272">
        <f>'Cost Source'!P500</f>
        <v>-5</v>
      </c>
      <c r="J500" s="289">
        <v>20</v>
      </c>
    </row>
    <row r="501" spans="1:10" x14ac:dyDescent="0.25">
      <c r="A501" s="26" t="s">
        <v>173</v>
      </c>
      <c r="B501" s="26" t="s">
        <v>147</v>
      </c>
      <c r="C501" s="27">
        <f>'Price List'!C501+'Cost Source'!G501+'Cost Source'!O501</f>
        <v>47.882400000000004</v>
      </c>
      <c r="D501" s="229">
        <f t="shared" si="34"/>
        <v>47.99</v>
      </c>
      <c r="E501" s="27"/>
      <c r="F501" s="244"/>
      <c r="G501" s="27">
        <f>'Price List'!C501+'Cost Source'!N501</f>
        <v>25.882400000000001</v>
      </c>
      <c r="H501" s="260">
        <f t="shared" si="33"/>
        <v>25.99</v>
      </c>
      <c r="I501" s="272">
        <f>'Cost Source'!P501</f>
        <v>-5</v>
      </c>
      <c r="J501" s="290">
        <v>20</v>
      </c>
    </row>
    <row r="502" spans="1:10" x14ac:dyDescent="0.25">
      <c r="A502" s="36" t="s">
        <v>173</v>
      </c>
      <c r="B502" s="36" t="s">
        <v>148</v>
      </c>
      <c r="C502" s="35">
        <f>'Price List'!C502+'Cost Source'!G502+'Cost Source'!O502</f>
        <v>31.601599999999998</v>
      </c>
      <c r="D502" s="225">
        <f t="shared" si="34"/>
        <v>31.99</v>
      </c>
      <c r="E502" s="35">
        <f>'Price List'!C502+'Cost Source'!T502</f>
        <v>21.601599999999998</v>
      </c>
      <c r="F502" s="240">
        <f t="shared" si="35"/>
        <v>21.99</v>
      </c>
      <c r="G502" s="35">
        <f>'Price List'!C502+'Cost Source'!N502</f>
        <v>14.601599999999999</v>
      </c>
      <c r="H502" s="263">
        <f t="shared" si="33"/>
        <v>14.99</v>
      </c>
      <c r="I502" s="277">
        <f>'Cost Source'!P502</f>
        <v>0</v>
      </c>
      <c r="J502" s="289">
        <v>20</v>
      </c>
    </row>
    <row r="503" spans="1:10" x14ac:dyDescent="0.25">
      <c r="A503" t="s">
        <v>173</v>
      </c>
      <c r="B503" t="s">
        <v>149</v>
      </c>
      <c r="C503" s="1">
        <f>'Price List'!C503+'Cost Source'!G503+'Cost Source'!O503</f>
        <v>47.754400000000004</v>
      </c>
      <c r="D503" s="226">
        <f t="shared" si="34"/>
        <v>47.99</v>
      </c>
      <c r="E503" s="1"/>
      <c r="F503" s="241"/>
      <c r="G503" s="1">
        <f>'Price List'!C503+'Cost Source'!N503</f>
        <v>25.7544</v>
      </c>
      <c r="H503" s="257">
        <f t="shared" si="33"/>
        <v>25.99</v>
      </c>
      <c r="I503" s="272">
        <f>'Cost Source'!P503</f>
        <v>-5</v>
      </c>
      <c r="J503" s="290">
        <v>20</v>
      </c>
    </row>
    <row r="504" spans="1:10" x14ac:dyDescent="0.25">
      <c r="A504" s="30" t="s">
        <v>173</v>
      </c>
      <c r="B504" s="30" t="s">
        <v>150</v>
      </c>
      <c r="C504" s="32">
        <f>'Price List'!C504+'Cost Source'!G504+'Cost Source'!O504</f>
        <v>46.893599999999999</v>
      </c>
      <c r="D504" s="224">
        <f t="shared" si="34"/>
        <v>46.99</v>
      </c>
      <c r="E504" s="32"/>
      <c r="F504" s="239"/>
      <c r="G504" s="32">
        <f>'Price List'!C504+'Cost Source'!N504</f>
        <v>24.893599999999999</v>
      </c>
      <c r="H504" s="262">
        <f t="shared" si="33"/>
        <v>24.99</v>
      </c>
      <c r="I504" s="272">
        <f>'Cost Source'!P504</f>
        <v>-5</v>
      </c>
      <c r="J504" s="289">
        <v>20</v>
      </c>
    </row>
    <row r="505" spans="1:10" x14ac:dyDescent="0.25">
      <c r="A505" s="26" t="s">
        <v>173</v>
      </c>
      <c r="B505" s="26" t="s">
        <v>151</v>
      </c>
      <c r="C505" s="27">
        <f>'Price List'!C505+'Cost Source'!G505+'Cost Source'!O505</f>
        <v>50.596000000000004</v>
      </c>
      <c r="D505" s="229">
        <f t="shared" si="34"/>
        <v>50.99</v>
      </c>
      <c r="E505" s="27"/>
      <c r="F505" s="244"/>
      <c r="G505" s="27">
        <f>'Price List'!C505+'Cost Source'!N505</f>
        <v>29.596</v>
      </c>
      <c r="H505" s="260">
        <f t="shared" si="33"/>
        <v>29.99</v>
      </c>
      <c r="I505" s="277">
        <f>'Cost Source'!P505</f>
        <v>0</v>
      </c>
      <c r="J505" s="290">
        <v>20</v>
      </c>
    </row>
    <row r="506" spans="1:10" x14ac:dyDescent="0.25">
      <c r="A506" s="36" t="s">
        <v>173</v>
      </c>
      <c r="B506" s="36" t="s">
        <v>152</v>
      </c>
      <c r="C506" s="35">
        <f>'Price List'!C506+'Cost Source'!G506+'Cost Source'!O506</f>
        <v>39.879199999999997</v>
      </c>
      <c r="D506" s="225">
        <f t="shared" si="34"/>
        <v>39.99</v>
      </c>
      <c r="E506" s="35">
        <f>'Price List'!C506+'Cost Source'!T506</f>
        <v>29.879200000000001</v>
      </c>
      <c r="F506" s="240">
        <f t="shared" ref="F506:F513" si="36">ROUNDUP(E506,0)-0.01</f>
        <v>29.99</v>
      </c>
      <c r="G506" s="35">
        <f>'Price List'!C506+'Cost Source'!N506</f>
        <v>28.879200000000001</v>
      </c>
      <c r="H506" s="263">
        <f t="shared" si="33"/>
        <v>28.99</v>
      </c>
      <c r="I506" s="277">
        <f>'Cost Source'!P506</f>
        <v>0</v>
      </c>
      <c r="J506" s="289">
        <v>20</v>
      </c>
    </row>
    <row r="507" spans="1:10" x14ac:dyDescent="0.25">
      <c r="A507" t="s">
        <v>173</v>
      </c>
      <c r="B507" t="s">
        <v>153</v>
      </c>
      <c r="C507" s="1">
        <f>'Price List'!C507+'Cost Source'!G507+'Cost Source'!O507</f>
        <v>36.925600000000003</v>
      </c>
      <c r="D507" s="226">
        <f t="shared" si="34"/>
        <v>36.99</v>
      </c>
      <c r="E507" s="1"/>
      <c r="F507" s="241"/>
      <c r="G507" s="1">
        <f>'Price List'!C507+'Cost Source'!N507</f>
        <v>14.925599999999999</v>
      </c>
      <c r="H507" s="257">
        <f t="shared" si="33"/>
        <v>14.99</v>
      </c>
      <c r="I507" s="277">
        <f>'Cost Source'!P507</f>
        <v>0</v>
      </c>
      <c r="J507" s="290">
        <v>20</v>
      </c>
    </row>
    <row r="508" spans="1:10" x14ac:dyDescent="0.25">
      <c r="A508" s="30" t="s">
        <v>173</v>
      </c>
      <c r="B508" s="30" t="s">
        <v>154</v>
      </c>
      <c r="C508" s="32">
        <f>'Price List'!C508+'Cost Source'!G508+'Cost Source'!O508</f>
        <v>54.666399999999996</v>
      </c>
      <c r="D508" s="224">
        <f t="shared" si="34"/>
        <v>54.99</v>
      </c>
      <c r="E508" s="32">
        <f>'Price List'!C508+'Cost Source'!T508</f>
        <v>17.666399999999996</v>
      </c>
      <c r="F508" s="239">
        <f t="shared" si="36"/>
        <v>17.989999999999998</v>
      </c>
      <c r="G508" s="32">
        <f>'Price List'!C508+'Cost Source'!N508</f>
        <v>43.666399999999996</v>
      </c>
      <c r="H508" s="262">
        <f t="shared" si="33"/>
        <v>43.99</v>
      </c>
      <c r="I508" s="272">
        <f>'Cost Source'!P508</f>
        <v>-10</v>
      </c>
      <c r="J508" s="289">
        <v>20</v>
      </c>
    </row>
    <row r="509" spans="1:10" x14ac:dyDescent="0.25">
      <c r="A509" s="26" t="s">
        <v>173</v>
      </c>
      <c r="B509" s="26" t="s">
        <v>155</v>
      </c>
      <c r="C509" s="27">
        <f>'Price List'!C509+'Cost Source'!G509+'Cost Source'!O509</f>
        <v>69.152800000000013</v>
      </c>
      <c r="D509" s="229">
        <f t="shared" si="34"/>
        <v>69.989999999999995</v>
      </c>
      <c r="E509" s="27"/>
      <c r="F509" s="244"/>
      <c r="G509" s="27">
        <f>'Price List'!C509+'Cost Source'!N509</f>
        <v>51.152800000000006</v>
      </c>
      <c r="H509" s="260">
        <f t="shared" si="33"/>
        <v>51.99</v>
      </c>
      <c r="I509" s="272">
        <f>'Cost Source'!P509</f>
        <v>-15</v>
      </c>
      <c r="J509" s="290">
        <v>20</v>
      </c>
    </row>
    <row r="510" spans="1:10" x14ac:dyDescent="0.25">
      <c r="A510" s="36" t="s">
        <v>173</v>
      </c>
      <c r="B510" s="36" t="s">
        <v>156</v>
      </c>
      <c r="C510" s="35">
        <f>'Price List'!C510+'Cost Source'!G510+'Cost Source'!O510</f>
        <v>70.5</v>
      </c>
      <c r="D510" s="225">
        <f t="shared" si="34"/>
        <v>70.989999999999995</v>
      </c>
      <c r="E510" s="35">
        <f>'Price List'!C510+'Cost Source'!T510</f>
        <v>30.5</v>
      </c>
      <c r="F510" s="240">
        <f t="shared" si="36"/>
        <v>30.99</v>
      </c>
      <c r="G510" s="35">
        <f>'Price List'!C510+'Cost Source'!N510</f>
        <v>64.5</v>
      </c>
      <c r="H510" s="263">
        <f t="shared" si="33"/>
        <v>64.989999999999995</v>
      </c>
      <c r="I510" s="277">
        <f>'Cost Source'!P510</f>
        <v>0</v>
      </c>
      <c r="J510" s="289">
        <v>20</v>
      </c>
    </row>
    <row r="511" spans="1:10" x14ac:dyDescent="0.25">
      <c r="A511" t="s">
        <v>173</v>
      </c>
      <c r="B511" t="s">
        <v>157</v>
      </c>
      <c r="C511" s="1">
        <f>'Price List'!C511+'Cost Source'!G511+'Cost Source'!O511</f>
        <v>73.108000000000004</v>
      </c>
      <c r="D511" s="226">
        <f t="shared" si="34"/>
        <v>73.989999999999995</v>
      </c>
      <c r="E511" s="1">
        <f>'Price List'!C511+'Cost Source'!T511</f>
        <v>28.108000000000004</v>
      </c>
      <c r="F511" s="241">
        <f t="shared" si="36"/>
        <v>28.99</v>
      </c>
      <c r="G511" s="1">
        <f>'Price List'!C511+'Cost Source'!N511</f>
        <v>65.108000000000004</v>
      </c>
      <c r="H511" s="257">
        <f t="shared" si="33"/>
        <v>65.989999999999995</v>
      </c>
      <c r="I511" s="272">
        <f>'Cost Source'!P511</f>
        <v>-10</v>
      </c>
      <c r="J511" s="290">
        <v>20</v>
      </c>
    </row>
    <row r="512" spans="1:10" x14ac:dyDescent="0.25">
      <c r="A512" s="30" t="s">
        <v>173</v>
      </c>
      <c r="B512" s="30" t="s">
        <v>158</v>
      </c>
      <c r="C512" s="32">
        <f>'Price List'!C512+'Cost Source'!G512+'Cost Source'!O512</f>
        <v>49.9208</v>
      </c>
      <c r="D512" s="224">
        <f t="shared" si="34"/>
        <v>49.99</v>
      </c>
      <c r="E512" s="32">
        <f>'Price List'!C512+'Cost Source'!T512</f>
        <v>19.9208</v>
      </c>
      <c r="F512" s="239">
        <f t="shared" si="36"/>
        <v>19.989999999999998</v>
      </c>
      <c r="G512" s="32">
        <f>'Price List'!C512+'Cost Source'!N512</f>
        <v>37.9208</v>
      </c>
      <c r="H512" s="262">
        <f t="shared" si="33"/>
        <v>37.99</v>
      </c>
      <c r="I512" s="277">
        <f>'Cost Source'!P512</f>
        <v>0</v>
      </c>
      <c r="J512" s="289">
        <v>20</v>
      </c>
    </row>
    <row r="513" spans="1:10" x14ac:dyDescent="0.25">
      <c r="A513" s="26" t="s">
        <v>173</v>
      </c>
      <c r="B513" s="26" t="s">
        <v>548</v>
      </c>
      <c r="C513" s="27">
        <f>'Price List'!C513+'Cost Source'!E513+'Cost Source'!O513</f>
        <v>86.172799999999995</v>
      </c>
      <c r="D513" s="224">
        <f t="shared" si="34"/>
        <v>86.99</v>
      </c>
      <c r="E513" s="27">
        <f>'Price List'!C513+'Cost Source'!R513</f>
        <v>71.172799999999995</v>
      </c>
      <c r="F513" s="239">
        <f t="shared" si="36"/>
        <v>71.989999999999995</v>
      </c>
      <c r="G513" s="32">
        <f>'Price List'!C513+'Cost Source'!N513</f>
        <v>69.172799999999995</v>
      </c>
      <c r="H513" s="262">
        <f t="shared" si="33"/>
        <v>69.989999999999995</v>
      </c>
      <c r="I513" s="277">
        <f>'Cost Source'!P513</f>
        <v>0</v>
      </c>
      <c r="J513" s="290">
        <v>20</v>
      </c>
    </row>
    <row r="514" spans="1:10" x14ac:dyDescent="0.25">
      <c r="A514" s="36" t="s">
        <v>173</v>
      </c>
      <c r="B514" s="36" t="s">
        <v>159</v>
      </c>
      <c r="C514" s="35">
        <f>'Price List'!C514+'Cost Source'!M514+'Cost Source'!O514</f>
        <v>141.8032</v>
      </c>
      <c r="D514" s="225">
        <f t="shared" si="34"/>
        <v>141.99</v>
      </c>
      <c r="E514" s="35">
        <f>'Price List'!C514+'Cost Source'!M514</f>
        <v>121.8032</v>
      </c>
      <c r="F514" s="240">
        <f>ROUNDUP(E514,0)-0.01</f>
        <v>121.99</v>
      </c>
      <c r="G514" s="35">
        <f>'Price List'!C514+'Cost Source'!N514</f>
        <v>100.8032</v>
      </c>
      <c r="H514" s="263">
        <f t="shared" si="33"/>
        <v>100.99</v>
      </c>
      <c r="I514" s="277">
        <f>'Cost Source'!P514</f>
        <v>0</v>
      </c>
      <c r="J514" s="289">
        <v>50</v>
      </c>
    </row>
    <row r="515" spans="1:10" x14ac:dyDescent="0.25">
      <c r="A515" t="s">
        <v>173</v>
      </c>
      <c r="B515" t="s">
        <v>549</v>
      </c>
      <c r="C515" s="1">
        <f>'Price List'!C515+'Cost Source'!M515+'Cost Source'!O515</f>
        <v>182.8</v>
      </c>
      <c r="D515" s="226">
        <f t="shared" si="34"/>
        <v>182.99</v>
      </c>
      <c r="E515" s="1">
        <f>'Price List'!C515+'Cost Source'!M515</f>
        <v>162.80000000000001</v>
      </c>
      <c r="F515" s="247">
        <f>ROUNDUP(E515,0)-0.01</f>
        <v>162.99</v>
      </c>
      <c r="G515" s="1">
        <f>'Price List'!C515+'Cost Source'!N515</f>
        <v>136.80000000000001</v>
      </c>
      <c r="H515" s="257">
        <f t="shared" si="33"/>
        <v>136.99</v>
      </c>
      <c r="I515" s="277">
        <f>'Cost Source'!P515</f>
        <v>0</v>
      </c>
      <c r="J515" s="290">
        <v>50</v>
      </c>
    </row>
    <row r="516" spans="1:10" x14ac:dyDescent="0.25">
      <c r="A516" s="30" t="s">
        <v>173</v>
      </c>
      <c r="B516" s="30" t="s">
        <v>160</v>
      </c>
      <c r="C516" s="32">
        <f>'Price List'!C516+'Cost Source'!H516+'Cost Source'!O516</f>
        <v>38.927999999999997</v>
      </c>
      <c r="D516" s="224">
        <f t="shared" si="34"/>
        <v>38.99</v>
      </c>
      <c r="E516" s="32">
        <f>'Price List'!C516+'Cost Source'!U516</f>
        <v>26.928000000000001</v>
      </c>
      <c r="F516" s="239">
        <f t="shared" ref="F516:F603" si="37">ROUNDUP(E516,0)-0.01</f>
        <v>26.99</v>
      </c>
      <c r="G516" s="32">
        <f>'Price List'!C516+'Cost Source'!N516</f>
        <v>18.928000000000001</v>
      </c>
      <c r="H516" s="262">
        <f t="shared" si="33"/>
        <v>18.989999999999998</v>
      </c>
      <c r="I516" s="277">
        <f>'Cost Source'!P516</f>
        <v>0</v>
      </c>
      <c r="J516" s="289">
        <v>15</v>
      </c>
    </row>
    <row r="517" spans="1:10" x14ac:dyDescent="0.25">
      <c r="A517" s="26" t="s">
        <v>173</v>
      </c>
      <c r="B517" s="26" t="s">
        <v>161</v>
      </c>
      <c r="C517" s="27">
        <f>'Price List'!C517+'Cost Source'!H517+'Cost Source'!O517</f>
        <v>40.19</v>
      </c>
      <c r="D517" s="229">
        <f t="shared" si="34"/>
        <v>40.99</v>
      </c>
      <c r="E517" s="27">
        <f>'Price List'!C517+'Cost Source'!U517</f>
        <v>28.189999999999998</v>
      </c>
      <c r="F517" s="244">
        <f t="shared" si="37"/>
        <v>28.99</v>
      </c>
      <c r="G517" s="27">
        <f>'Price List'!C517+'Cost Source'!N517</f>
        <v>20.189999999999998</v>
      </c>
      <c r="H517" s="260">
        <f t="shared" si="33"/>
        <v>20.99</v>
      </c>
      <c r="I517" s="277">
        <f>'Cost Source'!P517</f>
        <v>0</v>
      </c>
      <c r="J517" s="290">
        <v>15</v>
      </c>
    </row>
    <row r="518" spans="1:10" x14ac:dyDescent="0.25">
      <c r="A518" s="36" t="s">
        <v>173</v>
      </c>
      <c r="B518" s="36" t="s">
        <v>162</v>
      </c>
      <c r="C518" s="35">
        <f>'Price List'!C518+'Cost Source'!H518+'Cost Source'!O518</f>
        <v>38.617600000000003</v>
      </c>
      <c r="D518" s="225">
        <f t="shared" si="34"/>
        <v>38.99</v>
      </c>
      <c r="E518" s="35">
        <f>'Price List'!C518+'Cost Source'!U518</f>
        <v>26.617600000000003</v>
      </c>
      <c r="F518" s="240">
        <f t="shared" si="37"/>
        <v>26.99</v>
      </c>
      <c r="G518" s="35">
        <f>'Price List'!C518+'Cost Source'!N518</f>
        <v>18.617600000000003</v>
      </c>
      <c r="H518" s="263">
        <f t="shared" si="33"/>
        <v>18.989999999999998</v>
      </c>
      <c r="I518" s="277">
        <f>'Cost Source'!P518</f>
        <v>0</v>
      </c>
      <c r="J518" s="289">
        <v>15</v>
      </c>
    </row>
    <row r="519" spans="1:10" x14ac:dyDescent="0.25">
      <c r="A519" t="s">
        <v>173</v>
      </c>
      <c r="B519" t="s">
        <v>163</v>
      </c>
      <c r="C519" s="1">
        <f>'Price List'!C519+'Cost Source'!H519+'Cost Source'!O519</f>
        <v>36.918399999999998</v>
      </c>
      <c r="D519" s="226">
        <f t="shared" si="34"/>
        <v>36.99</v>
      </c>
      <c r="E519" s="1">
        <f>'Price List'!C519+'Cost Source'!U519</f>
        <v>24.918399999999998</v>
      </c>
      <c r="F519" s="241">
        <f t="shared" si="37"/>
        <v>24.99</v>
      </c>
      <c r="G519" s="1">
        <f>'Price List'!C519+'Cost Source'!N519</f>
        <v>16.918399999999998</v>
      </c>
      <c r="H519" s="257">
        <f t="shared" si="33"/>
        <v>16.989999999999998</v>
      </c>
      <c r="I519" s="277">
        <f>'Cost Source'!P519</f>
        <v>0</v>
      </c>
      <c r="J519" s="290">
        <v>15</v>
      </c>
    </row>
    <row r="520" spans="1:10" x14ac:dyDescent="0.25">
      <c r="A520" s="30" t="s">
        <v>173</v>
      </c>
      <c r="B520" s="30" t="s">
        <v>164</v>
      </c>
      <c r="C520" s="32">
        <f>'Price List'!C520+'Cost Source'!H520+'Cost Source'!O520</f>
        <v>42.329599999999999</v>
      </c>
      <c r="D520" s="224">
        <f t="shared" si="34"/>
        <v>42.99</v>
      </c>
      <c r="E520" s="32">
        <f>'Price List'!C520+'Cost Source'!U520</f>
        <v>30.329599999999999</v>
      </c>
      <c r="F520" s="239">
        <f t="shared" si="37"/>
        <v>30.99</v>
      </c>
      <c r="G520" s="32">
        <f>'Price List'!C520+'Cost Source'!N520</f>
        <v>22.329599999999999</v>
      </c>
      <c r="H520" s="262">
        <f t="shared" si="33"/>
        <v>22.99</v>
      </c>
      <c r="I520" s="277">
        <f>'Cost Source'!P520</f>
        <v>0</v>
      </c>
      <c r="J520" s="289">
        <v>15</v>
      </c>
    </row>
    <row r="521" spans="1:10" x14ac:dyDescent="0.25">
      <c r="A521" s="26" t="s">
        <v>173</v>
      </c>
      <c r="B521" s="26" t="s">
        <v>165</v>
      </c>
      <c r="C521" s="27">
        <f>'Price List'!C521+'Cost Source'!H521+'Cost Source'!O521</f>
        <v>41.849600000000002</v>
      </c>
      <c r="D521" s="229">
        <f t="shared" si="34"/>
        <v>41.99</v>
      </c>
      <c r="E521" s="27">
        <f>'Price List'!C521+'Cost Source'!U521</f>
        <v>29.849600000000002</v>
      </c>
      <c r="F521" s="244">
        <f t="shared" si="37"/>
        <v>29.99</v>
      </c>
      <c r="G521" s="27">
        <f>'Price List'!C521+'Cost Source'!N521</f>
        <v>21.849600000000002</v>
      </c>
      <c r="H521" s="260">
        <f t="shared" si="33"/>
        <v>21.99</v>
      </c>
      <c r="I521" s="277">
        <f>'Cost Source'!P521</f>
        <v>0</v>
      </c>
      <c r="J521" s="290">
        <v>15</v>
      </c>
    </row>
    <row r="522" spans="1:10" x14ac:dyDescent="0.25">
      <c r="A522" s="36" t="s">
        <v>173</v>
      </c>
      <c r="B522" s="36" t="s">
        <v>166</v>
      </c>
      <c r="C522" s="35">
        <f>'Price List'!C522+'Cost Source'!H522+'Cost Source'!O522</f>
        <v>46.08</v>
      </c>
      <c r="D522" s="225">
        <f t="shared" si="34"/>
        <v>46.99</v>
      </c>
      <c r="E522" s="35">
        <f>'Price List'!C522+'Cost Source'!U522</f>
        <v>34.08</v>
      </c>
      <c r="F522" s="240">
        <f t="shared" si="37"/>
        <v>34.99</v>
      </c>
      <c r="G522" s="35">
        <f>'Price List'!C522+'Cost Source'!N522</f>
        <v>26.080000000000002</v>
      </c>
      <c r="H522" s="263">
        <f t="shared" ref="H522:H611" si="38">ROUNDUP(G522,0)-0.01</f>
        <v>26.99</v>
      </c>
      <c r="I522" s="277">
        <f>'Cost Source'!P522</f>
        <v>0</v>
      </c>
      <c r="J522" s="289">
        <v>15</v>
      </c>
    </row>
    <row r="523" spans="1:10" x14ac:dyDescent="0.25">
      <c r="A523" t="s">
        <v>173</v>
      </c>
      <c r="B523" t="s">
        <v>550</v>
      </c>
      <c r="C523" s="1">
        <f>'Price List'!C523+'Cost Source'!H523+'Cost Source'!O523</f>
        <v>68.649599999999992</v>
      </c>
      <c r="D523" s="226">
        <f t="shared" si="34"/>
        <v>68.989999999999995</v>
      </c>
      <c r="E523" s="1">
        <f>'Price List'!C523+'Cost Source'!U523</f>
        <v>56.6496</v>
      </c>
      <c r="F523" s="241">
        <f t="shared" si="37"/>
        <v>56.99</v>
      </c>
      <c r="G523" s="1">
        <f>'Price List'!C523+'Cost Source'!N523</f>
        <v>53.6496</v>
      </c>
      <c r="H523" s="257">
        <f t="shared" si="38"/>
        <v>53.99</v>
      </c>
      <c r="I523" s="277">
        <f>'Cost Source'!P523</f>
        <v>0</v>
      </c>
      <c r="J523" s="290">
        <v>15</v>
      </c>
    </row>
    <row r="524" spans="1:10" x14ac:dyDescent="0.25">
      <c r="A524" s="30" t="s">
        <v>173</v>
      </c>
      <c r="B524" s="30" t="s">
        <v>167</v>
      </c>
      <c r="C524" s="32">
        <f>'Price List'!C524+'Cost Source'!H524+'Cost Source'!O524</f>
        <v>73.756799999999998</v>
      </c>
      <c r="D524" s="224">
        <f t="shared" si="34"/>
        <v>73.989999999999995</v>
      </c>
      <c r="E524" s="32">
        <f>'Price List'!C524+'Cost Source'!U524</f>
        <v>61.756799999999998</v>
      </c>
      <c r="F524" s="239">
        <f t="shared" si="37"/>
        <v>61.99</v>
      </c>
      <c r="G524" s="32">
        <f>'Price List'!C524+'Cost Source'!N524</f>
        <v>58.756799999999998</v>
      </c>
      <c r="H524" s="262">
        <f t="shared" si="38"/>
        <v>58.99</v>
      </c>
      <c r="I524" s="277">
        <f>'Cost Source'!P524</f>
        <v>0</v>
      </c>
      <c r="J524" s="289">
        <v>15</v>
      </c>
    </row>
    <row r="525" spans="1:10" x14ac:dyDescent="0.25">
      <c r="A525" s="26" t="s">
        <v>173</v>
      </c>
      <c r="B525" s="26" t="s">
        <v>168</v>
      </c>
      <c r="C525" s="27">
        <f>'Price List'!C525+'Cost Source'!H525+'Cost Source'!O525</f>
        <v>57.036799999999999</v>
      </c>
      <c r="D525" s="229">
        <f t="shared" si="34"/>
        <v>57.99</v>
      </c>
      <c r="E525" s="27">
        <f>'Price List'!C525+'Cost Source'!U525</f>
        <v>45.036799999999999</v>
      </c>
      <c r="F525" s="244">
        <f t="shared" si="37"/>
        <v>45.99</v>
      </c>
      <c r="G525" s="27">
        <f>'Price List'!C525+'Cost Source'!N525</f>
        <v>40.036799999999999</v>
      </c>
      <c r="H525" s="260">
        <f t="shared" si="38"/>
        <v>40.99</v>
      </c>
      <c r="I525" s="277">
        <f>'Cost Source'!P525</f>
        <v>0</v>
      </c>
      <c r="J525" s="290">
        <v>15</v>
      </c>
    </row>
    <row r="526" spans="1:10" x14ac:dyDescent="0.25">
      <c r="A526" s="36" t="s">
        <v>173</v>
      </c>
      <c r="B526" s="36" t="s">
        <v>551</v>
      </c>
      <c r="C526" s="35">
        <f>'Price List'!C526+'Cost Source'!H526+'Cost Source'!O526</f>
        <v>56.246400000000001</v>
      </c>
      <c r="D526" s="225">
        <f t="shared" si="34"/>
        <v>56.99</v>
      </c>
      <c r="E526" s="35">
        <f>'Price List'!C526+'Cost Source'!U526</f>
        <v>44.246400000000001</v>
      </c>
      <c r="F526" s="240">
        <f t="shared" si="37"/>
        <v>44.99</v>
      </c>
      <c r="G526" s="35">
        <f>'Price List'!C526+'Cost Source'!N526</f>
        <v>39.246400000000001</v>
      </c>
      <c r="H526" s="263">
        <f t="shared" si="38"/>
        <v>39.99</v>
      </c>
      <c r="I526" s="277">
        <f>'Cost Source'!P526</f>
        <v>0</v>
      </c>
      <c r="J526" s="289">
        <v>15</v>
      </c>
    </row>
    <row r="527" spans="1:10" x14ac:dyDescent="0.25">
      <c r="A527" t="s">
        <v>173</v>
      </c>
      <c r="B527" t="s">
        <v>169</v>
      </c>
      <c r="C527" s="1">
        <f>'Price List'!C527+'Cost Source'!H527+'Cost Source'!O527</f>
        <v>92.540800000000004</v>
      </c>
      <c r="D527" s="226">
        <f t="shared" si="34"/>
        <v>92.99</v>
      </c>
      <c r="E527" s="1">
        <f>'Price List'!C527+'Cost Source'!U527</f>
        <v>80.540800000000004</v>
      </c>
      <c r="F527" s="241">
        <f t="shared" si="37"/>
        <v>80.989999999999995</v>
      </c>
      <c r="G527" s="1">
        <f>'Price List'!C527+'Cost Source'!N527</f>
        <v>80.540800000000004</v>
      </c>
      <c r="H527" s="257">
        <f t="shared" si="38"/>
        <v>80.989999999999995</v>
      </c>
      <c r="I527" s="278">
        <f>'Cost Source'!P527</f>
        <v>0</v>
      </c>
      <c r="J527" s="291">
        <v>15</v>
      </c>
    </row>
    <row r="528" spans="1:10" x14ac:dyDescent="0.25">
      <c r="A528" s="140" t="s">
        <v>173</v>
      </c>
      <c r="B528" s="140" t="s">
        <v>1221</v>
      </c>
      <c r="C528" s="146">
        <f>'Price List'!C528+'Cost Source'!H528+'Cost Source'!O528</f>
        <v>87.072000000000003</v>
      </c>
      <c r="D528" s="227">
        <f t="shared" si="34"/>
        <v>87.99</v>
      </c>
      <c r="E528" s="146">
        <f>'Price List'!C528+'Cost Source'!U528</f>
        <v>75.072000000000003</v>
      </c>
      <c r="F528" s="242">
        <f t="shared" si="37"/>
        <v>75.989999999999995</v>
      </c>
      <c r="G528" s="146">
        <f>'Price List'!C528+'Cost Source'!N528</f>
        <v>75.072000000000003</v>
      </c>
      <c r="H528" s="258">
        <f t="shared" si="38"/>
        <v>75.989999999999995</v>
      </c>
      <c r="I528" s="279"/>
      <c r="J528" s="290">
        <v>15</v>
      </c>
    </row>
    <row r="529" spans="1:10" x14ac:dyDescent="0.25">
      <c r="A529" s="159" t="s">
        <v>688</v>
      </c>
      <c r="B529" s="159"/>
      <c r="C529" s="150"/>
      <c r="D529" s="228"/>
      <c r="E529" s="150"/>
      <c r="F529" s="243"/>
      <c r="G529" s="150"/>
      <c r="H529" s="285"/>
      <c r="I529" s="282">
        <f>'Cost Source'!P529</f>
        <v>0</v>
      </c>
      <c r="J529" s="289"/>
    </row>
    <row r="530" spans="1:10" x14ac:dyDescent="0.25">
      <c r="A530" t="s">
        <v>688</v>
      </c>
      <c r="C530" s="1"/>
      <c r="D530" s="226"/>
      <c r="E530" s="1"/>
      <c r="F530" s="241"/>
      <c r="G530" s="1"/>
      <c r="H530" s="257"/>
      <c r="I530" s="277">
        <f>'Cost Source'!P530</f>
        <v>0</v>
      </c>
      <c r="J530" s="290"/>
    </row>
    <row r="531" spans="1:10" x14ac:dyDescent="0.25">
      <c r="A531" s="140" t="s">
        <v>688</v>
      </c>
      <c r="B531" s="140"/>
      <c r="C531" s="146"/>
      <c r="D531" s="227"/>
      <c r="E531" s="146"/>
      <c r="F531" s="242"/>
      <c r="G531" s="146"/>
      <c r="H531" s="258"/>
      <c r="I531" s="277">
        <f>'Cost Source'!P531</f>
        <v>0</v>
      </c>
      <c r="J531" s="289"/>
    </row>
    <row r="532" spans="1:10" x14ac:dyDescent="0.25">
      <c r="A532" t="s">
        <v>688</v>
      </c>
      <c r="C532" s="1"/>
      <c r="D532" s="226"/>
      <c r="E532" s="1"/>
      <c r="F532" s="241"/>
      <c r="G532" s="1"/>
      <c r="H532" s="257"/>
      <c r="I532" s="278">
        <f>'Cost Source'!P532</f>
        <v>0</v>
      </c>
      <c r="J532" s="290"/>
    </row>
    <row r="533" spans="1:10" x14ac:dyDescent="0.25">
      <c r="A533" s="140" t="s">
        <v>423</v>
      </c>
      <c r="B533" s="141" t="s">
        <v>623</v>
      </c>
      <c r="C533" s="146">
        <f>'Price List'!C533+'Cost Source'!G533+'Cost Source'!O533</f>
        <v>111.01</v>
      </c>
      <c r="D533" s="235">
        <f t="shared" si="34"/>
        <v>111.99</v>
      </c>
      <c r="E533" s="140"/>
      <c r="F533" s="242"/>
      <c r="G533" s="146">
        <f>'Price List'!C533+'Cost Source'!N533</f>
        <v>99.01</v>
      </c>
      <c r="H533" s="258">
        <f t="shared" si="38"/>
        <v>99.99</v>
      </c>
      <c r="I533" s="275">
        <f>'Cost Source'!P533</f>
        <v>-25</v>
      </c>
      <c r="J533" s="290">
        <v>20</v>
      </c>
    </row>
    <row r="534" spans="1:10" x14ac:dyDescent="0.25">
      <c r="A534" s="147" t="s">
        <v>423</v>
      </c>
      <c r="B534" s="155" t="s">
        <v>238</v>
      </c>
      <c r="C534" s="144">
        <f>'Price List'!C534+'Cost Source'!F534+'Cost Source'!O534</f>
        <v>49.99</v>
      </c>
      <c r="D534" s="230">
        <f t="shared" si="34"/>
        <v>49.99</v>
      </c>
      <c r="E534" s="144">
        <f>'Price List'!C534+'Cost Source'!S534</f>
        <v>34.99</v>
      </c>
      <c r="F534" s="242">
        <f t="shared" si="37"/>
        <v>34.99</v>
      </c>
      <c r="G534" s="144">
        <f>'Price List'!C534+'Cost Source'!N534</f>
        <v>24.990000000000002</v>
      </c>
      <c r="H534" s="259">
        <f t="shared" si="38"/>
        <v>24.99</v>
      </c>
      <c r="I534" s="277">
        <v>-5</v>
      </c>
      <c r="J534" s="289">
        <v>20</v>
      </c>
    </row>
    <row r="535" spans="1:10" x14ac:dyDescent="0.25">
      <c r="A535" s="152" t="s">
        <v>423</v>
      </c>
      <c r="B535" s="153" t="s">
        <v>239</v>
      </c>
      <c r="C535" s="144">
        <f>'Price List'!C535+'Cost Source'!F535+'Cost Source'!O535</f>
        <v>35</v>
      </c>
      <c r="D535" s="231">
        <f t="shared" si="34"/>
        <v>34.99</v>
      </c>
      <c r="E535" s="144">
        <f>'Price List'!C535+'Cost Source'!S535</f>
        <v>20</v>
      </c>
      <c r="F535" s="242">
        <f t="shared" si="37"/>
        <v>19.989999999999998</v>
      </c>
      <c r="G535" s="154">
        <f>'Price List'!C535+'Cost Source'!N535</f>
        <v>10</v>
      </c>
      <c r="H535" s="267">
        <f t="shared" si="38"/>
        <v>9.99</v>
      </c>
      <c r="I535" s="277">
        <f>'Cost Source'!P535</f>
        <v>0</v>
      </c>
      <c r="J535" s="290">
        <v>20</v>
      </c>
    </row>
    <row r="536" spans="1:10" x14ac:dyDescent="0.25">
      <c r="A536" t="s">
        <v>423</v>
      </c>
      <c r="B536" s="3" t="s">
        <v>240</v>
      </c>
      <c r="C536" s="1">
        <f>'Price List'!C536+'Cost Source'!F536+'Cost Source'!O536</f>
        <v>100.99</v>
      </c>
      <c r="D536" s="226">
        <f t="shared" si="34"/>
        <v>100.99</v>
      </c>
      <c r="E536" s="1">
        <f>'Price List'!C536+'Cost Source'!R536</f>
        <v>65.989999999999995</v>
      </c>
      <c r="F536" s="283">
        <f t="shared" si="37"/>
        <v>65.989999999999995</v>
      </c>
      <c r="G536" s="1">
        <f>'Price List'!C536+'Cost Source'!N536</f>
        <v>83.99</v>
      </c>
      <c r="H536" s="257">
        <f t="shared" si="38"/>
        <v>83.99</v>
      </c>
      <c r="I536" s="278">
        <f>'Cost Source'!P536</f>
        <v>0</v>
      </c>
      <c r="J536" s="289">
        <v>20</v>
      </c>
    </row>
    <row r="537" spans="1:10" x14ac:dyDescent="0.25">
      <c r="A537" s="140" t="s">
        <v>423</v>
      </c>
      <c r="B537" s="141" t="s">
        <v>624</v>
      </c>
      <c r="C537" s="146">
        <f>'Price List'!C537+'Cost Source'!F537+'Cost Source'!O537</f>
        <v>123.99</v>
      </c>
      <c r="D537" s="227">
        <f t="shared" si="34"/>
        <v>123.99</v>
      </c>
      <c r="E537" s="146">
        <f>'Price List'!C537+'Cost Source'!R537</f>
        <v>88.99</v>
      </c>
      <c r="F537" s="242">
        <f t="shared" si="37"/>
        <v>88.99</v>
      </c>
      <c r="G537" s="146">
        <f>'Price List'!C537+'Cost Source'!N537</f>
        <v>104.99</v>
      </c>
      <c r="H537" s="258">
        <f t="shared" si="38"/>
        <v>104.99</v>
      </c>
      <c r="I537" s="279">
        <f>'Cost Source'!P537</f>
        <v>0</v>
      </c>
      <c r="J537" s="290" t="s">
        <v>1020</v>
      </c>
    </row>
    <row r="538" spans="1:10" x14ac:dyDescent="0.25">
      <c r="A538" t="s">
        <v>854</v>
      </c>
      <c r="B538" s="5">
        <v>103061</v>
      </c>
      <c r="C538" s="1"/>
      <c r="D538" s="227"/>
      <c r="E538" s="1"/>
      <c r="F538" s="241"/>
      <c r="G538" s="1">
        <f>'Price List'!C538+'Cost Source'!N538</f>
        <v>20.990000000000002</v>
      </c>
      <c r="H538" s="258">
        <f t="shared" si="38"/>
        <v>20.99</v>
      </c>
      <c r="I538" s="281">
        <f>'Cost Source'!P538</f>
        <v>0</v>
      </c>
      <c r="J538" s="289"/>
    </row>
    <row r="539" spans="1:10" x14ac:dyDescent="0.25">
      <c r="A539" s="140" t="s">
        <v>424</v>
      </c>
      <c r="B539" s="151" t="s">
        <v>1241</v>
      </c>
      <c r="C539" s="146">
        <f>'Price List'!C539+'Cost Source'!E539+'Cost Source'!O539</f>
        <v>147.63</v>
      </c>
      <c r="D539" s="228">
        <f t="shared" si="34"/>
        <v>147.99</v>
      </c>
      <c r="E539" s="146"/>
      <c r="F539" s="242"/>
      <c r="G539" s="146">
        <f>'Price List'!C539+'Cost Source'!N539</f>
        <v>132.63</v>
      </c>
      <c r="H539" s="257">
        <f t="shared" si="38"/>
        <v>132.99</v>
      </c>
      <c r="I539" s="279">
        <v>-20</v>
      </c>
      <c r="J539" s="290">
        <v>20</v>
      </c>
    </row>
    <row r="540" spans="1:10" x14ac:dyDescent="0.25">
      <c r="A540" s="159" t="s">
        <v>424</v>
      </c>
      <c r="B540" s="160" t="s">
        <v>241</v>
      </c>
      <c r="C540" s="150">
        <f>'Price List'!C540+'Cost Source'!E540+'Cost Source'!O540</f>
        <v>112.07</v>
      </c>
      <c r="D540" s="228">
        <f t="shared" si="34"/>
        <v>112.99</v>
      </c>
      <c r="E540" s="159"/>
      <c r="F540" s="241"/>
      <c r="G540" s="150">
        <f>'Price List'!C540+'Cost Source'!N540</f>
        <v>101.07</v>
      </c>
      <c r="H540" s="258">
        <f t="shared" si="38"/>
        <v>101.99</v>
      </c>
      <c r="I540" s="282">
        <f>'Cost Source'!P540</f>
        <v>0</v>
      </c>
      <c r="J540" s="292">
        <v>10</v>
      </c>
    </row>
    <row r="541" spans="1:10" x14ac:dyDescent="0.25">
      <c r="A541" s="26" t="s">
        <v>424</v>
      </c>
      <c r="B541" s="41" t="s">
        <v>242</v>
      </c>
      <c r="C541" s="27">
        <f>'Price List'!C541+'Cost Source'!G541+'Cost Source'!O541</f>
        <v>65.84</v>
      </c>
      <c r="D541" s="229">
        <f t="shared" ref="D541:D627" si="39">ROUNDUP(C541,0)-0.01</f>
        <v>65.989999999999995</v>
      </c>
      <c r="E541" s="26"/>
      <c r="F541" s="242"/>
      <c r="G541" s="27">
        <f>'Price List'!C541+'Cost Source'!N541</f>
        <v>42.84</v>
      </c>
      <c r="H541" s="260">
        <f t="shared" si="38"/>
        <v>42.99</v>
      </c>
      <c r="I541" s="277">
        <f>'Cost Source'!P541</f>
        <v>0</v>
      </c>
      <c r="J541" s="289">
        <v>20</v>
      </c>
    </row>
    <row r="542" spans="1:10" x14ac:dyDescent="0.25">
      <c r="A542" s="36" t="s">
        <v>424</v>
      </c>
      <c r="B542" s="39" t="s">
        <v>243</v>
      </c>
      <c r="C542" s="35">
        <f>'Price List'!C542+'Cost Source'!L542+'Cost Source'!O542</f>
        <v>170.12</v>
      </c>
      <c r="D542" s="230">
        <f t="shared" si="39"/>
        <v>170.99</v>
      </c>
      <c r="E542" s="35">
        <f>'Price List'!C542+'Cost Source'!Y542</f>
        <v>155.12</v>
      </c>
      <c r="F542" s="245">
        <f t="shared" si="37"/>
        <v>155.99</v>
      </c>
      <c r="G542" s="35">
        <f>'Price List'!C542+'Cost Source'!N542</f>
        <v>153.12</v>
      </c>
      <c r="H542" s="263">
        <f t="shared" si="38"/>
        <v>153.99</v>
      </c>
      <c r="I542" s="277">
        <f>'Cost Source'!P542</f>
        <v>0</v>
      </c>
      <c r="J542" s="290">
        <v>15</v>
      </c>
    </row>
    <row r="543" spans="1:10" x14ac:dyDescent="0.25">
      <c r="A543" t="s">
        <v>424</v>
      </c>
      <c r="B543" s="3" t="s">
        <v>244</v>
      </c>
      <c r="C543" s="1">
        <f>'Price List'!C543+'Cost Source'!E543+'Cost Source'!O543</f>
        <v>63.54</v>
      </c>
      <c r="D543" s="236">
        <f t="shared" si="39"/>
        <v>63.99</v>
      </c>
      <c r="E543" s="1">
        <f>'Price List'!C543+'Cost Source'!R543</f>
        <v>43.54</v>
      </c>
      <c r="F543" s="283">
        <f t="shared" si="37"/>
        <v>43.99</v>
      </c>
      <c r="G543" s="1">
        <f>'Price List'!C543+'Cost Source'!N543</f>
        <v>39.54</v>
      </c>
      <c r="H543" s="257">
        <f t="shared" si="38"/>
        <v>39.99</v>
      </c>
      <c r="I543" s="278">
        <f>'Cost Source'!P543</f>
        <v>0</v>
      </c>
      <c r="J543" s="289">
        <v>20</v>
      </c>
    </row>
    <row r="544" spans="1:10" x14ac:dyDescent="0.25">
      <c r="A544" s="140" t="s">
        <v>424</v>
      </c>
      <c r="B544" s="3" t="s">
        <v>1274</v>
      </c>
      <c r="C544" s="146">
        <f>'Price List'!C544+'Cost Source'!F544+'Cost Source'!O544</f>
        <v>102.99000000000001</v>
      </c>
      <c r="D544" s="227">
        <f t="shared" si="39"/>
        <v>102.99</v>
      </c>
      <c r="E544" s="146">
        <f>'Price List'!C544+'Cost Source'!S544</f>
        <v>82.990000000000009</v>
      </c>
      <c r="F544" s="242">
        <f t="shared" si="37"/>
        <v>82.99</v>
      </c>
      <c r="G544" s="146">
        <f>'Price List'!C544+'Cost Source'!N544</f>
        <v>74.990000000000009</v>
      </c>
      <c r="H544" s="258">
        <f t="shared" si="38"/>
        <v>74.989999999999995</v>
      </c>
      <c r="I544" s="279"/>
      <c r="J544" s="290"/>
    </row>
    <row r="545" spans="1:16" x14ac:dyDescent="0.25">
      <c r="A545" s="30" t="s">
        <v>424</v>
      </c>
      <c r="B545" s="31" t="s">
        <v>245</v>
      </c>
      <c r="C545" s="32">
        <f>'Price List'!C545+'Cost Source'!F545+'Cost Source'!O545</f>
        <v>150.59</v>
      </c>
      <c r="D545" s="224">
        <f t="shared" si="39"/>
        <v>150.99</v>
      </c>
      <c r="E545" s="32">
        <f>'Price List'!C545+'Cost Source'!S545</f>
        <v>135.59</v>
      </c>
      <c r="F545" s="242">
        <f t="shared" si="37"/>
        <v>135.99</v>
      </c>
      <c r="G545" s="32">
        <f>'Price List'!C545+'Cost Source'!N545</f>
        <v>135.59</v>
      </c>
      <c r="H545" s="262">
        <f t="shared" si="38"/>
        <v>135.99</v>
      </c>
      <c r="I545" s="277">
        <f>'Cost Source'!P545</f>
        <v>0</v>
      </c>
      <c r="J545" s="290">
        <v>15</v>
      </c>
    </row>
    <row r="546" spans="1:16" x14ac:dyDescent="0.25">
      <c r="A546" s="26" t="s">
        <v>424</v>
      </c>
      <c r="B546" s="41" t="s">
        <v>246</v>
      </c>
      <c r="C546" s="27">
        <f>'Price List'!C546+'Cost Source'!E546+'Cost Source'!O546</f>
        <v>157.68</v>
      </c>
      <c r="D546" s="229">
        <f t="shared" si="39"/>
        <v>157.99</v>
      </c>
      <c r="E546" s="26"/>
      <c r="F546" s="242"/>
      <c r="G546" s="27">
        <f>'Price List'!C546+'Cost Source'!N546</f>
        <v>145.68</v>
      </c>
      <c r="H546" s="260">
        <f t="shared" si="38"/>
        <v>145.99</v>
      </c>
      <c r="I546" s="277">
        <f>'Cost Source'!P546</f>
        <v>0</v>
      </c>
      <c r="J546" s="289">
        <v>15</v>
      </c>
    </row>
    <row r="547" spans="1:16" x14ac:dyDescent="0.25">
      <c r="A547" s="36" t="s">
        <v>424</v>
      </c>
      <c r="B547" s="39" t="s">
        <v>247</v>
      </c>
      <c r="C547" s="35">
        <f>'Price List'!C547+'Cost Source'!G547+'Cost Source'!O547</f>
        <v>130</v>
      </c>
      <c r="D547" s="225">
        <f t="shared" si="39"/>
        <v>129.99</v>
      </c>
      <c r="E547" s="36"/>
      <c r="F547" s="242"/>
      <c r="G547" s="35">
        <f>'Price List'!C547+'Cost Source'!N547</f>
        <v>112</v>
      </c>
      <c r="H547" s="263">
        <f t="shared" si="38"/>
        <v>111.99</v>
      </c>
      <c r="I547" s="277">
        <f>'Cost Source'!P547</f>
        <v>0</v>
      </c>
      <c r="J547" s="290">
        <v>20</v>
      </c>
    </row>
    <row r="548" spans="1:16" x14ac:dyDescent="0.25">
      <c r="A548" s="26" t="s">
        <v>424</v>
      </c>
      <c r="B548" s="41" t="s">
        <v>1242</v>
      </c>
      <c r="C548" s="27">
        <f>'Price List'!C548+'Cost Source'!G548+'Cost Source'!O548</f>
        <v>106.17</v>
      </c>
      <c r="D548" s="238">
        <f t="shared" si="39"/>
        <v>106.99</v>
      </c>
      <c r="E548" s="26"/>
      <c r="F548" s="283"/>
      <c r="G548" s="27">
        <f>'Price List'!C548+'Cost Source'!N548</f>
        <v>91.17</v>
      </c>
      <c r="H548" s="269">
        <f t="shared" si="38"/>
        <v>91.99</v>
      </c>
      <c r="I548" s="278">
        <v>-15</v>
      </c>
      <c r="J548" s="289">
        <v>20</v>
      </c>
    </row>
    <row r="549" spans="1:16" x14ac:dyDescent="0.25">
      <c r="A549" s="140" t="s">
        <v>424</v>
      </c>
      <c r="B549" s="141" t="s">
        <v>248</v>
      </c>
      <c r="C549" s="146">
        <f>'Price List'!C549+'Cost Source'!D549+'Cost Source'!O549</f>
        <v>83.12</v>
      </c>
      <c r="D549" s="227">
        <f t="shared" si="39"/>
        <v>83.99</v>
      </c>
      <c r="E549" s="146">
        <f>'Price List'!C549+'Cost Source'!Q549</f>
        <v>68.12</v>
      </c>
      <c r="F549" s="242">
        <f t="shared" si="37"/>
        <v>68.989999999999995</v>
      </c>
      <c r="G549" s="146">
        <f>'Price List'!C549+'Cost Source'!N549</f>
        <v>63.12</v>
      </c>
      <c r="H549" s="258">
        <f t="shared" si="38"/>
        <v>63.99</v>
      </c>
      <c r="I549" s="279">
        <f>'Cost Source'!P549</f>
        <v>0</v>
      </c>
      <c r="J549" s="290">
        <v>20</v>
      </c>
    </row>
    <row r="550" spans="1:16" x14ac:dyDescent="0.25">
      <c r="A550" s="30" t="s">
        <v>424</v>
      </c>
      <c r="B550" s="31" t="s">
        <v>249</v>
      </c>
      <c r="C550" s="32">
        <f>'Price List'!C550+'Cost Source'!F550+'Cost Source'!O550</f>
        <v>120.54</v>
      </c>
      <c r="D550" s="224">
        <f t="shared" si="39"/>
        <v>120.99</v>
      </c>
      <c r="E550" s="32">
        <f>'Price List'!C550+'Cost Source'!S550</f>
        <v>105.54</v>
      </c>
      <c r="F550" s="242">
        <f t="shared" si="37"/>
        <v>105.99</v>
      </c>
      <c r="G550" s="32">
        <f>'Price List'!C550+'Cost Source'!N550</f>
        <v>104.54</v>
      </c>
      <c r="H550" s="262">
        <f t="shared" si="38"/>
        <v>104.99</v>
      </c>
      <c r="I550" s="277">
        <f>'Cost Source'!P550</f>
        <v>0</v>
      </c>
      <c r="J550" s="290">
        <v>20</v>
      </c>
    </row>
    <row r="551" spans="1:16" x14ac:dyDescent="0.25">
      <c r="A551" s="26" t="s">
        <v>424</v>
      </c>
      <c r="B551" s="41" t="s">
        <v>250</v>
      </c>
      <c r="C551" s="27">
        <f>'Price List'!C551+'Cost Source'!E551+'Cost Source'!O551</f>
        <v>91.91</v>
      </c>
      <c r="D551" s="230">
        <f t="shared" si="39"/>
        <v>91.99</v>
      </c>
      <c r="E551" s="26"/>
      <c r="F551" s="241"/>
      <c r="G551" s="27">
        <f>'Price List'!C551+'Cost Source'!N551</f>
        <v>78.91</v>
      </c>
      <c r="H551" s="260">
        <f t="shared" si="38"/>
        <v>78.989999999999995</v>
      </c>
      <c r="I551" s="272">
        <f>'Cost Source'!P551</f>
        <v>-10</v>
      </c>
      <c r="J551" s="289">
        <v>20</v>
      </c>
    </row>
    <row r="552" spans="1:16" x14ac:dyDescent="0.25">
      <c r="A552" s="36" t="s">
        <v>424</v>
      </c>
      <c r="B552" s="39" t="s">
        <v>251</v>
      </c>
      <c r="C552" s="35">
        <f>'Price List'!C552+'Cost Source'!L552+'Cost Source'!O552</f>
        <v>77.930000000000007</v>
      </c>
      <c r="D552" s="229">
        <f t="shared" si="39"/>
        <v>77.989999999999995</v>
      </c>
      <c r="E552" s="35">
        <f>'Price List'!C552+'Cost Source'!Y552</f>
        <v>67.930000000000007</v>
      </c>
      <c r="F552" s="245">
        <f t="shared" si="37"/>
        <v>67.989999999999995</v>
      </c>
      <c r="G552" s="35">
        <f>'Price List'!C552+'Cost Source'!N552</f>
        <v>56.93</v>
      </c>
      <c r="H552" s="263">
        <f t="shared" si="38"/>
        <v>56.99</v>
      </c>
      <c r="I552" s="277">
        <f>'Cost Source'!P552</f>
        <v>0</v>
      </c>
      <c r="J552" s="290">
        <v>15</v>
      </c>
      <c r="P552" t="s">
        <v>184</v>
      </c>
    </row>
    <row r="553" spans="1:16" x14ac:dyDescent="0.25">
      <c r="A553" t="s">
        <v>424</v>
      </c>
      <c r="B553" s="3" t="s">
        <v>252</v>
      </c>
      <c r="C553" s="1">
        <f>'Price List'!C553+'Cost Source'!L553+'Cost Source'!O553</f>
        <v>51.29</v>
      </c>
      <c r="D553" s="227">
        <f t="shared" si="39"/>
        <v>51.99</v>
      </c>
      <c r="E553" s="1">
        <f>'Price List'!C553+'Cost Source'!Y553</f>
        <v>51.29</v>
      </c>
      <c r="F553" s="241">
        <f t="shared" si="37"/>
        <v>51.99</v>
      </c>
      <c r="G553" s="1">
        <f>'Price List'!C553+'Cost Source'!N553</f>
        <v>51.29</v>
      </c>
      <c r="H553" s="257">
        <f t="shared" si="38"/>
        <v>51.99</v>
      </c>
      <c r="I553" s="277">
        <f>'Cost Source'!P553</f>
        <v>0</v>
      </c>
      <c r="J553" s="289"/>
    </row>
    <row r="554" spans="1:16" x14ac:dyDescent="0.25">
      <c r="A554" s="30" t="s">
        <v>424</v>
      </c>
      <c r="B554" s="31" t="s">
        <v>253</v>
      </c>
      <c r="C554" s="32">
        <f>'Price List'!C554+'Cost Source'!G554+'Cost Source'!O554</f>
        <v>107.48</v>
      </c>
      <c r="D554" s="224">
        <f t="shared" si="39"/>
        <v>107.99</v>
      </c>
      <c r="E554" s="30"/>
      <c r="F554" s="242"/>
      <c r="G554" s="32">
        <f>'Price List'!C554+'Cost Source'!N554</f>
        <v>90.48</v>
      </c>
      <c r="H554" s="262">
        <f t="shared" si="38"/>
        <v>90.99</v>
      </c>
      <c r="I554" s="272">
        <f>'Cost Source'!P554</f>
        <v>-25</v>
      </c>
      <c r="J554" s="290">
        <v>20</v>
      </c>
    </row>
    <row r="555" spans="1:16" x14ac:dyDescent="0.25">
      <c r="A555" s="26" t="s">
        <v>424</v>
      </c>
      <c r="B555" s="41" t="s">
        <v>254</v>
      </c>
      <c r="C555" s="27">
        <f>'Price List'!C555+'Cost Source'!G555+'Cost Source'!O555</f>
        <v>137.78</v>
      </c>
      <c r="D555" s="229">
        <f t="shared" si="39"/>
        <v>137.99</v>
      </c>
      <c r="E555" s="26"/>
      <c r="F555" s="242"/>
      <c r="G555" s="27">
        <f>'Price List'!C555+'Cost Source'!N555</f>
        <v>123.78</v>
      </c>
      <c r="H555" s="260">
        <f t="shared" si="38"/>
        <v>123.99</v>
      </c>
      <c r="I555" s="272">
        <v>-30</v>
      </c>
      <c r="J555" s="289">
        <v>20</v>
      </c>
    </row>
    <row r="556" spans="1:16" x14ac:dyDescent="0.25">
      <c r="A556" s="36" t="s">
        <v>424</v>
      </c>
      <c r="B556" s="39" t="s">
        <v>255</v>
      </c>
      <c r="C556" s="35">
        <f>'Price List'!C556+'Cost Source'!L556+'Cost Source'!O556</f>
        <v>83.94</v>
      </c>
      <c r="D556" s="230">
        <f t="shared" si="39"/>
        <v>83.99</v>
      </c>
      <c r="E556" s="35">
        <f>'Price List'!C556+'Cost Source'!Y556</f>
        <v>68.94</v>
      </c>
      <c r="F556" s="245">
        <f t="shared" si="37"/>
        <v>68.989999999999995</v>
      </c>
      <c r="G556" s="35">
        <f>'Price List'!C556+'Cost Source'!N556</f>
        <v>57.94</v>
      </c>
      <c r="H556" s="263">
        <f t="shared" si="38"/>
        <v>57.99</v>
      </c>
      <c r="I556" s="277">
        <f>'Cost Source'!P556</f>
        <v>0</v>
      </c>
      <c r="J556" s="290">
        <v>15</v>
      </c>
    </row>
    <row r="557" spans="1:16" x14ac:dyDescent="0.25">
      <c r="A557" t="s">
        <v>424</v>
      </c>
      <c r="B557" s="3" t="s">
        <v>256</v>
      </c>
      <c r="C557" s="1">
        <f>'Price List'!C557+'Cost Source'!E557+'Cost Source'!O557</f>
        <v>115.1</v>
      </c>
      <c r="D557" s="226">
        <f t="shared" si="39"/>
        <v>115.99</v>
      </c>
      <c r="F557" s="245"/>
      <c r="G557" s="1">
        <f>'Price List'!C557+'Cost Source'!N557</f>
        <v>104.1</v>
      </c>
      <c r="H557" s="257">
        <f t="shared" si="38"/>
        <v>104.99</v>
      </c>
      <c r="I557" s="278">
        <f>'Cost Source'!P557</f>
        <v>0</v>
      </c>
      <c r="J557" s="289">
        <v>15</v>
      </c>
    </row>
    <row r="558" spans="1:16" x14ac:dyDescent="0.25">
      <c r="A558" s="140" t="s">
        <v>424</v>
      </c>
      <c r="B558" s="141" t="s">
        <v>1156</v>
      </c>
      <c r="C558" s="146">
        <f>'Price List'!C558+'Cost Source'!F558+'Cost Source'!O558</f>
        <v>82.19</v>
      </c>
      <c r="D558" s="227">
        <f t="shared" si="39"/>
        <v>82.99</v>
      </c>
      <c r="E558" s="146">
        <f>'Price List'!C558+'Cost Source'!S558</f>
        <v>67.19</v>
      </c>
      <c r="F558" s="245">
        <f t="shared" si="37"/>
        <v>67.989999999999995</v>
      </c>
      <c r="G558" s="146">
        <f>'Price List'!C558+'Cost Source'!N558</f>
        <v>58.19</v>
      </c>
      <c r="H558" s="258">
        <f t="shared" si="38"/>
        <v>58.99</v>
      </c>
      <c r="I558" s="279"/>
      <c r="J558" s="290">
        <v>20</v>
      </c>
    </row>
    <row r="559" spans="1:16" x14ac:dyDescent="0.25">
      <c r="A559" s="30" t="s">
        <v>424</v>
      </c>
      <c r="B559" s="31" t="s">
        <v>257</v>
      </c>
      <c r="C559" s="32">
        <f>'Price List'!C559+'Cost Source'!E559+'Cost Source'!O559</f>
        <v>200.69</v>
      </c>
      <c r="D559" s="224"/>
      <c r="E559" s="30"/>
      <c r="F559" s="245"/>
      <c r="G559" s="32">
        <f>'Price List'!C559+'Cost Source'!N559</f>
        <v>192.69</v>
      </c>
      <c r="H559" s="262">
        <f t="shared" si="38"/>
        <v>192.99</v>
      </c>
      <c r="I559" s="277">
        <f>'Cost Source'!P559</f>
        <v>0</v>
      </c>
      <c r="J559" s="290"/>
    </row>
    <row r="560" spans="1:16" x14ac:dyDescent="0.25">
      <c r="A560" s="140" t="s">
        <v>424</v>
      </c>
      <c r="B560" s="141" t="s">
        <v>1157</v>
      </c>
      <c r="C560" s="146">
        <f>'Price List'!C560+'Cost Source'!F560+'Cost Source'!O560</f>
        <v>185.85</v>
      </c>
      <c r="D560" s="230">
        <f t="shared" si="39"/>
        <v>185.99</v>
      </c>
      <c r="E560" s="146">
        <f>'Price List'!C560+'Cost Source'!S560</f>
        <v>170.85</v>
      </c>
      <c r="F560" s="245">
        <f t="shared" si="37"/>
        <v>170.99</v>
      </c>
      <c r="G560" s="146">
        <f>'Price List'!C560+'Cost Source'!N560</f>
        <v>168.85</v>
      </c>
      <c r="H560" s="262">
        <f t="shared" si="38"/>
        <v>168.99</v>
      </c>
      <c r="I560" s="279"/>
      <c r="J560" s="290">
        <v>20</v>
      </c>
    </row>
    <row r="561" spans="1:10" x14ac:dyDescent="0.25">
      <c r="A561" s="147" t="s">
        <v>424</v>
      </c>
      <c r="B561" s="155" t="s">
        <v>258</v>
      </c>
      <c r="C561" s="144">
        <f>'Price List'!C561+'Cost Source'!G561+'Cost Source'!O561</f>
        <v>92.97999999999999</v>
      </c>
      <c r="D561" s="230">
        <f t="shared" si="39"/>
        <v>92.99</v>
      </c>
      <c r="E561" s="147"/>
      <c r="F561" s="245"/>
      <c r="G561" s="144">
        <f>'Price List'!C561+'Cost Source'!N561</f>
        <v>73.97999999999999</v>
      </c>
      <c r="H561" s="259">
        <f t="shared" si="38"/>
        <v>73.989999999999995</v>
      </c>
      <c r="I561" s="279">
        <f>'Cost Source'!P561</f>
        <v>0</v>
      </c>
      <c r="J561" s="289">
        <v>20</v>
      </c>
    </row>
    <row r="562" spans="1:10" x14ac:dyDescent="0.25">
      <c r="A562" s="152" t="s">
        <v>425</v>
      </c>
      <c r="B562" s="3" t="s">
        <v>1123</v>
      </c>
      <c r="C562" s="154">
        <f>'Price List'!C562+'Cost Source'!F562+'Cost Source'!O562</f>
        <v>72.25</v>
      </c>
      <c r="D562" s="231">
        <f t="shared" si="39"/>
        <v>72.989999999999995</v>
      </c>
      <c r="E562" s="154">
        <f>'Price List'!C562+'Cost Source'!S562</f>
        <v>57.25</v>
      </c>
      <c r="F562" s="243">
        <f t="shared" si="37"/>
        <v>57.99</v>
      </c>
      <c r="G562" s="154">
        <f>'Price List'!C562+'Cost Source'!N562</f>
        <v>51.25</v>
      </c>
      <c r="H562" s="260">
        <f t="shared" si="38"/>
        <v>51.99</v>
      </c>
      <c r="I562" s="282"/>
      <c r="J562" s="290">
        <v>20</v>
      </c>
    </row>
    <row r="563" spans="1:10" x14ac:dyDescent="0.25">
      <c r="A563" s="36" t="s">
        <v>425</v>
      </c>
      <c r="B563" s="39" t="s">
        <v>259</v>
      </c>
      <c r="C563" s="35">
        <f>'Price List'!C563+'Cost Source'!G563+'Cost Source'!O563</f>
        <v>80.900000000000006</v>
      </c>
      <c r="D563" s="225">
        <f t="shared" si="39"/>
        <v>80.989999999999995</v>
      </c>
      <c r="E563" s="35"/>
      <c r="F563" s="239"/>
      <c r="G563" s="35">
        <f>'Price List'!C563+'Cost Source'!N563</f>
        <v>54.9</v>
      </c>
      <c r="H563" s="263">
        <f t="shared" si="38"/>
        <v>54.99</v>
      </c>
      <c r="I563" s="277">
        <v>-10</v>
      </c>
      <c r="J563" s="290">
        <v>20</v>
      </c>
    </row>
    <row r="564" spans="1:10" x14ac:dyDescent="0.25">
      <c r="A564" t="s">
        <v>425</v>
      </c>
      <c r="B564" s="3" t="s">
        <v>260</v>
      </c>
      <c r="C564" s="1">
        <f>'Price List'!C564+'Cost Source'!E564+'Cost Source'!O564</f>
        <v>63.07</v>
      </c>
      <c r="D564" s="226">
        <f t="shared" si="39"/>
        <v>63.99</v>
      </c>
      <c r="E564" s="1"/>
      <c r="F564" s="239"/>
      <c r="G564" s="1">
        <f>'Price List'!C564+'Cost Source'!N564</f>
        <v>41.07</v>
      </c>
      <c r="H564" s="257">
        <f t="shared" si="38"/>
        <v>41.99</v>
      </c>
      <c r="I564" s="277">
        <v>-10</v>
      </c>
      <c r="J564" s="289">
        <v>20</v>
      </c>
    </row>
    <row r="565" spans="1:10" x14ac:dyDescent="0.25">
      <c r="A565" s="140" t="s">
        <v>425</v>
      </c>
      <c r="B565" s="141" t="s">
        <v>844</v>
      </c>
      <c r="C565" s="146"/>
      <c r="D565" s="227"/>
      <c r="E565" s="140"/>
      <c r="F565" s="239"/>
      <c r="G565" s="146"/>
      <c r="H565" s="258"/>
      <c r="I565" s="277">
        <f>'Cost Source'!P565</f>
        <v>0</v>
      </c>
      <c r="J565" s="290" t="s">
        <v>1020</v>
      </c>
    </row>
    <row r="566" spans="1:10" x14ac:dyDescent="0.25">
      <c r="A566" s="156" t="s">
        <v>425</v>
      </c>
      <c r="B566" s="321" t="s">
        <v>1122</v>
      </c>
      <c r="C566" s="149">
        <f>+'Price List'!C566+'Cost Source'!F566+'Cost Source'!O566</f>
        <v>83.9</v>
      </c>
      <c r="D566" s="234">
        <f t="shared" si="39"/>
        <v>83.99</v>
      </c>
      <c r="E566" s="149">
        <f>'Price List'!C566+'Cost Source'!R566</f>
        <v>68.900000000000006</v>
      </c>
      <c r="F566" s="283">
        <f t="shared" si="37"/>
        <v>68.989999999999995</v>
      </c>
      <c r="G566" s="149">
        <f>'Price List'!C566+'Cost Source'!N566</f>
        <v>63.9</v>
      </c>
      <c r="H566" s="261">
        <f t="shared" si="38"/>
        <v>63.99</v>
      </c>
      <c r="I566" s="278">
        <v>0</v>
      </c>
      <c r="J566" s="290">
        <v>20</v>
      </c>
    </row>
    <row r="567" spans="1:10" x14ac:dyDescent="0.25">
      <c r="A567" s="156" t="s">
        <v>431</v>
      </c>
      <c r="B567" s="321" t="s">
        <v>261</v>
      </c>
      <c r="C567" s="149">
        <f>'Price List'!C567+'Cost Source'!G567+'Cost Source'!O567</f>
        <v>60.16</v>
      </c>
      <c r="D567" s="234">
        <f t="shared" si="39"/>
        <v>60.99</v>
      </c>
      <c r="E567" s="149">
        <f>'Price List'!C567+'Cost Source'!T567</f>
        <v>50.16</v>
      </c>
      <c r="F567" s="283">
        <f t="shared" si="37"/>
        <v>50.99</v>
      </c>
      <c r="G567" s="149">
        <f>'Price List'!C567+'Cost Source'!N567</f>
        <v>41.16</v>
      </c>
      <c r="H567" s="261">
        <f t="shared" si="38"/>
        <v>41.99</v>
      </c>
      <c r="I567" s="278">
        <f>'Cost Source'!P567</f>
        <v>0</v>
      </c>
      <c r="J567" s="293">
        <v>20</v>
      </c>
    </row>
    <row r="568" spans="1:10" x14ac:dyDescent="0.25">
      <c r="A568" s="140" t="s">
        <v>426</v>
      </c>
      <c r="B568" s="151">
        <v>20704613</v>
      </c>
      <c r="C568" s="146">
        <f>'Price List'!C568+'Cost Source'!E568+'Cost Source'!O568</f>
        <v>62.28</v>
      </c>
      <c r="D568" s="227">
        <f t="shared" si="39"/>
        <v>62.99</v>
      </c>
      <c r="E568" s="146"/>
      <c r="F568" s="242"/>
      <c r="G568" s="146">
        <f>'Price List'!C568+'Cost Source'!N568</f>
        <v>44.28</v>
      </c>
      <c r="H568" s="258">
        <f t="shared" si="38"/>
        <v>44.99</v>
      </c>
      <c r="I568" s="279">
        <v>-10</v>
      </c>
      <c r="J568" s="296">
        <v>20</v>
      </c>
    </row>
    <row r="569" spans="1:10" x14ac:dyDescent="0.25">
      <c r="A569" s="26" t="s">
        <v>426</v>
      </c>
      <c r="B569" s="42">
        <v>20704772</v>
      </c>
      <c r="C569" s="1">
        <f>'Price List'!C569+'Cost Source'!L569+'Cost Source'!O569</f>
        <v>8.98</v>
      </c>
      <c r="D569" s="231">
        <f t="shared" si="39"/>
        <v>8.99</v>
      </c>
      <c r="E569" s="27">
        <f>'Price List'!C569+'Cost Source'!Y569</f>
        <v>8.98</v>
      </c>
      <c r="F569" s="246">
        <f t="shared" si="37"/>
        <v>8.99</v>
      </c>
      <c r="G569" s="27">
        <f>'Price List'!C569+'Cost Source'!N569</f>
        <v>12.98</v>
      </c>
      <c r="H569" s="260">
        <f t="shared" si="38"/>
        <v>12.99</v>
      </c>
      <c r="I569" s="282">
        <f>'Cost Source'!P569</f>
        <v>0</v>
      </c>
      <c r="J569" s="292"/>
    </row>
    <row r="570" spans="1:10" x14ac:dyDescent="0.25">
      <c r="A570" s="36" t="s">
        <v>426</v>
      </c>
      <c r="B570" s="40">
        <v>20704867</v>
      </c>
      <c r="C570" s="35">
        <f>'Price List'!C570+'Cost Source'!E570+'Cost Source'!O570</f>
        <v>59.67</v>
      </c>
      <c r="D570" s="225">
        <f t="shared" si="39"/>
        <v>59.99</v>
      </c>
      <c r="E570" s="36"/>
      <c r="F570" s="239"/>
      <c r="G570" s="35">
        <f>'Price List'!C570+'Cost Source'!N570</f>
        <v>37.67</v>
      </c>
      <c r="H570" s="263">
        <f t="shared" si="38"/>
        <v>37.99</v>
      </c>
      <c r="I570" s="277">
        <f>'Cost Source'!P570</f>
        <v>0</v>
      </c>
      <c r="J570" s="293">
        <v>15</v>
      </c>
    </row>
    <row r="571" spans="1:10" x14ac:dyDescent="0.25">
      <c r="A571" t="s">
        <v>426</v>
      </c>
      <c r="B571" s="4">
        <v>20706140</v>
      </c>
      <c r="C571" s="1">
        <f>'Price List'!C571+'Cost Source'!L571+'Cost Source'!O571</f>
        <v>41.35</v>
      </c>
      <c r="D571" s="224">
        <f t="shared" si="39"/>
        <v>41.99</v>
      </c>
      <c r="E571" s="1">
        <f>'Price List'!C571+'Cost Source'!Y571</f>
        <v>36.35</v>
      </c>
      <c r="F571" s="239">
        <f t="shared" si="37"/>
        <v>36.99</v>
      </c>
      <c r="G571" s="1">
        <f>'Price List'!C571+'Cost Source'!N571</f>
        <v>35.35</v>
      </c>
      <c r="H571" s="257">
        <f t="shared" si="38"/>
        <v>35.99</v>
      </c>
      <c r="I571" s="277">
        <f>'Cost Source'!P571</f>
        <v>0</v>
      </c>
      <c r="J571" s="290"/>
    </row>
    <row r="572" spans="1:10" x14ac:dyDescent="0.25">
      <c r="A572" s="156" t="s">
        <v>426</v>
      </c>
      <c r="B572" s="297">
        <v>20972295</v>
      </c>
      <c r="C572" s="149">
        <f>+'Price List'!C572+'Cost Source'!E572+'Cost Source'!O572</f>
        <v>94.74</v>
      </c>
      <c r="D572" s="234">
        <f t="shared" si="39"/>
        <v>94.99</v>
      </c>
      <c r="E572" s="156"/>
      <c r="F572" s="283"/>
      <c r="G572" s="149">
        <f>'Price List'!C572+'Cost Source'!N572</f>
        <v>80.739999999999995</v>
      </c>
      <c r="H572" s="261">
        <f t="shared" si="38"/>
        <v>80.989999999999995</v>
      </c>
      <c r="I572" s="280">
        <f>'Cost Source'!P572</f>
        <v>-15</v>
      </c>
      <c r="J572" s="293">
        <v>10</v>
      </c>
    </row>
    <row r="573" spans="1:10" x14ac:dyDescent="0.25">
      <c r="A573" s="140" t="s">
        <v>426</v>
      </c>
      <c r="B573" s="145">
        <v>21074769</v>
      </c>
      <c r="C573" s="146">
        <f>'Price List'!C573+'Cost Source'!L573+'Cost Source'!O573</f>
        <v>211.33</v>
      </c>
      <c r="D573" s="227">
        <f t="shared" si="39"/>
        <v>211.99</v>
      </c>
      <c r="E573" s="146">
        <f>'Price List'!C573+'Cost Source'!Y573</f>
        <v>201.33</v>
      </c>
      <c r="F573" s="245">
        <f t="shared" si="37"/>
        <v>201.99</v>
      </c>
      <c r="G573" s="146">
        <f>'Price List'!C573+'Cost Source'!N573</f>
        <v>181.33</v>
      </c>
      <c r="H573" s="258">
        <f t="shared" si="38"/>
        <v>181.99</v>
      </c>
      <c r="I573" s="275"/>
      <c r="J573" s="296"/>
    </row>
    <row r="574" spans="1:10" x14ac:dyDescent="0.25">
      <c r="A574" s="147" t="s">
        <v>426</v>
      </c>
      <c r="B574" s="148">
        <v>21075041</v>
      </c>
      <c r="C574" s="144">
        <f>'Price List'!C574+'Cost Source'!D574+'Cost Source'!O574</f>
        <v>80.259999999999991</v>
      </c>
      <c r="D574" s="230">
        <f t="shared" si="39"/>
        <v>80.989999999999995</v>
      </c>
      <c r="E574" s="144">
        <f>'Price List'!C574+'Cost Source'!Q574</f>
        <v>65.259999999999991</v>
      </c>
      <c r="F574" s="245">
        <f t="shared" si="37"/>
        <v>65.989999999999995</v>
      </c>
      <c r="G574" s="144">
        <f>'Price List'!C574+'Cost Source'!N574</f>
        <v>58.26</v>
      </c>
      <c r="H574" s="259">
        <f t="shared" si="38"/>
        <v>58.99</v>
      </c>
      <c r="I574" s="279">
        <f>'Cost Source'!P574</f>
        <v>0</v>
      </c>
      <c r="J574" s="290">
        <v>20</v>
      </c>
    </row>
    <row r="575" spans="1:10" x14ac:dyDescent="0.25">
      <c r="A575" s="36" t="s">
        <v>426</v>
      </c>
      <c r="B575" s="40">
        <v>21380521</v>
      </c>
      <c r="C575" s="35">
        <f>'Price List'!C575+'Cost Source'!F575+'Cost Source'!O575</f>
        <v>79.72</v>
      </c>
      <c r="D575" s="225">
        <f t="shared" si="39"/>
        <v>79.989999999999995</v>
      </c>
      <c r="E575" s="35">
        <f>'Price List'!C575+'Cost Source'!S575</f>
        <v>64.72</v>
      </c>
      <c r="F575" s="240">
        <f t="shared" si="37"/>
        <v>64.989999999999995</v>
      </c>
      <c r="G575" s="35">
        <f>'Price List'!C575+'Cost Source'!N575</f>
        <v>62.72</v>
      </c>
      <c r="H575" s="263">
        <f t="shared" si="38"/>
        <v>62.99</v>
      </c>
      <c r="I575" s="277">
        <f>'Cost Source'!P575</f>
        <v>0</v>
      </c>
      <c r="J575" s="289">
        <v>20</v>
      </c>
    </row>
    <row r="576" spans="1:10" x14ac:dyDescent="0.25">
      <c r="A576" t="s">
        <v>426</v>
      </c>
      <c r="B576" s="4">
        <v>21707135</v>
      </c>
      <c r="C576" s="1">
        <f>'Price List'!C576+'Cost Source'!E576+'Cost Source'!O576</f>
        <v>77.42</v>
      </c>
      <c r="D576" s="226">
        <f t="shared" si="39"/>
        <v>77.989999999999995</v>
      </c>
      <c r="F576" s="241"/>
      <c r="G576" s="1">
        <f>'Price List'!C576+'Cost Source'!N576</f>
        <v>60.42</v>
      </c>
      <c r="H576" s="257">
        <f t="shared" si="38"/>
        <v>60.99</v>
      </c>
      <c r="I576" s="280">
        <f>'Cost Source'!P576</f>
        <v>-10</v>
      </c>
      <c r="J576" s="291">
        <v>10</v>
      </c>
    </row>
    <row r="577" spans="1:10" x14ac:dyDescent="0.25">
      <c r="A577" s="140" t="s">
        <v>426</v>
      </c>
      <c r="B577" s="145">
        <v>21737481</v>
      </c>
      <c r="C577" s="146">
        <f>'Price List'!C577+'Cost Source'!F577+'Cost Source'!O577</f>
        <v>86.86</v>
      </c>
      <c r="D577" s="227">
        <f t="shared" si="39"/>
        <v>86.99</v>
      </c>
      <c r="E577" s="146">
        <f>'Price List'!C577+'Cost Source'!S577</f>
        <v>71.86</v>
      </c>
      <c r="F577" s="242">
        <f t="shared" si="37"/>
        <v>71.989999999999995</v>
      </c>
      <c r="G577" s="146">
        <f>'Price List'!C577+'Cost Source'!N577</f>
        <v>69.86</v>
      </c>
      <c r="H577" s="258">
        <f t="shared" si="38"/>
        <v>69.989999999999995</v>
      </c>
      <c r="I577" s="275"/>
      <c r="J577" s="290">
        <v>20</v>
      </c>
    </row>
    <row r="578" spans="1:10" x14ac:dyDescent="0.25">
      <c r="A578" s="159" t="s">
        <v>426</v>
      </c>
      <c r="B578" s="322">
        <v>21937298</v>
      </c>
      <c r="C578" s="150">
        <f>'Price List'!C578+'Cost Source'!H578+'Cost Source'!O578</f>
        <v>52.010000000000005</v>
      </c>
      <c r="D578" s="228">
        <f t="shared" si="39"/>
        <v>52.99</v>
      </c>
      <c r="E578" s="150">
        <f>'Price List'!C578+'Cost Source'!U578</f>
        <v>37.010000000000005</v>
      </c>
      <c r="F578" s="243">
        <f t="shared" si="37"/>
        <v>37.99</v>
      </c>
      <c r="G578" s="150">
        <f>'Price List'!C578+'Cost Source'!N578</f>
        <v>24.01</v>
      </c>
      <c r="H578" s="285">
        <f t="shared" si="38"/>
        <v>24.99</v>
      </c>
      <c r="I578" s="282">
        <f>'Cost Source'!P578</f>
        <v>0</v>
      </c>
      <c r="J578" s="289">
        <v>15</v>
      </c>
    </row>
    <row r="579" spans="1:10" x14ac:dyDescent="0.25">
      <c r="A579" s="26" t="s">
        <v>426</v>
      </c>
      <c r="B579" s="42">
        <v>21939298</v>
      </c>
      <c r="C579" s="27">
        <f>'Price List'!C579+'Cost Source'!G579+'Cost Source'!O579</f>
        <v>69.45</v>
      </c>
      <c r="D579" s="229">
        <f t="shared" si="39"/>
        <v>69.989999999999995</v>
      </c>
      <c r="E579" s="26"/>
      <c r="F579" s="244"/>
      <c r="G579" s="27">
        <f>'Price List'!C579+'Cost Source'!N579</f>
        <v>42.45</v>
      </c>
      <c r="H579" s="260">
        <f t="shared" si="38"/>
        <v>42.99</v>
      </c>
      <c r="I579" s="272">
        <f>'Cost Source'!P579</f>
        <v>-5</v>
      </c>
      <c r="J579" s="290">
        <v>20</v>
      </c>
    </row>
    <row r="580" spans="1:10" x14ac:dyDescent="0.25">
      <c r="A580" s="36" t="s">
        <v>426</v>
      </c>
      <c r="B580" s="40">
        <v>22094987</v>
      </c>
      <c r="C580" s="35">
        <f>'Price List'!C580+'Cost Source'!F580+'Cost Source'!O580</f>
        <v>87.67</v>
      </c>
      <c r="D580" s="225">
        <f t="shared" si="39"/>
        <v>87.99</v>
      </c>
      <c r="E580" s="35">
        <f>'Price List'!C580+'Cost Source'!S580</f>
        <v>72.67</v>
      </c>
      <c r="F580" s="240">
        <f t="shared" si="37"/>
        <v>72.989999999999995</v>
      </c>
      <c r="G580" s="35">
        <f>'Price List'!C580+'Cost Source'!N580</f>
        <v>68.67</v>
      </c>
      <c r="H580" s="263">
        <f t="shared" si="38"/>
        <v>68.989999999999995</v>
      </c>
      <c r="I580" s="277">
        <f>'Cost Source'!P580</f>
        <v>0</v>
      </c>
      <c r="J580" s="289">
        <v>20</v>
      </c>
    </row>
    <row r="581" spans="1:10" x14ac:dyDescent="0.25">
      <c r="A581" s="147" t="s">
        <v>426</v>
      </c>
      <c r="B581" s="148">
        <v>23155587</v>
      </c>
      <c r="C581" s="144">
        <f>'Price List'!C581+'Cost Source'!E581+'Cost Source'!O581</f>
        <v>57.58</v>
      </c>
      <c r="D581" s="225">
        <f t="shared" si="39"/>
        <v>57.99</v>
      </c>
      <c r="E581" s="144"/>
      <c r="F581" s="245"/>
      <c r="G581" s="144">
        <f>'Price List'!C581+'Cost Source'!N581</f>
        <v>35.58</v>
      </c>
      <c r="H581" s="263">
        <f t="shared" si="38"/>
        <v>35.99</v>
      </c>
      <c r="I581" s="272">
        <f>'Cost Source'!P581</f>
        <v>-5</v>
      </c>
      <c r="J581" s="290">
        <v>10</v>
      </c>
    </row>
    <row r="582" spans="1:10" x14ac:dyDescent="0.25">
      <c r="A582" t="s">
        <v>426</v>
      </c>
      <c r="B582" s="4">
        <v>23658111</v>
      </c>
      <c r="C582" s="1">
        <f>'Price List'!C582+'Cost Source'!G582+'Cost Source'!O582</f>
        <v>65.67</v>
      </c>
      <c r="D582" s="226">
        <f t="shared" si="39"/>
        <v>65.989999999999995</v>
      </c>
      <c r="E582" s="1"/>
      <c r="F582" s="241"/>
      <c r="G582" s="1">
        <f>'Price List'!C582+'Cost Source'!N582</f>
        <v>40.67</v>
      </c>
      <c r="H582" s="257">
        <f t="shared" si="38"/>
        <v>40.99</v>
      </c>
      <c r="I582" s="272">
        <f>'Cost Source'!P582</f>
        <v>-5</v>
      </c>
      <c r="J582" s="289">
        <v>20</v>
      </c>
    </row>
    <row r="583" spans="1:10" x14ac:dyDescent="0.25">
      <c r="A583" s="30" t="s">
        <v>426</v>
      </c>
      <c r="B583" s="33">
        <v>23856895</v>
      </c>
      <c r="C583" s="32">
        <f>'Price List'!C583+'Cost Source'!E583+'Cost Source'!O583</f>
        <v>78.77000000000001</v>
      </c>
      <c r="D583" s="224">
        <f t="shared" si="39"/>
        <v>78.989999999999995</v>
      </c>
      <c r="E583" s="32"/>
      <c r="F583" s="239"/>
      <c r="G583" s="32">
        <f>'Price List'!C583+'Cost Source'!N583</f>
        <v>63.77</v>
      </c>
      <c r="H583" s="262">
        <f t="shared" si="38"/>
        <v>63.99</v>
      </c>
      <c r="I583" s="272">
        <f>'Cost Source'!P583</f>
        <v>-15</v>
      </c>
      <c r="J583" s="290">
        <v>10</v>
      </c>
    </row>
    <row r="584" spans="1:10" x14ac:dyDescent="0.25">
      <c r="A584" s="26" t="s">
        <v>426</v>
      </c>
      <c r="B584" s="42">
        <v>23879508</v>
      </c>
      <c r="C584" s="27">
        <f>'Price List'!C584+'Cost Source'!F584+'Cost Source'!O584</f>
        <v>100.57</v>
      </c>
      <c r="D584" s="229">
        <f t="shared" si="39"/>
        <v>100.99</v>
      </c>
      <c r="E584" s="27">
        <f>'Price List'!C584+'Cost Source'!S584</f>
        <v>85.57</v>
      </c>
      <c r="F584" s="244">
        <f t="shared" si="37"/>
        <v>85.99</v>
      </c>
      <c r="G584" s="27">
        <f>'Price List'!C584+'Cost Source'!N584</f>
        <v>82.57</v>
      </c>
      <c r="H584" s="260">
        <f t="shared" si="38"/>
        <v>82.99</v>
      </c>
      <c r="I584" s="278">
        <f>'Cost Source'!P584</f>
        <v>0</v>
      </c>
      <c r="J584" s="289">
        <v>20</v>
      </c>
    </row>
    <row r="585" spans="1:10" x14ac:dyDescent="0.25">
      <c r="A585" s="147" t="s">
        <v>426</v>
      </c>
      <c r="B585" s="148">
        <v>23920471</v>
      </c>
      <c r="C585" s="144">
        <f>'Price List'!C585+'Cost Source'!E585+'Cost Source'!O585</f>
        <v>92.57</v>
      </c>
      <c r="D585" s="230">
        <f t="shared" si="39"/>
        <v>92.99</v>
      </c>
      <c r="E585" s="144"/>
      <c r="F585" s="245"/>
      <c r="G585" s="144">
        <f>'Price List'!C585+'Cost Source'!N585</f>
        <v>76.569999999999993</v>
      </c>
      <c r="H585" s="259">
        <f t="shared" si="38"/>
        <v>76.989999999999995</v>
      </c>
      <c r="I585" s="275">
        <f>'Cost Source'!P585</f>
        <v>-10</v>
      </c>
      <c r="J585" s="290">
        <v>10</v>
      </c>
    </row>
    <row r="586" spans="1:10" x14ac:dyDescent="0.25">
      <c r="A586" s="147" t="s">
        <v>426</v>
      </c>
      <c r="B586" s="148">
        <v>24225156</v>
      </c>
      <c r="C586" s="144">
        <f>'Price List'!C586+'Cost Source'!F586+'Cost Source'!O586</f>
        <v>100.57</v>
      </c>
      <c r="D586" s="230">
        <f t="shared" si="39"/>
        <v>100.99</v>
      </c>
      <c r="E586" s="27">
        <f>'Price List'!C586+'Cost Source'!S586</f>
        <v>85.57</v>
      </c>
      <c r="F586" s="244">
        <f t="shared" si="37"/>
        <v>85.99</v>
      </c>
      <c r="G586" s="154">
        <f>'Price List'!C586+'Cost Source'!N586</f>
        <v>82.57</v>
      </c>
      <c r="H586" s="259">
        <f t="shared" si="38"/>
        <v>82.99</v>
      </c>
      <c r="I586" s="276"/>
      <c r="J586" s="289">
        <v>20</v>
      </c>
    </row>
    <row r="587" spans="1:10" x14ac:dyDescent="0.25">
      <c r="A587" s="36" t="s">
        <v>426</v>
      </c>
      <c r="B587" s="40">
        <v>25089409</v>
      </c>
      <c r="C587" s="36"/>
      <c r="D587" s="225"/>
      <c r="E587" s="35">
        <f>'Price List'!C587+'Cost Source'!Y587</f>
        <v>172.28</v>
      </c>
      <c r="F587" s="245">
        <f t="shared" si="37"/>
        <v>172.99</v>
      </c>
      <c r="G587" s="35">
        <f>'Price List'!C587+'Cost Source'!N587</f>
        <v>168.28</v>
      </c>
      <c r="H587" s="263">
        <f t="shared" si="38"/>
        <v>168.99</v>
      </c>
      <c r="I587" s="277">
        <f>'Cost Source'!P587</f>
        <v>0</v>
      </c>
      <c r="J587" s="290"/>
    </row>
    <row r="588" spans="1:10" x14ac:dyDescent="0.25">
      <c r="A588" t="s">
        <v>426</v>
      </c>
      <c r="B588" s="4">
        <v>25100073</v>
      </c>
      <c r="C588" s="1">
        <f>'Price List'!C588+'Cost Source'!E588+'Cost Source'!O588</f>
        <v>75.900000000000006</v>
      </c>
      <c r="D588" s="226">
        <f t="shared" si="39"/>
        <v>75.989999999999995</v>
      </c>
      <c r="F588" s="241"/>
      <c r="G588" s="1">
        <f>'Price List'!C588+'Cost Source'!N588</f>
        <v>55.9</v>
      </c>
      <c r="H588" s="257">
        <f t="shared" si="38"/>
        <v>55.99</v>
      </c>
      <c r="I588" s="272">
        <f>'Cost Source'!P588</f>
        <v>-5</v>
      </c>
      <c r="J588" s="290">
        <v>10</v>
      </c>
    </row>
    <row r="589" spans="1:10" x14ac:dyDescent="0.25">
      <c r="A589" s="140" t="s">
        <v>426</v>
      </c>
      <c r="B589" s="145">
        <v>25126202</v>
      </c>
      <c r="C589" s="146"/>
      <c r="D589" s="227"/>
      <c r="E589" s="146"/>
      <c r="F589" s="239"/>
      <c r="G589" s="146">
        <f>'Price List'!C589+'Cost Source'!N589</f>
        <v>145.01999999999998</v>
      </c>
      <c r="H589" s="258">
        <f t="shared" si="38"/>
        <v>145.99</v>
      </c>
      <c r="I589" s="277">
        <f>'Cost Source'!P589</f>
        <v>0</v>
      </c>
      <c r="J589" s="289"/>
    </row>
    <row r="590" spans="1:10" x14ac:dyDescent="0.25">
      <c r="A590" t="s">
        <v>426</v>
      </c>
      <c r="B590" s="4" t="s">
        <v>845</v>
      </c>
      <c r="C590" s="1"/>
      <c r="D590" s="226"/>
      <c r="E590" s="1"/>
      <c r="F590" s="239"/>
      <c r="G590" s="146">
        <f>'Price List'!C590+'Cost Source'!N590</f>
        <v>40</v>
      </c>
      <c r="H590" s="262">
        <f t="shared" si="38"/>
        <v>39.99</v>
      </c>
      <c r="I590" s="277">
        <f>'Cost Source'!P590</f>
        <v>0</v>
      </c>
      <c r="J590" s="290"/>
    </row>
    <row r="591" spans="1:10" x14ac:dyDescent="0.25">
      <c r="A591" s="30" t="s">
        <v>426</v>
      </c>
      <c r="B591" s="33">
        <v>25127839</v>
      </c>
      <c r="C591" s="32">
        <f>'Price List'!C591+'Cost Source'!D591+'Cost Source'!O591</f>
        <v>84.84</v>
      </c>
      <c r="D591" s="224">
        <f t="shared" si="39"/>
        <v>84.99</v>
      </c>
      <c r="E591" s="32">
        <f>'Price List'!C591+'Cost Source'!Q591</f>
        <v>69.84</v>
      </c>
      <c r="F591" s="239">
        <f t="shared" si="37"/>
        <v>69.989999999999995</v>
      </c>
      <c r="G591" s="32">
        <f>'Price List'!C591+'Cost Source'!N591</f>
        <v>62.84</v>
      </c>
      <c r="H591" s="262">
        <f t="shared" si="38"/>
        <v>62.99</v>
      </c>
      <c r="I591" s="277">
        <f>'Cost Source'!P591</f>
        <v>0</v>
      </c>
      <c r="J591" s="289">
        <v>20</v>
      </c>
    </row>
    <row r="592" spans="1:10" x14ac:dyDescent="0.25">
      <c r="A592" t="s">
        <v>426</v>
      </c>
      <c r="B592" s="4">
        <v>251688319</v>
      </c>
      <c r="C592" s="1">
        <f>'Price List'!C592+'Cost Source'!D592+'Cost Source'!O592</f>
        <v>90.509999999999991</v>
      </c>
      <c r="D592" s="234">
        <f t="shared" si="39"/>
        <v>90.99</v>
      </c>
      <c r="E592" s="1"/>
      <c r="F592" s="241"/>
      <c r="G592" s="1">
        <f>'Price List'!C592+'Cost Source'!N592</f>
        <v>71.509999999999991</v>
      </c>
      <c r="H592" s="261">
        <f t="shared" si="38"/>
        <v>71.989999999999995</v>
      </c>
      <c r="I592" s="278">
        <v>-20</v>
      </c>
      <c r="J592" s="290">
        <v>20</v>
      </c>
    </row>
    <row r="593" spans="1:10" x14ac:dyDescent="0.25">
      <c r="A593" s="147" t="s">
        <v>426</v>
      </c>
      <c r="B593" s="148">
        <v>25501624</v>
      </c>
      <c r="C593" s="144">
        <f>'Price List'!C593+'Cost Source'!E593+'Cost Source'!O593</f>
        <v>80.789999999999992</v>
      </c>
      <c r="D593" s="230">
        <f t="shared" si="39"/>
        <v>80.989999999999995</v>
      </c>
      <c r="E593" s="147"/>
      <c r="F593" s="245"/>
      <c r="G593" s="144">
        <f>'Price List'!C593+'Cost Source'!N593</f>
        <v>59.79</v>
      </c>
      <c r="H593" s="259">
        <f t="shared" si="38"/>
        <v>59.99</v>
      </c>
      <c r="I593" s="275">
        <f>'Cost Source'!P593</f>
        <v>-5</v>
      </c>
      <c r="J593" s="290">
        <v>10</v>
      </c>
    </row>
    <row r="594" spans="1:10" x14ac:dyDescent="0.25">
      <c r="A594" s="36" t="s">
        <v>426</v>
      </c>
      <c r="B594" s="40">
        <v>25502421</v>
      </c>
      <c r="C594" s="35">
        <f>'Price List'!C594+'Cost Source'!E594+'Cost Source'!O594</f>
        <v>67.91</v>
      </c>
      <c r="D594" s="225">
        <f t="shared" si="39"/>
        <v>67.989999999999995</v>
      </c>
      <c r="E594" s="36"/>
      <c r="F594" s="240"/>
      <c r="G594" s="35">
        <f>'Price List'!C594+'Cost Source'!N594</f>
        <v>46.91</v>
      </c>
      <c r="H594" s="263">
        <f t="shared" si="38"/>
        <v>46.99</v>
      </c>
      <c r="I594" s="272">
        <f>'Cost Source'!P594</f>
        <v>-5</v>
      </c>
      <c r="J594" s="289">
        <v>10</v>
      </c>
    </row>
    <row r="595" spans="1:10" x14ac:dyDescent="0.25">
      <c r="A595" t="s">
        <v>426</v>
      </c>
      <c r="B595" s="4">
        <v>25502422</v>
      </c>
      <c r="C595" s="1">
        <f>'Price List'!C595+'Cost Source'!E595+'Cost Source'!O595</f>
        <v>84.58</v>
      </c>
      <c r="D595" s="226">
        <f t="shared" si="39"/>
        <v>84.99</v>
      </c>
      <c r="F595" s="241"/>
      <c r="G595" s="1">
        <f>'Price List'!C595+'Cost Source'!N595</f>
        <v>63.58</v>
      </c>
      <c r="H595" s="257">
        <f t="shared" si="38"/>
        <v>63.99</v>
      </c>
      <c r="I595" s="280">
        <f>'Cost Source'!P595</f>
        <v>-5</v>
      </c>
      <c r="J595" s="291">
        <v>10</v>
      </c>
    </row>
    <row r="596" spans="1:10" x14ac:dyDescent="0.25">
      <c r="A596" s="140" t="s">
        <v>426</v>
      </c>
      <c r="B596" s="145">
        <v>25502423</v>
      </c>
      <c r="C596" s="146">
        <f>'Price List'!C596+'Cost Source'!E596+'Cost Source'!O596</f>
        <v>89.47999999999999</v>
      </c>
      <c r="D596" s="227">
        <f t="shared" si="39"/>
        <v>89.99</v>
      </c>
      <c r="E596" s="140"/>
      <c r="F596" s="242"/>
      <c r="G596" s="146">
        <f>'Price List'!C596+'Cost Source'!N596</f>
        <v>75.47999999999999</v>
      </c>
      <c r="H596" s="258">
        <f t="shared" si="38"/>
        <v>75.989999999999995</v>
      </c>
      <c r="I596" s="275">
        <v>-20</v>
      </c>
      <c r="J596" s="290">
        <v>20</v>
      </c>
    </row>
    <row r="597" spans="1:10" x14ac:dyDescent="0.25">
      <c r="A597" s="140" t="s">
        <v>426</v>
      </c>
      <c r="B597" s="322">
        <v>25503129</v>
      </c>
      <c r="C597" s="150"/>
      <c r="D597" s="228"/>
      <c r="E597" s="159"/>
      <c r="F597" s="243"/>
      <c r="G597" s="150">
        <f>'Price List'!C597+'Cost Source'!N597</f>
        <v>148.61000000000001</v>
      </c>
      <c r="H597" s="258">
        <f t="shared" si="38"/>
        <v>148.99</v>
      </c>
      <c r="I597" s="276"/>
      <c r="J597" s="289"/>
    </row>
    <row r="598" spans="1:10" x14ac:dyDescent="0.25">
      <c r="A598" s="140" t="s">
        <v>426</v>
      </c>
      <c r="B598" s="322" t="s">
        <v>1106</v>
      </c>
      <c r="C598" s="150"/>
      <c r="D598" s="228"/>
      <c r="E598" s="159"/>
      <c r="F598" s="243"/>
      <c r="G598" s="150">
        <f>'Price List'!C598+'Cost Source'!N598</f>
        <v>42</v>
      </c>
      <c r="H598" s="258">
        <f t="shared" si="38"/>
        <v>41.99</v>
      </c>
      <c r="I598" s="276"/>
      <c r="J598" s="290"/>
    </row>
    <row r="599" spans="1:10" x14ac:dyDescent="0.25">
      <c r="A599" s="159" t="s">
        <v>426</v>
      </c>
      <c r="B599" s="322">
        <v>25503228</v>
      </c>
      <c r="C599" s="150">
        <f>'Price List'!C599+'Cost Source'!D599+'Cost Source'!O599</f>
        <v>67.11</v>
      </c>
      <c r="D599" s="228">
        <f t="shared" si="39"/>
        <v>67.989999999999995</v>
      </c>
      <c r="E599" s="150">
        <f>'Price List'!C599+'Cost Source'!Q599</f>
        <v>52.11</v>
      </c>
      <c r="F599" s="243">
        <f t="shared" si="37"/>
        <v>52.99</v>
      </c>
      <c r="G599" s="150">
        <f>'Price List'!C599+'Cost Source'!N599</f>
        <v>43.11</v>
      </c>
      <c r="H599" s="285">
        <f t="shared" si="38"/>
        <v>43.99</v>
      </c>
      <c r="I599" s="282">
        <f>'Cost Source'!P599</f>
        <v>0</v>
      </c>
      <c r="J599" s="289">
        <v>20</v>
      </c>
    </row>
    <row r="600" spans="1:10" x14ac:dyDescent="0.25">
      <c r="A600" s="26" t="s">
        <v>426</v>
      </c>
      <c r="B600" s="43" t="s">
        <v>262</v>
      </c>
      <c r="C600" s="144">
        <f>'Price List'!C600+'Cost Source'!L600+'Cost Source'!O600</f>
        <v>107.53</v>
      </c>
      <c r="D600" s="230">
        <f t="shared" si="39"/>
        <v>107.99</v>
      </c>
      <c r="E600" s="144">
        <f>'Price List'!C600+'Cost Source'!Y600</f>
        <v>107.53</v>
      </c>
      <c r="F600" s="245">
        <f t="shared" si="37"/>
        <v>107.99</v>
      </c>
      <c r="G600" s="144">
        <f>'Price List'!C600+'Cost Source'!N600</f>
        <v>107.53</v>
      </c>
      <c r="H600" s="259">
        <f t="shared" si="38"/>
        <v>107.99</v>
      </c>
      <c r="I600" s="277">
        <f>'Cost Source'!P600</f>
        <v>0</v>
      </c>
      <c r="J600" s="290"/>
    </row>
    <row r="601" spans="1:10" x14ac:dyDescent="0.25">
      <c r="A601" s="147" t="s">
        <v>426</v>
      </c>
      <c r="B601" s="157" t="s">
        <v>263</v>
      </c>
      <c r="C601" s="27">
        <f>'Price List'!C601+'Cost Source'!L601+'Cost Source'!O601</f>
        <v>35.35</v>
      </c>
      <c r="D601" s="231">
        <f t="shared" si="39"/>
        <v>35.99</v>
      </c>
      <c r="E601" s="27">
        <f>'Price List'!C601+'Cost Source'!Y601</f>
        <v>35.35</v>
      </c>
      <c r="F601" s="246">
        <f t="shared" si="37"/>
        <v>35.99</v>
      </c>
      <c r="G601" s="27">
        <f>'Price List'!C601+'Cost Source'!N601</f>
        <v>33.35</v>
      </c>
      <c r="H601" s="260">
        <f t="shared" si="38"/>
        <v>33.99</v>
      </c>
      <c r="I601" s="277">
        <f>'Cost Source'!P601</f>
        <v>0</v>
      </c>
      <c r="J601" s="289"/>
    </row>
    <row r="602" spans="1:10" x14ac:dyDescent="0.25">
      <c r="A602" s="30" t="s">
        <v>426</v>
      </c>
      <c r="B602" s="34" t="s">
        <v>264</v>
      </c>
      <c r="C602" s="38">
        <f>'Price List'!C602+'Cost Source'!L602+'Cost Source'!O602</f>
        <v>8.98</v>
      </c>
      <c r="D602" s="232">
        <f t="shared" si="39"/>
        <v>8.99</v>
      </c>
      <c r="E602" s="38">
        <f>'Price List'!C602+'Cost Source'!Y602</f>
        <v>8.98</v>
      </c>
      <c r="F602" s="253">
        <f t="shared" si="37"/>
        <v>8.99</v>
      </c>
      <c r="G602" s="38">
        <f>'Price List'!C602+'Cost Source'!N602</f>
        <v>12.98</v>
      </c>
      <c r="H602" s="266">
        <f t="shared" si="38"/>
        <v>12.99</v>
      </c>
      <c r="I602" s="277">
        <f>'Cost Source'!P602</f>
        <v>0</v>
      </c>
      <c r="J602" s="290"/>
    </row>
    <row r="603" spans="1:10" x14ac:dyDescent="0.25">
      <c r="A603" s="26" t="s">
        <v>426</v>
      </c>
      <c r="B603" s="43" t="s">
        <v>265</v>
      </c>
      <c r="C603" s="23">
        <f>'Price List'!C603+'Cost Source'!L603+'Cost Source'!O603</f>
        <v>12.79</v>
      </c>
      <c r="D603" s="232">
        <f t="shared" si="39"/>
        <v>12.99</v>
      </c>
      <c r="E603" s="23">
        <f>'Price List'!C603+'Cost Source'!Y603</f>
        <v>12.79</v>
      </c>
      <c r="F603" s="253">
        <f t="shared" si="37"/>
        <v>12.99</v>
      </c>
      <c r="G603" s="23">
        <f>'Price List'!C603+'Cost Source'!N603</f>
        <v>16.79</v>
      </c>
      <c r="H603" s="265">
        <f t="shared" si="38"/>
        <v>16.989999999999998</v>
      </c>
      <c r="I603" s="277">
        <f>'Cost Source'!P603</f>
        <v>0</v>
      </c>
      <c r="J603" s="289"/>
    </row>
    <row r="604" spans="1:10" x14ac:dyDescent="0.25">
      <c r="A604" s="36" t="s">
        <v>426</v>
      </c>
      <c r="B604" s="44" t="s">
        <v>553</v>
      </c>
      <c r="C604" s="35">
        <f>'Price List'!C604+'Cost Source'!D604+'Cost Source'!O604</f>
        <v>62.28</v>
      </c>
      <c r="D604" s="225">
        <f t="shared" si="39"/>
        <v>62.99</v>
      </c>
      <c r="E604" s="36"/>
      <c r="F604" s="253"/>
      <c r="G604" s="35">
        <f>'Price List'!C604+'Cost Source'!N604</f>
        <v>41.28</v>
      </c>
      <c r="H604" s="263">
        <f t="shared" si="38"/>
        <v>41.99</v>
      </c>
      <c r="I604" s="277">
        <f>'Cost Source'!P604</f>
        <v>0</v>
      </c>
      <c r="J604" s="290">
        <v>10</v>
      </c>
    </row>
    <row r="605" spans="1:10" x14ac:dyDescent="0.25">
      <c r="A605" t="s">
        <v>426</v>
      </c>
      <c r="B605" s="5" t="s">
        <v>554</v>
      </c>
      <c r="C605" s="1">
        <f>'Price List'!C605+'Cost Source'!D605+'Cost Source'!O605</f>
        <v>59.67</v>
      </c>
      <c r="D605" s="226">
        <f t="shared" si="39"/>
        <v>59.99</v>
      </c>
      <c r="F605" s="253"/>
      <c r="G605" s="1">
        <f>'Price List'!C605+'Cost Source'!N605</f>
        <v>37.67</v>
      </c>
      <c r="H605" s="257">
        <f t="shared" si="38"/>
        <v>37.99</v>
      </c>
      <c r="I605" s="277">
        <f>'Cost Source'!P605</f>
        <v>0</v>
      </c>
      <c r="J605" s="289">
        <v>10</v>
      </c>
    </row>
    <row r="606" spans="1:10" x14ac:dyDescent="0.25">
      <c r="A606" s="30" t="s">
        <v>426</v>
      </c>
      <c r="B606" s="34" t="s">
        <v>555</v>
      </c>
      <c r="C606" s="32">
        <f>'Price List'!C606+'Cost Source'!D606+'Cost Source'!O606</f>
        <v>90.509999999999991</v>
      </c>
      <c r="D606" s="224">
        <f t="shared" si="39"/>
        <v>90.99</v>
      </c>
      <c r="E606" s="32">
        <f>'Price List'!C606+'Cost Source'!S606</f>
        <v>75.509999999999991</v>
      </c>
      <c r="F606" s="253">
        <f t="shared" ref="F606" si="40">ROUNDUP(E606,0)-0.01</f>
        <v>75.989999999999995</v>
      </c>
      <c r="G606" s="32">
        <f>'Price List'!C606+'Cost Source'!N606</f>
        <v>66.509999999999991</v>
      </c>
      <c r="H606" s="262">
        <f t="shared" si="38"/>
        <v>66.989999999999995</v>
      </c>
      <c r="I606" s="277">
        <f>'Cost Source'!P606</f>
        <v>0</v>
      </c>
      <c r="J606" s="290">
        <v>15</v>
      </c>
    </row>
    <row r="607" spans="1:10" x14ac:dyDescent="0.25">
      <c r="A607" s="26" t="s">
        <v>426</v>
      </c>
      <c r="B607" s="43" t="s">
        <v>556</v>
      </c>
      <c r="C607" s="27">
        <f>'Price List'!C607+'Cost Source'!D607+'Cost Source'!O607</f>
        <v>74.42</v>
      </c>
      <c r="D607" s="229">
        <f t="shared" si="39"/>
        <v>74.989999999999995</v>
      </c>
      <c r="E607" s="26"/>
      <c r="F607" s="244"/>
      <c r="G607" s="27">
        <f>'Price List'!C607+'Cost Source'!N607</f>
        <v>53.42</v>
      </c>
      <c r="H607" s="260">
        <f t="shared" si="38"/>
        <v>53.99</v>
      </c>
      <c r="I607" s="277">
        <f>'Cost Source'!P607</f>
        <v>0</v>
      </c>
      <c r="J607" s="289">
        <v>10</v>
      </c>
    </row>
    <row r="608" spans="1:10" x14ac:dyDescent="0.25">
      <c r="A608" s="36" t="s">
        <v>426</v>
      </c>
      <c r="B608" s="44" t="s">
        <v>557</v>
      </c>
      <c r="C608" s="35">
        <f>'Price List'!C608+'Cost Source'!D608+'Cost Source'!O608</f>
        <v>89.47999999999999</v>
      </c>
      <c r="D608" s="225">
        <f t="shared" si="39"/>
        <v>89.99</v>
      </c>
      <c r="E608" s="36"/>
      <c r="F608" s="240"/>
      <c r="G608" s="35">
        <f>'Price List'!C608+'Cost Source'!N608</f>
        <v>68.47999999999999</v>
      </c>
      <c r="H608" s="263">
        <f t="shared" si="38"/>
        <v>68.989999999999995</v>
      </c>
      <c r="I608" s="277">
        <f>'Cost Source'!P608</f>
        <v>0</v>
      </c>
      <c r="J608" s="290">
        <v>10</v>
      </c>
    </row>
    <row r="609" spans="1:10" x14ac:dyDescent="0.25">
      <c r="A609" t="s">
        <v>426</v>
      </c>
      <c r="B609" s="5" t="s">
        <v>561</v>
      </c>
      <c r="C609" s="1">
        <f>'Price List'!C609+'Cost Source'!L609+'Cost Source'!O609</f>
        <v>211.33</v>
      </c>
      <c r="D609" s="232">
        <f t="shared" si="39"/>
        <v>211.99</v>
      </c>
      <c r="E609" s="23">
        <f>'Price List'!C609+'Cost Source'!Y609</f>
        <v>201.33</v>
      </c>
      <c r="F609" s="247">
        <f t="shared" ref="F609:F616" si="41">ROUNDUP(E609,0)-0.01</f>
        <v>201.99</v>
      </c>
      <c r="G609" s="1">
        <f>'Price List'!C609+'Cost Source'!N609</f>
        <v>181.33</v>
      </c>
      <c r="H609" s="257">
        <f t="shared" si="38"/>
        <v>181.99</v>
      </c>
      <c r="I609" s="277">
        <f>'Cost Source'!P609</f>
        <v>0</v>
      </c>
      <c r="J609" s="289">
        <v>20</v>
      </c>
    </row>
    <row r="610" spans="1:10" x14ac:dyDescent="0.25">
      <c r="A610" s="30" t="s">
        <v>426</v>
      </c>
      <c r="B610" s="33">
        <v>5001858091</v>
      </c>
      <c r="C610" s="32">
        <f>'Price List'!C610+'Cost Source'!E610+'Cost Source'!O610</f>
        <v>65.78</v>
      </c>
      <c r="D610" s="224">
        <f t="shared" si="39"/>
        <v>65.989999999999995</v>
      </c>
      <c r="E610" s="30"/>
      <c r="F610" s="245"/>
      <c r="G610" s="32">
        <f>'Price List'!C610+'Cost Source'!N610</f>
        <v>48.78</v>
      </c>
      <c r="H610" s="262">
        <f t="shared" si="38"/>
        <v>48.99</v>
      </c>
      <c r="I610" s="277">
        <f>'Cost Source'!P610</f>
        <v>0</v>
      </c>
      <c r="J610" s="290">
        <v>15</v>
      </c>
    </row>
    <row r="611" spans="1:10" x14ac:dyDescent="0.25">
      <c r="A611" s="26" t="s">
        <v>426</v>
      </c>
      <c r="B611" s="42" t="s">
        <v>559</v>
      </c>
      <c r="C611" s="27">
        <f>'Price List'!C611+'Cost Source'!D611+'Cost Source'!O611</f>
        <v>84.84</v>
      </c>
      <c r="D611" s="229">
        <f t="shared" si="39"/>
        <v>84.99</v>
      </c>
      <c r="E611" s="27">
        <f>'Price List'!C611+'Cost Source'!Q611</f>
        <v>69.84</v>
      </c>
      <c r="F611" s="244">
        <f t="shared" si="41"/>
        <v>69.989999999999995</v>
      </c>
      <c r="G611" s="27">
        <f>'Price List'!C611+'Cost Source'!N611</f>
        <v>60.84</v>
      </c>
      <c r="H611" s="260">
        <f t="shared" si="38"/>
        <v>60.99</v>
      </c>
      <c r="I611" s="277">
        <f>'Cost Source'!P611</f>
        <v>0</v>
      </c>
      <c r="J611" s="289">
        <v>20</v>
      </c>
    </row>
    <row r="612" spans="1:10" x14ac:dyDescent="0.25">
      <c r="A612" s="36" t="s">
        <v>426</v>
      </c>
      <c r="B612" s="40" t="s">
        <v>560</v>
      </c>
      <c r="C612" s="35">
        <f>'Price List'!C612+'Cost Source'!D612+'Cost Source'!O612</f>
        <v>80.259999999999991</v>
      </c>
      <c r="D612" s="225">
        <f t="shared" si="39"/>
        <v>80.989999999999995</v>
      </c>
      <c r="E612" s="35">
        <f>'Price List'!C612+'Cost Source'!Q612</f>
        <v>65.259999999999991</v>
      </c>
      <c r="F612" s="240">
        <f t="shared" si="41"/>
        <v>65.989999999999995</v>
      </c>
      <c r="G612" s="35">
        <f>'Price List'!C612+'Cost Source'!N612</f>
        <v>57.26</v>
      </c>
      <c r="H612" s="263">
        <f t="shared" ref="H612:H673" si="42">ROUNDUP(G612,0)-0.01</f>
        <v>57.99</v>
      </c>
      <c r="I612" s="277">
        <f>'Cost Source'!P612</f>
        <v>0</v>
      </c>
      <c r="J612" s="290">
        <v>20</v>
      </c>
    </row>
    <row r="613" spans="1:10" x14ac:dyDescent="0.25">
      <c r="A613" t="s">
        <v>426</v>
      </c>
      <c r="B613" s="4">
        <v>6650559370</v>
      </c>
      <c r="C613" s="1">
        <f>'Price List'!C613+'Cost Source'!E613+'Cost Source'!O613</f>
        <v>46.53</v>
      </c>
      <c r="D613" s="226">
        <f t="shared" si="39"/>
        <v>46.99</v>
      </c>
      <c r="E613" s="1"/>
      <c r="F613" s="241"/>
      <c r="G613" s="1">
        <f>'Price List'!C613+'Cost Source'!N613</f>
        <v>25.53</v>
      </c>
      <c r="H613" s="257">
        <f t="shared" si="42"/>
        <v>25.99</v>
      </c>
      <c r="I613" s="277">
        <f>'Cost Source'!P613</f>
        <v>0</v>
      </c>
      <c r="J613" s="289">
        <v>10</v>
      </c>
    </row>
    <row r="614" spans="1:10" x14ac:dyDescent="0.25">
      <c r="A614" s="30" t="s">
        <v>426</v>
      </c>
      <c r="B614" s="34" t="s">
        <v>266</v>
      </c>
      <c r="C614" s="32">
        <f>'Price List'!C614+'Cost Source'!L614+'Cost Source'!O614</f>
        <v>15</v>
      </c>
      <c r="D614" s="227">
        <f t="shared" si="39"/>
        <v>14.99</v>
      </c>
      <c r="E614" s="32">
        <f>'Price List'!C614+'Cost Source'!Y614</f>
        <v>10</v>
      </c>
      <c r="F614" s="255">
        <f t="shared" si="41"/>
        <v>9.99</v>
      </c>
      <c r="G614" s="32">
        <f>'Price List'!C614+'Cost Source'!N614</f>
        <v>8</v>
      </c>
      <c r="H614" s="262">
        <f t="shared" si="42"/>
        <v>7.99</v>
      </c>
      <c r="I614" s="277">
        <f>'Cost Source'!P614</f>
        <v>0</v>
      </c>
      <c r="J614" s="290">
        <v>20</v>
      </c>
    </row>
    <row r="615" spans="1:10" x14ac:dyDescent="0.25">
      <c r="A615" s="26" t="s">
        <v>426</v>
      </c>
      <c r="B615" s="42">
        <v>85136709</v>
      </c>
      <c r="C615" s="27">
        <f>'Price List'!C615+'Cost Source'!D615+'Cost Source'!O615</f>
        <v>60.78</v>
      </c>
      <c r="D615" s="229">
        <f t="shared" si="39"/>
        <v>60.99</v>
      </c>
      <c r="E615" s="27">
        <f>'Price List'!C615+'Cost Source'!Q615</f>
        <v>45.78</v>
      </c>
      <c r="F615" s="244">
        <f t="shared" si="41"/>
        <v>45.99</v>
      </c>
      <c r="G615" s="27">
        <f>'Price List'!C615+'Cost Source'!N615</f>
        <v>35.78</v>
      </c>
      <c r="H615" s="260">
        <f t="shared" si="42"/>
        <v>35.99</v>
      </c>
      <c r="I615" s="277">
        <f>'Cost Source'!P615</f>
        <v>0</v>
      </c>
      <c r="J615" s="289">
        <v>20</v>
      </c>
    </row>
    <row r="616" spans="1:10" x14ac:dyDescent="0.25">
      <c r="A616" s="36" t="s">
        <v>426</v>
      </c>
      <c r="B616" s="40">
        <v>85145616</v>
      </c>
      <c r="C616" s="35">
        <f>'Price List'!C616+'Cost Source'!L616+'Cost Source'!O616</f>
        <v>48.08</v>
      </c>
      <c r="D616" s="230">
        <f t="shared" si="39"/>
        <v>48.99</v>
      </c>
      <c r="E616" s="35">
        <f>'Price List'!C616+'Cost Source'!Y616</f>
        <v>43.08</v>
      </c>
      <c r="F616" s="245">
        <f t="shared" si="41"/>
        <v>43.99</v>
      </c>
      <c r="G616" s="35">
        <f>'Price List'!C616+'Cost Source'!N616</f>
        <v>43.08</v>
      </c>
      <c r="H616" s="263">
        <f t="shared" si="42"/>
        <v>43.99</v>
      </c>
      <c r="I616" s="277">
        <f>'Cost Source'!P616</f>
        <v>0</v>
      </c>
      <c r="J616" s="290"/>
    </row>
    <row r="617" spans="1:10" x14ac:dyDescent="0.25">
      <c r="A617" t="s">
        <v>426</v>
      </c>
      <c r="B617" s="4">
        <v>85152246</v>
      </c>
      <c r="C617" s="1">
        <f>'Cost Source'!E617+'Cost Source'!F617+'Cost Source'!G617+'Cost Source'!O617</f>
        <v>55</v>
      </c>
      <c r="D617" s="226">
        <f t="shared" si="39"/>
        <v>54.99</v>
      </c>
      <c r="F617" s="241"/>
      <c r="G617" s="1">
        <f>'Price List'!C617+'Cost Source'!N617</f>
        <v>232.44</v>
      </c>
      <c r="H617" s="257">
        <f t="shared" si="42"/>
        <v>232.99</v>
      </c>
      <c r="I617" s="277">
        <f>'Cost Source'!P617</f>
        <v>0</v>
      </c>
      <c r="J617" s="289">
        <v>20</v>
      </c>
    </row>
    <row r="618" spans="1:10" x14ac:dyDescent="0.25">
      <c r="A618" s="30" t="s">
        <v>427</v>
      </c>
      <c r="B618" s="34" t="s">
        <v>586</v>
      </c>
      <c r="C618" s="38">
        <f>'Price List'!C618+'Cost Source'!E618+'Cost Source'!O618</f>
        <v>53.760000000000005</v>
      </c>
      <c r="D618" s="224">
        <f t="shared" si="39"/>
        <v>53.99</v>
      </c>
      <c r="E618" s="30"/>
      <c r="F618" s="239"/>
      <c r="G618" s="32">
        <f>'Price List'!C618+'Cost Source'!N618</f>
        <v>39.760000000000005</v>
      </c>
      <c r="H618" s="258">
        <f t="shared" si="42"/>
        <v>39.99</v>
      </c>
      <c r="I618" s="272">
        <f>'Cost Source'!P618</f>
        <v>-10</v>
      </c>
      <c r="J618" s="290">
        <v>15</v>
      </c>
    </row>
    <row r="619" spans="1:10" x14ac:dyDescent="0.25">
      <c r="A619" s="26" t="s">
        <v>427</v>
      </c>
      <c r="B619" s="43" t="s">
        <v>587</v>
      </c>
      <c r="C619" s="27">
        <f>'Price List'!C619+'Cost Source'!G619+'Cost Source'!O619</f>
        <v>43.31</v>
      </c>
      <c r="D619" s="229">
        <f t="shared" si="39"/>
        <v>43.99</v>
      </c>
      <c r="E619" s="26"/>
      <c r="F619" s="244"/>
      <c r="G619" s="35">
        <f>'Price List'!C619+'Cost Source'!N619</f>
        <v>27.31</v>
      </c>
      <c r="H619" s="260">
        <f t="shared" si="42"/>
        <v>27.99</v>
      </c>
      <c r="I619" s="277">
        <f>'Cost Source'!P619</f>
        <v>0</v>
      </c>
      <c r="J619" s="289">
        <v>20</v>
      </c>
    </row>
    <row r="620" spans="1:10" x14ac:dyDescent="0.25">
      <c r="A620" s="36" t="s">
        <v>427</v>
      </c>
      <c r="B620" s="44" t="s">
        <v>588</v>
      </c>
      <c r="C620" s="35">
        <f>'Price List'!C620+'Cost Source'!G620+'Cost Source'!O620</f>
        <v>50.09</v>
      </c>
      <c r="D620" s="225">
        <f t="shared" si="39"/>
        <v>50.99</v>
      </c>
      <c r="E620" s="36"/>
      <c r="F620" s="240"/>
      <c r="G620" s="35">
        <f>'Price List'!C620+'Cost Source'!N620</f>
        <v>37.090000000000003</v>
      </c>
      <c r="H620" s="259">
        <f t="shared" si="42"/>
        <v>37.99</v>
      </c>
      <c r="I620" s="272">
        <f>'Cost Source'!P620</f>
        <v>-10</v>
      </c>
      <c r="J620" s="290">
        <v>20</v>
      </c>
    </row>
    <row r="621" spans="1:10" x14ac:dyDescent="0.25">
      <c r="A621" t="s">
        <v>427</v>
      </c>
      <c r="B621" s="5" t="s">
        <v>267</v>
      </c>
      <c r="D621" s="226"/>
      <c r="F621" s="241"/>
      <c r="G621" s="32">
        <f>'Price List'!C621+'Cost Source'!N621</f>
        <v>50.42</v>
      </c>
      <c r="H621" s="257">
        <f t="shared" si="42"/>
        <v>50.99</v>
      </c>
      <c r="I621" s="277">
        <f>'Cost Source'!P621</f>
        <v>0</v>
      </c>
      <c r="J621" s="289"/>
    </row>
    <row r="622" spans="1:10" x14ac:dyDescent="0.25">
      <c r="A622" s="30" t="s">
        <v>427</v>
      </c>
      <c r="B622" s="33">
        <v>23535927</v>
      </c>
      <c r="C622" s="30"/>
      <c r="D622" s="224"/>
      <c r="E622" s="30"/>
      <c r="F622" s="239"/>
      <c r="G622" s="32">
        <f>'Price List'!C622+'Cost Source'!N622</f>
        <v>97.53</v>
      </c>
      <c r="H622" s="258">
        <f t="shared" si="42"/>
        <v>97.99</v>
      </c>
      <c r="I622" s="277">
        <f>'Cost Source'!P622</f>
        <v>0</v>
      </c>
      <c r="J622" s="290"/>
    </row>
    <row r="623" spans="1:10" x14ac:dyDescent="0.25">
      <c r="A623" s="26" t="s">
        <v>427</v>
      </c>
      <c r="B623" s="42">
        <v>3282266</v>
      </c>
      <c r="C623" s="26"/>
      <c r="D623" s="229"/>
      <c r="E623" s="26"/>
      <c r="F623" s="244"/>
      <c r="G623" s="35">
        <f>'Price List'!C623+'Cost Source'!N623</f>
        <v>20.100000000000001</v>
      </c>
      <c r="H623" s="260">
        <f t="shared" si="42"/>
        <v>20.99</v>
      </c>
      <c r="I623" s="277">
        <f>'Cost Source'!P623</f>
        <v>0</v>
      </c>
      <c r="J623" s="289"/>
    </row>
    <row r="624" spans="1:10" x14ac:dyDescent="0.25">
      <c r="A624" s="36" t="s">
        <v>427</v>
      </c>
      <c r="B624" s="40">
        <v>3287561</v>
      </c>
      <c r="C624" s="36"/>
      <c r="D624" s="225"/>
      <c r="E624" s="36"/>
      <c r="F624" s="240"/>
      <c r="G624" s="35">
        <f>'Price List'!C624+'Cost Source'!N624</f>
        <v>22.119999999999997</v>
      </c>
      <c r="H624" s="259">
        <f t="shared" si="42"/>
        <v>22.99</v>
      </c>
      <c r="I624" s="277">
        <f>'Cost Source'!P624</f>
        <v>0</v>
      </c>
      <c r="J624" s="290"/>
    </row>
    <row r="625" spans="1:10" x14ac:dyDescent="0.25">
      <c r="A625" t="s">
        <v>427</v>
      </c>
      <c r="B625" s="4" t="s">
        <v>589</v>
      </c>
      <c r="C625" s="23">
        <f>'Price List'!C625+'Cost Source'!E625+'Cost Source'!O625</f>
        <v>49.92</v>
      </c>
      <c r="D625" s="226">
        <f t="shared" si="39"/>
        <v>49.99</v>
      </c>
      <c r="F625" s="241"/>
      <c r="G625" s="32">
        <f>'Price List'!C625+'Cost Source'!N625</f>
        <v>35.92</v>
      </c>
      <c r="H625" s="257">
        <f t="shared" si="42"/>
        <v>35.99</v>
      </c>
      <c r="I625" s="272">
        <f>'Cost Source'!P625</f>
        <v>-10</v>
      </c>
      <c r="J625" s="289">
        <v>15</v>
      </c>
    </row>
    <row r="626" spans="1:10" x14ac:dyDescent="0.25">
      <c r="A626" s="30" t="s">
        <v>427</v>
      </c>
      <c r="B626" s="33" t="s">
        <v>590</v>
      </c>
      <c r="C626" s="32">
        <f>'Price List'!C626+'Cost Source'!D626+'Cost Source'!O626</f>
        <v>85.65</v>
      </c>
      <c r="D626" s="224">
        <f t="shared" si="39"/>
        <v>85.99</v>
      </c>
      <c r="E626" s="32">
        <f>'Price List'!C626+'Cost Source'!Q626</f>
        <v>70.650000000000006</v>
      </c>
      <c r="F626" s="239">
        <f t="shared" ref="F626:F627" si="43">ROUNDUP(E626,0)-0.01</f>
        <v>70.989999999999995</v>
      </c>
      <c r="G626" s="32">
        <f>'Price List'!C626+'Cost Source'!N626</f>
        <v>66.650000000000006</v>
      </c>
      <c r="H626" s="258">
        <f t="shared" si="42"/>
        <v>66.989999999999995</v>
      </c>
      <c r="I626" s="277">
        <f>'Cost Source'!P626</f>
        <v>0</v>
      </c>
      <c r="J626" s="290">
        <v>20</v>
      </c>
    </row>
    <row r="627" spans="1:10" x14ac:dyDescent="0.25">
      <c r="A627" s="26" t="s">
        <v>427</v>
      </c>
      <c r="B627" s="43" t="s">
        <v>268</v>
      </c>
      <c r="C627" s="27">
        <f>'Price List'!C627+'Cost Source'!E627+'Cost Source'!O627</f>
        <v>51.53</v>
      </c>
      <c r="D627" s="229">
        <f t="shared" si="39"/>
        <v>51.99</v>
      </c>
      <c r="E627" s="27">
        <f>'Price List'!C627+'Cost Source'!R627</f>
        <v>36.53</v>
      </c>
      <c r="F627" s="239">
        <f t="shared" si="43"/>
        <v>36.99</v>
      </c>
      <c r="G627" s="35">
        <f>'Price List'!C627+'Cost Source'!N627</f>
        <v>31.53</v>
      </c>
      <c r="H627" s="260">
        <f t="shared" si="42"/>
        <v>31.99</v>
      </c>
      <c r="I627" s="277">
        <f>'Cost Source'!P627</f>
        <v>0</v>
      </c>
      <c r="J627" s="289">
        <v>20</v>
      </c>
    </row>
    <row r="628" spans="1:10" x14ac:dyDescent="0.25">
      <c r="A628" s="36" t="s">
        <v>427</v>
      </c>
      <c r="B628" s="44" t="s">
        <v>269</v>
      </c>
      <c r="C628" s="36"/>
      <c r="D628" s="225"/>
      <c r="E628" s="36"/>
      <c r="F628" s="239"/>
      <c r="G628" s="35">
        <f>'Price List'!C628+'Cost Source'!N628</f>
        <v>37.159999999999997</v>
      </c>
      <c r="H628" s="259">
        <f t="shared" si="42"/>
        <v>37.99</v>
      </c>
      <c r="I628" s="277">
        <f>'Cost Source'!P628</f>
        <v>0</v>
      </c>
      <c r="J628" s="290">
        <v>15</v>
      </c>
    </row>
    <row r="629" spans="1:10" x14ac:dyDescent="0.25">
      <c r="A629" t="s">
        <v>427</v>
      </c>
      <c r="B629" s="5" t="s">
        <v>270</v>
      </c>
      <c r="D629" s="226"/>
      <c r="F629" s="239"/>
      <c r="G629" s="32">
        <f>'Price List'!C629+'Cost Source'!N629</f>
        <v>38.46</v>
      </c>
      <c r="H629" s="257">
        <f t="shared" si="42"/>
        <v>38.99</v>
      </c>
      <c r="I629" s="277">
        <f>'Cost Source'!P629</f>
        <v>0</v>
      </c>
      <c r="J629" s="289"/>
    </row>
    <row r="630" spans="1:10" x14ac:dyDescent="0.25">
      <c r="A630" s="30" t="s">
        <v>427</v>
      </c>
      <c r="B630" s="34" t="s">
        <v>271</v>
      </c>
      <c r="C630" s="30"/>
      <c r="D630" s="224"/>
      <c r="E630" s="30"/>
      <c r="F630" s="239"/>
      <c r="G630" s="32">
        <f>'Price List'!C630+'Cost Source'!N630</f>
        <v>51.88</v>
      </c>
      <c r="H630" s="258">
        <f t="shared" si="42"/>
        <v>51.99</v>
      </c>
      <c r="I630" s="277">
        <f>'Cost Source'!P630</f>
        <v>0</v>
      </c>
      <c r="J630" s="290"/>
    </row>
    <row r="631" spans="1:10" x14ac:dyDescent="0.25">
      <c r="A631" s="26" t="s">
        <v>427</v>
      </c>
      <c r="B631" s="43" t="s">
        <v>272</v>
      </c>
      <c r="C631" s="26"/>
      <c r="D631" s="229"/>
      <c r="E631" s="26"/>
      <c r="F631" s="239"/>
      <c r="G631" s="35">
        <f>'Price List'!C631+'Cost Source'!N631</f>
        <v>99.06</v>
      </c>
      <c r="H631" s="260">
        <f t="shared" si="42"/>
        <v>99.99</v>
      </c>
      <c r="I631" s="277">
        <f>'Cost Source'!P631</f>
        <v>0</v>
      </c>
      <c r="J631" s="290"/>
    </row>
    <row r="632" spans="1:10" x14ac:dyDescent="0.25">
      <c r="A632" s="36" t="s">
        <v>427</v>
      </c>
      <c r="B632" s="44" t="s">
        <v>273</v>
      </c>
      <c r="C632" s="35">
        <f>'Price List'!C632+'Cost Source'!G632+'Cost Source'!O632</f>
        <v>48.79</v>
      </c>
      <c r="D632" s="225">
        <f t="shared" ref="D632:D814" si="44">ROUNDUP(C632,0)-0.01</f>
        <v>48.99</v>
      </c>
      <c r="E632" s="36"/>
      <c r="F632" s="239"/>
      <c r="G632" s="35">
        <f>'Price List'!C632+'Cost Source'!N632</f>
        <v>28.79</v>
      </c>
      <c r="H632" s="259">
        <f t="shared" si="42"/>
        <v>28.99</v>
      </c>
      <c r="I632" s="272">
        <f>'Cost Source'!P632</f>
        <v>-5</v>
      </c>
      <c r="J632" s="289">
        <v>20</v>
      </c>
    </row>
    <row r="633" spans="1:10" x14ac:dyDescent="0.25">
      <c r="A633" t="s">
        <v>427</v>
      </c>
      <c r="B633" s="5" t="s">
        <v>274</v>
      </c>
      <c r="D633" s="226"/>
      <c r="F633" s="239"/>
      <c r="G633" s="32">
        <f>'Price List'!C633+'Cost Source'!N633</f>
        <v>370.48</v>
      </c>
      <c r="H633" s="257">
        <f t="shared" si="42"/>
        <v>370.99</v>
      </c>
      <c r="I633" s="277">
        <f>'Cost Source'!P633</f>
        <v>0</v>
      </c>
      <c r="J633" s="290"/>
    </row>
    <row r="634" spans="1:10" x14ac:dyDescent="0.25">
      <c r="A634" s="30" t="s">
        <v>427</v>
      </c>
      <c r="B634" s="34" t="s">
        <v>275</v>
      </c>
      <c r="C634" s="32">
        <f>'Price List'!C634+'Cost Source'!E634+'Cost Source'!O634</f>
        <v>58.71</v>
      </c>
      <c r="D634" s="224">
        <f t="shared" si="44"/>
        <v>58.99</v>
      </c>
      <c r="E634" s="30"/>
      <c r="F634" s="239"/>
      <c r="G634" s="32">
        <f>'Price List'!C634+'Cost Source'!N634</f>
        <v>39.71</v>
      </c>
      <c r="H634" s="258">
        <f t="shared" si="42"/>
        <v>39.99</v>
      </c>
      <c r="I634" s="272">
        <f>'Cost Source'!P634</f>
        <v>-10</v>
      </c>
      <c r="J634" s="289">
        <v>15</v>
      </c>
    </row>
    <row r="635" spans="1:10" x14ac:dyDescent="0.25">
      <c r="A635" s="26" t="s">
        <v>427</v>
      </c>
      <c r="B635" s="43" t="s">
        <v>276</v>
      </c>
      <c r="C635" s="27">
        <f>'Price List'!C635+'Cost Source'!E635+'Cost Source'!O635</f>
        <v>65.400000000000006</v>
      </c>
      <c r="D635" s="229">
        <f t="shared" si="44"/>
        <v>65.989999999999995</v>
      </c>
      <c r="E635" s="26"/>
      <c r="F635" s="239"/>
      <c r="G635" s="35">
        <f>'Price List'!C635+'Cost Source'!N635</f>
        <v>48.4</v>
      </c>
      <c r="H635" s="260">
        <f t="shared" si="42"/>
        <v>48.99</v>
      </c>
      <c r="I635" s="272">
        <f>'Cost Source'!P635</f>
        <v>-10</v>
      </c>
      <c r="J635" s="290">
        <v>15</v>
      </c>
    </row>
    <row r="636" spans="1:10" x14ac:dyDescent="0.25">
      <c r="A636" s="36" t="s">
        <v>427</v>
      </c>
      <c r="B636" s="44" t="s">
        <v>277</v>
      </c>
      <c r="C636" s="35">
        <f>'Price List'!C636+'Cost Source'!L636</f>
        <v>4.87</v>
      </c>
      <c r="D636" s="230">
        <f t="shared" si="44"/>
        <v>4.99</v>
      </c>
      <c r="E636" s="35">
        <f>'Price List'!C636+'Cost Source'!Y636</f>
        <v>4.87</v>
      </c>
      <c r="F636" s="239">
        <f t="shared" ref="F636:F637" si="45">ROUNDUP(E636,0)-0.01</f>
        <v>4.99</v>
      </c>
      <c r="G636" s="35">
        <f>'Price List'!C636+'Cost Source'!N636</f>
        <v>4.87</v>
      </c>
      <c r="H636" s="259">
        <f t="shared" si="42"/>
        <v>4.99</v>
      </c>
      <c r="I636" s="277">
        <f>'Cost Source'!P636</f>
        <v>0</v>
      </c>
      <c r="J636" s="289"/>
    </row>
    <row r="637" spans="1:10" x14ac:dyDescent="0.25">
      <c r="A637" t="s">
        <v>427</v>
      </c>
      <c r="B637" s="5" t="s">
        <v>278</v>
      </c>
      <c r="C637" s="35">
        <f>'Price List'!C637+'Cost Source'!L637</f>
        <v>8.9499999999999993</v>
      </c>
      <c r="D637" s="230">
        <f t="shared" si="44"/>
        <v>8.99</v>
      </c>
      <c r="E637" s="35">
        <f>'Price List'!C637+'Cost Source'!Y637</f>
        <v>8.9499999999999993</v>
      </c>
      <c r="F637" s="239">
        <f t="shared" si="45"/>
        <v>8.99</v>
      </c>
      <c r="G637" s="32">
        <f>'Price List'!C637+'Cost Source'!N637</f>
        <v>8.9499999999999993</v>
      </c>
      <c r="H637" s="257">
        <f t="shared" si="42"/>
        <v>8.99</v>
      </c>
      <c r="I637" s="277">
        <f>'Cost Source'!P637</f>
        <v>0</v>
      </c>
      <c r="J637" s="290"/>
    </row>
    <row r="638" spans="1:10" x14ac:dyDescent="0.25">
      <c r="A638" s="30" t="s">
        <v>427</v>
      </c>
      <c r="B638" s="34" t="s">
        <v>279</v>
      </c>
      <c r="C638" s="30"/>
      <c r="D638" s="224"/>
      <c r="E638" s="30"/>
      <c r="F638" s="239"/>
      <c r="G638" s="32">
        <f>'Price List'!C638+'Cost Source'!N638</f>
        <v>13.95</v>
      </c>
      <c r="H638" s="258">
        <f t="shared" si="42"/>
        <v>13.99</v>
      </c>
      <c r="I638" s="277">
        <f>'Cost Source'!P638</f>
        <v>0</v>
      </c>
      <c r="J638" s="289"/>
    </row>
    <row r="639" spans="1:10" x14ac:dyDescent="0.25">
      <c r="A639" s="26" t="s">
        <v>427</v>
      </c>
      <c r="B639" s="43" t="s">
        <v>280</v>
      </c>
      <c r="C639" s="26"/>
      <c r="D639" s="229"/>
      <c r="E639" s="26"/>
      <c r="F639" s="239"/>
      <c r="G639" s="35">
        <f>'Price List'!C639+'Cost Source'!N639</f>
        <v>16.66</v>
      </c>
      <c r="H639" s="260">
        <f t="shared" si="42"/>
        <v>16.989999999999998</v>
      </c>
      <c r="I639" s="277">
        <f>'Cost Source'!P639</f>
        <v>0</v>
      </c>
      <c r="J639" s="290"/>
    </row>
    <row r="640" spans="1:10" x14ac:dyDescent="0.25">
      <c r="A640" s="36" t="s">
        <v>427</v>
      </c>
      <c r="B640" s="44" t="s">
        <v>281</v>
      </c>
      <c r="C640" s="35">
        <f>'Price List'!C640+'Cost Source'!L640</f>
        <v>6.93</v>
      </c>
      <c r="D640" s="225"/>
      <c r="E640" s="35">
        <f>'Price List'!C640+'Cost Source'!Y640</f>
        <v>6.93</v>
      </c>
      <c r="F640" s="239"/>
      <c r="G640" s="35">
        <f>'Price List'!C640+'Cost Source'!N640</f>
        <v>6.93</v>
      </c>
      <c r="H640" s="259">
        <f t="shared" si="42"/>
        <v>6.99</v>
      </c>
      <c r="I640" s="277">
        <f>'Cost Source'!P640</f>
        <v>0</v>
      </c>
      <c r="J640" s="289"/>
    </row>
    <row r="641" spans="1:10" x14ac:dyDescent="0.25">
      <c r="A641" s="25" t="s">
        <v>427</v>
      </c>
      <c r="B641" s="5" t="s">
        <v>282</v>
      </c>
      <c r="C641" s="38">
        <f>'Price List'!C641+'Cost Source'!L641</f>
        <v>2.42</v>
      </c>
      <c r="D641" s="232">
        <f t="shared" si="44"/>
        <v>2.99</v>
      </c>
      <c r="E641" s="38">
        <f>'Price List'!C641+'Cost Source'!Y641</f>
        <v>2.42</v>
      </c>
      <c r="F641" s="253">
        <f t="shared" ref="F641:F673" si="46">ROUNDUP(E641,0)-0.01</f>
        <v>2.99</v>
      </c>
      <c r="G641" s="38">
        <f>'Price List'!C641+'Cost Source'!N641</f>
        <v>2.42</v>
      </c>
      <c r="H641" s="265">
        <f t="shared" si="42"/>
        <v>2.99</v>
      </c>
      <c r="I641" s="277">
        <f>'Cost Source'!P641</f>
        <v>0</v>
      </c>
      <c r="J641" s="290"/>
    </row>
    <row r="642" spans="1:10" x14ac:dyDescent="0.25">
      <c r="A642" s="37" t="s">
        <v>427</v>
      </c>
      <c r="B642" s="34" t="s">
        <v>283</v>
      </c>
      <c r="C642" s="38">
        <f>'Price List'!C642+'Cost Source'!L642</f>
        <v>6.07</v>
      </c>
      <c r="D642" s="232">
        <f t="shared" si="44"/>
        <v>6.99</v>
      </c>
      <c r="E642" s="38">
        <f>'Price List'!C642+'Cost Source'!Y642</f>
        <v>6.07</v>
      </c>
      <c r="F642" s="253">
        <f t="shared" si="46"/>
        <v>6.99</v>
      </c>
      <c r="G642" s="38">
        <f>'Price List'!C642+'Cost Source'!N642</f>
        <v>6.07</v>
      </c>
      <c r="H642" s="264">
        <f t="shared" si="42"/>
        <v>6.99</v>
      </c>
      <c r="I642" s="277">
        <f>'Cost Source'!P642</f>
        <v>0</v>
      </c>
      <c r="J642" s="289"/>
    </row>
    <row r="643" spans="1:10" x14ac:dyDescent="0.25">
      <c r="A643" s="26" t="s">
        <v>427</v>
      </c>
      <c r="B643" s="43" t="s">
        <v>284</v>
      </c>
      <c r="C643" s="26"/>
      <c r="D643" s="225"/>
      <c r="E643" s="26"/>
      <c r="F643" s="239"/>
      <c r="G643" s="35">
        <f>'Price List'!C643+'Cost Source'!N643</f>
        <v>15.75</v>
      </c>
      <c r="H643" s="260">
        <f t="shared" si="42"/>
        <v>15.99</v>
      </c>
      <c r="I643" s="277">
        <f>'Cost Source'!P643</f>
        <v>0</v>
      </c>
      <c r="J643" s="290"/>
    </row>
    <row r="644" spans="1:10" x14ac:dyDescent="0.25">
      <c r="A644" s="36" t="s">
        <v>427</v>
      </c>
      <c r="B644" s="44" t="s">
        <v>285</v>
      </c>
      <c r="C644" s="35">
        <f>'Price List'!C644+'Cost Source'!G644+'Cost Source'!O644</f>
        <v>72.84</v>
      </c>
      <c r="D644" s="225">
        <f t="shared" si="44"/>
        <v>72.989999999999995</v>
      </c>
      <c r="E644" s="36"/>
      <c r="F644" s="239"/>
      <c r="G644" s="35">
        <f>'Price List'!C644+'Cost Source'!N644</f>
        <v>49.84</v>
      </c>
      <c r="H644" s="259">
        <f t="shared" si="42"/>
        <v>49.99</v>
      </c>
      <c r="I644" s="272">
        <f>'Cost Source'!P644</f>
        <v>-5</v>
      </c>
      <c r="J644" s="290">
        <v>20</v>
      </c>
    </row>
    <row r="645" spans="1:10" x14ac:dyDescent="0.25">
      <c r="A645" s="24" t="s">
        <v>970</v>
      </c>
      <c r="B645" s="5">
        <v>10002</v>
      </c>
      <c r="C645" s="23">
        <f>'Price List'!C645+'Cost Source'!L645+'Cost Source'!O645</f>
        <v>40</v>
      </c>
      <c r="D645" s="236">
        <f t="shared" si="44"/>
        <v>39.99</v>
      </c>
      <c r="E645" s="23">
        <f>'Price List'!C645+'Cost Source'!Y645</f>
        <v>40</v>
      </c>
      <c r="F645" s="256">
        <f t="shared" si="46"/>
        <v>39.99</v>
      </c>
      <c r="G645" s="23">
        <f>'Price List'!C645+'Cost Source'!N645</f>
        <v>40</v>
      </c>
      <c r="H645" s="264">
        <f t="shared" si="42"/>
        <v>39.99</v>
      </c>
      <c r="I645" s="278"/>
      <c r="J645" s="289"/>
    </row>
    <row r="646" spans="1:10" x14ac:dyDescent="0.25">
      <c r="A646" s="199" t="s">
        <v>970</v>
      </c>
      <c r="B646" s="151">
        <v>10013</v>
      </c>
      <c r="C646" s="200">
        <f>'Price List'!C646+'Cost Source'!L646+'Cost Source'!O646</f>
        <v>40</v>
      </c>
      <c r="D646" s="235">
        <f t="shared" si="44"/>
        <v>39.99</v>
      </c>
      <c r="E646" s="200">
        <f>'Price List'!C646+'Cost Source'!Y646</f>
        <v>40</v>
      </c>
      <c r="F646" s="255">
        <f t="shared" si="46"/>
        <v>39.99</v>
      </c>
      <c r="G646" s="200">
        <f>'Price List'!C646+'Cost Source'!N646</f>
        <v>40</v>
      </c>
      <c r="H646" s="264">
        <f t="shared" si="42"/>
        <v>39.99</v>
      </c>
      <c r="I646" s="279"/>
      <c r="J646" s="290"/>
    </row>
    <row r="647" spans="1:10" x14ac:dyDescent="0.25">
      <c r="A647" s="22" t="s">
        <v>970</v>
      </c>
      <c r="B647" s="43">
        <v>10015</v>
      </c>
      <c r="C647" s="27">
        <f>'Price List'!C647+'Cost Source'!L647+'Cost Source'!O647</f>
        <v>11.99</v>
      </c>
      <c r="D647" s="229">
        <f t="shared" si="44"/>
        <v>11.99</v>
      </c>
      <c r="E647" s="27">
        <f>'Price List'!C647+'Cost Source'!Y647</f>
        <v>11.99</v>
      </c>
      <c r="F647" s="244">
        <f t="shared" si="46"/>
        <v>11.99</v>
      </c>
      <c r="G647" s="27">
        <f>'Price List'!C647+'Cost Source'!N647</f>
        <v>11.99</v>
      </c>
      <c r="H647" s="259">
        <f t="shared" si="42"/>
        <v>11.99</v>
      </c>
      <c r="I647" s="274"/>
      <c r="J647" s="289"/>
    </row>
    <row r="648" spans="1:10" x14ac:dyDescent="0.25">
      <c r="A648" s="201" t="s">
        <v>970</v>
      </c>
      <c r="B648" s="157">
        <v>10031</v>
      </c>
      <c r="C648" s="144">
        <f>'Price List'!C648+'Cost Source'!L648+'Cost Source'!O648</f>
        <v>39.489999999999995</v>
      </c>
      <c r="D648" s="230">
        <f t="shared" si="44"/>
        <v>39.99</v>
      </c>
      <c r="E648" s="144">
        <f>'Price List'!C648+'Cost Source'!Y648</f>
        <v>39.489999999999995</v>
      </c>
      <c r="F648" s="245">
        <f t="shared" si="46"/>
        <v>39.99</v>
      </c>
      <c r="G648" s="144">
        <f>'Price List'!C648+'Cost Source'!N648</f>
        <v>39.489999999999995</v>
      </c>
      <c r="H648" s="259">
        <f t="shared" si="42"/>
        <v>39.99</v>
      </c>
      <c r="I648" s="275"/>
      <c r="J648" s="290"/>
    </row>
    <row r="649" spans="1:10" x14ac:dyDescent="0.25">
      <c r="A649" s="24" t="s">
        <v>970</v>
      </c>
      <c r="B649" s="5">
        <v>20131</v>
      </c>
      <c r="C649" s="23">
        <f>'Price List'!C649+'Cost Source'!L649+'Cost Source'!O649</f>
        <v>45</v>
      </c>
      <c r="D649" s="233">
        <f t="shared" si="44"/>
        <v>44.99</v>
      </c>
      <c r="E649" s="23">
        <f>'Price List'!C649+'Cost Source'!Y649</f>
        <v>45</v>
      </c>
      <c r="F649" s="247">
        <f t="shared" si="46"/>
        <v>44.99</v>
      </c>
      <c r="G649" s="23">
        <f>'Price List'!C649+'Cost Source'!N649</f>
        <v>45</v>
      </c>
      <c r="H649" s="268">
        <f t="shared" si="42"/>
        <v>44.99</v>
      </c>
      <c r="I649" s="281"/>
      <c r="J649" s="289"/>
    </row>
    <row r="650" spans="1:10" x14ac:dyDescent="0.25">
      <c r="A650" s="199" t="s">
        <v>970</v>
      </c>
      <c r="B650" s="151">
        <v>20279</v>
      </c>
      <c r="C650" s="200">
        <f>'Price List'!C650+'Cost Source'!L650+'Cost Source'!O650</f>
        <v>49.5</v>
      </c>
      <c r="D650" s="235">
        <f t="shared" si="44"/>
        <v>49.99</v>
      </c>
      <c r="E650" s="200">
        <f>'Price List'!C650+'Cost Source'!Y650</f>
        <v>49.5</v>
      </c>
      <c r="F650" s="255">
        <f t="shared" si="46"/>
        <v>49.99</v>
      </c>
      <c r="G650" s="200">
        <f>'Price List'!C650+'Cost Source'!N650</f>
        <v>49.5</v>
      </c>
      <c r="H650" s="268">
        <f t="shared" si="42"/>
        <v>49.99</v>
      </c>
      <c r="I650" s="279"/>
      <c r="J650" s="290"/>
    </row>
    <row r="651" spans="1:10" x14ac:dyDescent="0.25">
      <c r="A651" s="168" t="s">
        <v>630</v>
      </c>
      <c r="B651" s="151">
        <v>908959</v>
      </c>
      <c r="C651" s="200">
        <f>'Price List'!C651+'Cost Source'!L651</f>
        <v>20.45</v>
      </c>
      <c r="D651" s="235">
        <f t="shared" si="44"/>
        <v>20.99</v>
      </c>
      <c r="E651" s="200">
        <f>'Price List'!C651+'Cost Source'!Y651</f>
        <v>20.45</v>
      </c>
      <c r="F651" s="255">
        <f t="shared" si="46"/>
        <v>20.99</v>
      </c>
      <c r="G651" s="200">
        <f>'Price List'!C651+'Cost Source'!N651</f>
        <v>20.45</v>
      </c>
      <c r="H651" s="264">
        <f t="shared" si="42"/>
        <v>20.99</v>
      </c>
      <c r="I651" s="279"/>
      <c r="J651" s="290"/>
    </row>
    <row r="652" spans="1:10" x14ac:dyDescent="0.25">
      <c r="A652" s="147"/>
      <c r="B652" s="202" t="s">
        <v>977</v>
      </c>
      <c r="C652" s="144"/>
      <c r="D652" s="225"/>
      <c r="E652" s="147"/>
      <c r="F652" s="240"/>
      <c r="G652" s="144"/>
      <c r="H652" s="259"/>
      <c r="I652" s="275"/>
      <c r="J652" s="289"/>
    </row>
    <row r="653" spans="1:10" x14ac:dyDescent="0.25">
      <c r="A653" s="26"/>
      <c r="B653" s="203">
        <v>43143530</v>
      </c>
      <c r="C653" s="27"/>
      <c r="D653" s="225"/>
      <c r="E653" s="26"/>
      <c r="F653" s="240"/>
      <c r="G653" s="27"/>
      <c r="H653" s="259"/>
      <c r="I653" s="274"/>
      <c r="J653" s="290"/>
    </row>
    <row r="654" spans="1:10" x14ac:dyDescent="0.25">
      <c r="A654" s="168"/>
      <c r="B654" s="205" t="s">
        <v>978</v>
      </c>
      <c r="C654" s="200"/>
      <c r="D654" s="232"/>
      <c r="E654" s="168"/>
      <c r="F654" s="253"/>
      <c r="G654" s="200"/>
      <c r="H654" s="264"/>
      <c r="I654" s="279"/>
      <c r="J654" s="289"/>
    </row>
    <row r="655" spans="1:10" x14ac:dyDescent="0.25">
      <c r="A655" s="25"/>
      <c r="B655" s="204" t="s">
        <v>979</v>
      </c>
      <c r="C655" s="23"/>
      <c r="D655" s="232"/>
      <c r="E655" s="25"/>
      <c r="F655" s="253"/>
      <c r="G655" s="23"/>
      <c r="H655" s="264"/>
      <c r="I655" s="281"/>
      <c r="J655" s="290"/>
    </row>
    <row r="656" spans="1:10" x14ac:dyDescent="0.25">
      <c r="A656" s="201" t="s">
        <v>996</v>
      </c>
      <c r="B656" s="202">
        <v>908916</v>
      </c>
      <c r="C656" s="144">
        <f>G656</f>
        <v>79.88</v>
      </c>
      <c r="D656" s="225">
        <f t="shared" si="44"/>
        <v>79.989999999999995</v>
      </c>
      <c r="E656" s="144">
        <f>G656</f>
        <v>79.88</v>
      </c>
      <c r="F656" s="240">
        <f t="shared" si="46"/>
        <v>79.989999999999995</v>
      </c>
      <c r="G656" s="144">
        <f>'Price List'!C656+'Cost Source'!N656</f>
        <v>79.88</v>
      </c>
      <c r="H656" s="259">
        <f t="shared" si="42"/>
        <v>79.989999999999995</v>
      </c>
      <c r="I656" s="275"/>
      <c r="J656" s="289"/>
    </row>
    <row r="657" spans="1:10" x14ac:dyDescent="0.25">
      <c r="A657" s="22" t="s">
        <v>996</v>
      </c>
      <c r="B657" s="203">
        <v>219194</v>
      </c>
      <c r="C657" s="144">
        <f t="shared" ref="C657:C669" si="47">G657</f>
        <v>32.799999999999997</v>
      </c>
      <c r="D657" s="225">
        <f t="shared" si="44"/>
        <v>32.99</v>
      </c>
      <c r="E657" s="144">
        <f t="shared" ref="E657:E669" si="48">G657</f>
        <v>32.799999999999997</v>
      </c>
      <c r="F657" s="240">
        <f t="shared" si="46"/>
        <v>32.99</v>
      </c>
      <c r="G657" s="144">
        <f>'Price List'!C657+'Cost Source'!N657</f>
        <v>32.799999999999997</v>
      </c>
      <c r="H657" s="259">
        <f t="shared" si="42"/>
        <v>32.99</v>
      </c>
      <c r="I657" s="274"/>
      <c r="J657" s="290"/>
    </row>
    <row r="658" spans="1:10" x14ac:dyDescent="0.25">
      <c r="A658" s="199" t="s">
        <v>996</v>
      </c>
      <c r="B658" s="205">
        <v>219196</v>
      </c>
      <c r="C658" s="200">
        <f t="shared" si="47"/>
        <v>33.6</v>
      </c>
      <c r="D658" s="232">
        <f t="shared" si="44"/>
        <v>33.99</v>
      </c>
      <c r="E658" s="200">
        <f t="shared" si="48"/>
        <v>33.6</v>
      </c>
      <c r="F658" s="253">
        <f t="shared" si="46"/>
        <v>33.99</v>
      </c>
      <c r="G658" s="200">
        <f>'Price List'!C658+'Cost Source'!N658</f>
        <v>33.6</v>
      </c>
      <c r="H658" s="264">
        <f t="shared" si="42"/>
        <v>33.99</v>
      </c>
      <c r="I658" s="279"/>
      <c r="J658" s="289"/>
    </row>
    <row r="659" spans="1:10" x14ac:dyDescent="0.25">
      <c r="A659" s="24" t="s">
        <v>996</v>
      </c>
      <c r="B659" s="204" t="s">
        <v>1222</v>
      </c>
      <c r="C659" s="200">
        <f t="shared" si="47"/>
        <v>34.129999999999995</v>
      </c>
      <c r="D659" s="232">
        <f t="shared" si="44"/>
        <v>34.99</v>
      </c>
      <c r="E659" s="200">
        <f t="shared" si="48"/>
        <v>34.129999999999995</v>
      </c>
      <c r="F659" s="253">
        <f t="shared" si="46"/>
        <v>34.99</v>
      </c>
      <c r="G659" s="200">
        <f>'Price List'!C659+'Cost Source'!N659</f>
        <v>34.129999999999995</v>
      </c>
      <c r="H659" s="264">
        <f t="shared" si="42"/>
        <v>34.99</v>
      </c>
      <c r="I659" s="281"/>
      <c r="J659" s="290"/>
    </row>
    <row r="660" spans="1:10" x14ac:dyDescent="0.25">
      <c r="A660" s="201" t="s">
        <v>996</v>
      </c>
      <c r="B660" s="202" t="s">
        <v>779</v>
      </c>
      <c r="C660" s="144">
        <f t="shared" si="47"/>
        <v>32.200000000000003</v>
      </c>
      <c r="D660" s="225">
        <f t="shared" si="44"/>
        <v>32.99</v>
      </c>
      <c r="E660" s="144">
        <f t="shared" si="48"/>
        <v>32.200000000000003</v>
      </c>
      <c r="F660" s="240">
        <f t="shared" si="46"/>
        <v>32.99</v>
      </c>
      <c r="G660" s="144">
        <f>'Price List'!C660+'Cost Source'!N660</f>
        <v>32.200000000000003</v>
      </c>
      <c r="H660" s="259">
        <f t="shared" si="42"/>
        <v>32.99</v>
      </c>
      <c r="I660" s="279"/>
      <c r="J660" s="289"/>
    </row>
    <row r="661" spans="1:10" x14ac:dyDescent="0.25">
      <c r="A661" s="22" t="s">
        <v>996</v>
      </c>
      <c r="B661" s="203" t="s">
        <v>784</v>
      </c>
      <c r="C661" s="144">
        <f t="shared" si="47"/>
        <v>46.56</v>
      </c>
      <c r="D661" s="225">
        <f t="shared" si="44"/>
        <v>46.99</v>
      </c>
      <c r="E661" s="144">
        <f t="shared" si="48"/>
        <v>46.56</v>
      </c>
      <c r="F661" s="240">
        <f t="shared" si="46"/>
        <v>46.99</v>
      </c>
      <c r="G661" s="144">
        <f>'Price List'!C661+'Cost Source'!N661</f>
        <v>46.56</v>
      </c>
      <c r="H661" s="259">
        <f t="shared" si="42"/>
        <v>46.99</v>
      </c>
      <c r="I661" s="282"/>
      <c r="J661" s="290"/>
    </row>
    <row r="662" spans="1:10" x14ac:dyDescent="0.25">
      <c r="A662" s="199" t="s">
        <v>996</v>
      </c>
      <c r="B662" s="205" t="s">
        <v>785</v>
      </c>
      <c r="C662" s="200"/>
      <c r="D662" s="235"/>
      <c r="E662" s="200"/>
      <c r="F662" s="255"/>
      <c r="G662" s="200"/>
      <c r="H662" s="264"/>
      <c r="I662" s="282"/>
      <c r="J662" s="289"/>
    </row>
    <row r="663" spans="1:10" x14ac:dyDescent="0.25">
      <c r="A663" s="199" t="s">
        <v>996</v>
      </c>
      <c r="B663" s="205">
        <v>50252558</v>
      </c>
      <c r="C663" s="200">
        <f t="shared" si="47"/>
        <v>33.200000000000003</v>
      </c>
      <c r="D663" s="232">
        <f t="shared" si="44"/>
        <v>33.99</v>
      </c>
      <c r="E663" s="200">
        <f t="shared" si="48"/>
        <v>33.200000000000003</v>
      </c>
      <c r="F663" s="253">
        <f t="shared" si="46"/>
        <v>33.99</v>
      </c>
      <c r="G663" s="200">
        <f>'Price List'!C663+'Cost Source'!N663</f>
        <v>33.200000000000003</v>
      </c>
      <c r="H663" s="264">
        <f t="shared" si="42"/>
        <v>33.99</v>
      </c>
      <c r="I663" s="279"/>
      <c r="J663" s="290"/>
    </row>
    <row r="664" spans="1:10" x14ac:dyDescent="0.25">
      <c r="A664" s="22" t="s">
        <v>996</v>
      </c>
      <c r="B664" s="203">
        <v>50252847</v>
      </c>
      <c r="C664" s="144">
        <f t="shared" si="47"/>
        <v>33.200000000000003</v>
      </c>
      <c r="D664" s="225">
        <f t="shared" si="44"/>
        <v>33.99</v>
      </c>
      <c r="E664" s="144">
        <f t="shared" si="48"/>
        <v>33.200000000000003</v>
      </c>
      <c r="F664" s="240">
        <f t="shared" si="46"/>
        <v>33.99</v>
      </c>
      <c r="G664" s="144">
        <f>'Price List'!C664+'Cost Source'!N664</f>
        <v>33.200000000000003</v>
      </c>
      <c r="H664" s="259">
        <f t="shared" si="42"/>
        <v>33.99</v>
      </c>
      <c r="I664" s="275"/>
      <c r="J664" s="289"/>
    </row>
    <row r="665" spans="1:10" x14ac:dyDescent="0.25">
      <c r="A665" s="201" t="s">
        <v>996</v>
      </c>
      <c r="B665" s="202">
        <v>550045018</v>
      </c>
      <c r="C665" s="144">
        <f t="shared" si="47"/>
        <v>42.85</v>
      </c>
      <c r="D665" s="225">
        <f t="shared" si="44"/>
        <v>42.99</v>
      </c>
      <c r="E665" s="144">
        <f t="shared" si="48"/>
        <v>42.85</v>
      </c>
      <c r="F665" s="240">
        <f t="shared" si="46"/>
        <v>42.99</v>
      </c>
      <c r="G665" s="144">
        <f>'Price List'!C665+'Cost Source'!N665</f>
        <v>42.85</v>
      </c>
      <c r="H665" s="259">
        <f t="shared" si="42"/>
        <v>42.99</v>
      </c>
      <c r="I665" s="275"/>
      <c r="J665" s="290"/>
    </row>
    <row r="666" spans="1:10" x14ac:dyDescent="0.25">
      <c r="A666" s="24" t="s">
        <v>996</v>
      </c>
      <c r="B666" s="204">
        <v>550045135</v>
      </c>
      <c r="C666" s="200">
        <f t="shared" si="47"/>
        <v>37.85</v>
      </c>
      <c r="D666" s="232">
        <f t="shared" si="44"/>
        <v>37.99</v>
      </c>
      <c r="E666" s="200">
        <f t="shared" si="48"/>
        <v>37.85</v>
      </c>
      <c r="F666" s="253">
        <f t="shared" si="46"/>
        <v>37.99</v>
      </c>
      <c r="G666" s="200">
        <f>'Price List'!C666+'Cost Source'!N666</f>
        <v>37.85</v>
      </c>
      <c r="H666" s="264">
        <f t="shared" si="42"/>
        <v>37.99</v>
      </c>
      <c r="I666" s="279"/>
      <c r="J666" s="289"/>
    </row>
    <row r="667" spans="1:10" x14ac:dyDescent="0.25">
      <c r="A667" s="199" t="s">
        <v>996</v>
      </c>
      <c r="B667" s="205">
        <v>550046252</v>
      </c>
      <c r="C667" s="200">
        <f t="shared" si="47"/>
        <v>46.18</v>
      </c>
      <c r="D667" s="232">
        <f t="shared" si="44"/>
        <v>46.99</v>
      </c>
      <c r="E667" s="200">
        <f t="shared" si="48"/>
        <v>46.18</v>
      </c>
      <c r="F667" s="253">
        <f t="shared" si="46"/>
        <v>46.99</v>
      </c>
      <c r="G667" s="200">
        <f>'Price List'!C667+'Cost Source'!N667</f>
        <v>46.18</v>
      </c>
      <c r="H667" s="264">
        <f t="shared" si="42"/>
        <v>46.99</v>
      </c>
      <c r="I667" s="279"/>
      <c r="J667" s="290"/>
    </row>
    <row r="668" spans="1:10" x14ac:dyDescent="0.25">
      <c r="A668" s="22" t="s">
        <v>996</v>
      </c>
      <c r="B668" s="203">
        <v>550045390</v>
      </c>
      <c r="C668" s="144">
        <f t="shared" si="47"/>
        <v>53.35</v>
      </c>
      <c r="D668" s="225">
        <f t="shared" si="44"/>
        <v>53.99</v>
      </c>
      <c r="E668" s="144">
        <f t="shared" si="48"/>
        <v>53.35</v>
      </c>
      <c r="F668" s="240">
        <f t="shared" si="46"/>
        <v>53.99</v>
      </c>
      <c r="G668" s="144">
        <f>'Price List'!C668+'Cost Source'!N668</f>
        <v>53.35</v>
      </c>
      <c r="H668" s="259">
        <f t="shared" si="42"/>
        <v>53.99</v>
      </c>
      <c r="I668" s="275"/>
      <c r="J668" s="289"/>
    </row>
    <row r="669" spans="1:10" x14ac:dyDescent="0.25">
      <c r="A669" s="201" t="s">
        <v>996</v>
      </c>
      <c r="B669" s="202">
        <v>550046250</v>
      </c>
      <c r="C669" s="144">
        <f t="shared" si="47"/>
        <v>49.17</v>
      </c>
      <c r="D669" s="225">
        <f t="shared" si="44"/>
        <v>49.99</v>
      </c>
      <c r="E669" s="144">
        <f t="shared" si="48"/>
        <v>49.17</v>
      </c>
      <c r="F669" s="240">
        <f t="shared" si="46"/>
        <v>49.99</v>
      </c>
      <c r="G669" s="144">
        <f>'Price List'!C669+'Cost Source'!N669</f>
        <v>49.17</v>
      </c>
      <c r="H669" s="259">
        <f t="shared" si="42"/>
        <v>49.99</v>
      </c>
      <c r="I669" s="275"/>
      <c r="J669" s="290"/>
    </row>
    <row r="670" spans="1:10" x14ac:dyDescent="0.25">
      <c r="A670" s="26"/>
      <c r="B670" s="11" t="s">
        <v>1003</v>
      </c>
      <c r="C670" s="27"/>
      <c r="D670" s="225"/>
      <c r="E670" s="26"/>
      <c r="F670" s="239"/>
      <c r="G670" s="27"/>
      <c r="H670" s="259"/>
      <c r="I670" s="279"/>
      <c r="J670" s="289"/>
    </row>
    <row r="671" spans="1:10" x14ac:dyDescent="0.25">
      <c r="A671" s="284" t="s">
        <v>1012</v>
      </c>
      <c r="B671" s="179" t="s">
        <v>1000</v>
      </c>
      <c r="C671" s="144">
        <f>'Price List'!C671+'Cost Source'!L671+'Cost Source'!O671</f>
        <v>12.02</v>
      </c>
      <c r="D671" s="225">
        <f t="shared" si="44"/>
        <v>12.99</v>
      </c>
      <c r="E671" s="144">
        <f>'Price List'!C671+'Cost Source'!Y671</f>
        <v>12.02</v>
      </c>
      <c r="F671" s="239">
        <f t="shared" si="46"/>
        <v>12.99</v>
      </c>
      <c r="G671" s="144">
        <f>'Price List'!C671+'Cost Source'!N671</f>
        <v>12.02</v>
      </c>
      <c r="H671" s="259">
        <f t="shared" si="42"/>
        <v>12.99</v>
      </c>
      <c r="I671" s="279"/>
      <c r="J671" s="290"/>
    </row>
    <row r="672" spans="1:10" x14ac:dyDescent="0.25">
      <c r="A672" s="201" t="s">
        <v>1012</v>
      </c>
      <c r="B672" s="202" t="s">
        <v>1223</v>
      </c>
      <c r="C672" s="144">
        <f>'Price List'!C672+'Cost Source'!L672+'Cost Source'!O672</f>
        <v>14.49</v>
      </c>
      <c r="D672" s="225">
        <f t="shared" si="44"/>
        <v>14.99</v>
      </c>
      <c r="E672" s="144">
        <f>'Price List'!C672+'Cost Source'!Y672</f>
        <v>14.49</v>
      </c>
      <c r="F672" s="240">
        <f t="shared" si="46"/>
        <v>14.99</v>
      </c>
      <c r="G672" s="144">
        <f>'Price List'!C672+'Cost Source'!N672</f>
        <v>14.49</v>
      </c>
      <c r="H672" s="259">
        <f t="shared" si="42"/>
        <v>14.99</v>
      </c>
      <c r="I672" s="275"/>
      <c r="J672" s="289"/>
    </row>
    <row r="673" spans="1:10" x14ac:dyDescent="0.25">
      <c r="A673" s="284" t="s">
        <v>1012</v>
      </c>
      <c r="B673" s="179" t="s">
        <v>1001</v>
      </c>
      <c r="C673" s="144">
        <f>'Price List'!C673+'Cost Source'!L673+'Cost Source'!O673</f>
        <v>14.19</v>
      </c>
      <c r="D673" s="225">
        <f t="shared" si="44"/>
        <v>14.99</v>
      </c>
      <c r="E673" s="144">
        <f>'Price List'!C673+'Cost Source'!Y673</f>
        <v>14.19</v>
      </c>
      <c r="F673" s="239">
        <f t="shared" si="46"/>
        <v>14.99</v>
      </c>
      <c r="G673" s="144">
        <f>'Price List'!C673+'Cost Source'!N673</f>
        <v>14.19</v>
      </c>
      <c r="H673" s="259">
        <f t="shared" si="42"/>
        <v>14.99</v>
      </c>
      <c r="I673" s="279"/>
      <c r="J673" s="290"/>
    </row>
    <row r="674" spans="1:10" x14ac:dyDescent="0.25">
      <c r="A674" t="s">
        <v>428</v>
      </c>
      <c r="B674" s="3" t="s">
        <v>286</v>
      </c>
      <c r="C674" s="1">
        <f>'Price List'!C674+'Cost Source'!L674+'Cost Source'!O674</f>
        <v>4.97</v>
      </c>
      <c r="D674" s="237">
        <f t="shared" si="44"/>
        <v>4.99</v>
      </c>
      <c r="E674" s="1">
        <f>'Price List'!C674+'Cost Source'!Y674</f>
        <v>4.97</v>
      </c>
      <c r="F674" s="243">
        <f t="shared" ref="F674:F677" si="49">ROUNDUP(E674,0)-0.01</f>
        <v>4.99</v>
      </c>
      <c r="G674" s="1">
        <f>'Price List'!C674+'Cost Source'!N674</f>
        <v>8.9700000000000006</v>
      </c>
      <c r="H674" s="257">
        <f t="shared" ref="H674:H749" si="50">ROUNDUP(G674,0)-0.01</f>
        <v>8.99</v>
      </c>
      <c r="I674" s="277">
        <f>'Cost Source'!P674</f>
        <v>0</v>
      </c>
      <c r="J674" s="289"/>
    </row>
    <row r="675" spans="1:10" x14ac:dyDescent="0.25">
      <c r="A675" s="30" t="s">
        <v>428</v>
      </c>
      <c r="B675" s="31" t="s">
        <v>287</v>
      </c>
      <c r="C675" s="32">
        <f>'Price List'!C675+'Cost Source'!L675+'Cost Source'!O675</f>
        <v>5.59</v>
      </c>
      <c r="D675" s="232">
        <f t="shared" si="44"/>
        <v>5.99</v>
      </c>
      <c r="E675" s="32">
        <f>'Price List'!C675+'Cost Source'!Y675</f>
        <v>5.59</v>
      </c>
      <c r="F675" s="239">
        <f t="shared" si="49"/>
        <v>5.99</v>
      </c>
      <c r="G675" s="32">
        <f>'Price List'!C675+'Cost Source'!N675</f>
        <v>9.59</v>
      </c>
      <c r="H675" s="262">
        <f t="shared" si="50"/>
        <v>9.99</v>
      </c>
      <c r="I675" s="277">
        <f>'Cost Source'!P675</f>
        <v>0</v>
      </c>
      <c r="J675" s="290"/>
    </row>
    <row r="676" spans="1:10" x14ac:dyDescent="0.25">
      <c r="A676" s="26" t="s">
        <v>428</v>
      </c>
      <c r="B676" s="41" t="s">
        <v>288</v>
      </c>
      <c r="C676" s="27">
        <f>'Price List'!C676+'Cost Source'!L676+'Cost Source'!O676</f>
        <v>29.75</v>
      </c>
      <c r="D676" s="225">
        <f t="shared" si="44"/>
        <v>29.99</v>
      </c>
      <c r="E676" s="27">
        <f>'Price List'!C676+'Cost Source'!Y676</f>
        <v>24.75</v>
      </c>
      <c r="F676" s="240">
        <f t="shared" si="49"/>
        <v>24.99</v>
      </c>
      <c r="G676" s="27">
        <f>'Price List'!C676+'Cost Source'!N676</f>
        <v>21.75</v>
      </c>
      <c r="H676" s="260">
        <f t="shared" si="50"/>
        <v>21.99</v>
      </c>
      <c r="I676" s="277">
        <f>'Cost Source'!P676</f>
        <v>0</v>
      </c>
      <c r="J676" s="289"/>
    </row>
    <row r="677" spans="1:10" x14ac:dyDescent="0.25">
      <c r="A677" s="36" t="s">
        <v>428</v>
      </c>
      <c r="B677" s="39" t="s">
        <v>289</v>
      </c>
      <c r="C677" s="35">
        <f>'Price List'!C677+'Cost Source'!L677+'Cost Source'!O677</f>
        <v>24.560000000000002</v>
      </c>
      <c r="D677" s="225">
        <f t="shared" si="44"/>
        <v>24.99</v>
      </c>
      <c r="E677" s="35">
        <f>'Price List'!C677+'Cost Source'!Y677</f>
        <v>19.560000000000002</v>
      </c>
      <c r="F677" s="240">
        <f t="shared" si="49"/>
        <v>19.989999999999998</v>
      </c>
      <c r="G677" s="35">
        <f>'Price List'!C677+'Cost Source'!N677</f>
        <v>16.560000000000002</v>
      </c>
      <c r="H677" s="263">
        <f t="shared" si="50"/>
        <v>16.989999999999998</v>
      </c>
      <c r="I677" s="277">
        <f>'Cost Source'!P677</f>
        <v>0</v>
      </c>
      <c r="J677" s="290"/>
    </row>
    <row r="678" spans="1:10" x14ac:dyDescent="0.25">
      <c r="A678" t="s">
        <v>428</v>
      </c>
      <c r="B678" s="3" t="s">
        <v>290</v>
      </c>
      <c r="C678" s="23">
        <f>'Price List'!C678+'Cost Source'!E678+'Cost Source'!O678</f>
        <v>122.5</v>
      </c>
      <c r="D678" s="226">
        <f t="shared" si="44"/>
        <v>122.99</v>
      </c>
      <c r="F678" s="239"/>
      <c r="G678" s="1">
        <f>'Price List'!C678+'Cost Source'!N678</f>
        <v>110.5</v>
      </c>
      <c r="H678" s="257">
        <f t="shared" si="50"/>
        <v>110.99</v>
      </c>
      <c r="I678" s="272">
        <f>'Cost Source'!P678</f>
        <v>-20</v>
      </c>
      <c r="J678" s="290">
        <v>10</v>
      </c>
    </row>
    <row r="679" spans="1:10" x14ac:dyDescent="0.25">
      <c r="A679" s="30" t="s">
        <v>428</v>
      </c>
      <c r="B679" s="31" t="s">
        <v>291</v>
      </c>
      <c r="C679" s="32">
        <f>'Price List'!C679+'Cost Source'!H679+'Cost Source'!O679</f>
        <v>111.49</v>
      </c>
      <c r="D679" s="224">
        <f t="shared" si="44"/>
        <v>111.99</v>
      </c>
      <c r="E679" s="32">
        <f>'Price List'!C679+'Cost Source'!U679</f>
        <v>96.49</v>
      </c>
      <c r="F679" s="239">
        <f t="shared" ref="F679:F690" si="51">ROUNDUP(E679,0)-0.01</f>
        <v>96.99</v>
      </c>
      <c r="G679" s="32">
        <f>'Price List'!C679+'Cost Source'!N679</f>
        <v>93.49</v>
      </c>
      <c r="H679" s="262">
        <f t="shared" si="50"/>
        <v>93.99</v>
      </c>
      <c r="I679" s="277">
        <f>'Cost Source'!P679</f>
        <v>0</v>
      </c>
      <c r="J679" s="290">
        <v>15</v>
      </c>
    </row>
    <row r="680" spans="1:10" x14ac:dyDescent="0.25">
      <c r="A680" s="26" t="s">
        <v>428</v>
      </c>
      <c r="B680" s="41" t="s">
        <v>292</v>
      </c>
      <c r="C680" s="27">
        <f>'Price List'!C680+'Cost Source'!L680+'Cost Source'!O680</f>
        <v>17.11</v>
      </c>
      <c r="D680" s="225">
        <f t="shared" si="44"/>
        <v>17.989999999999998</v>
      </c>
      <c r="E680" s="27">
        <f>'Price List'!C680+'Cost Source'!Y680</f>
        <v>12.11</v>
      </c>
      <c r="F680" s="240">
        <f t="shared" si="51"/>
        <v>12.99</v>
      </c>
      <c r="G680" s="27">
        <f>'Price List'!C680+'Cost Source'!N680</f>
        <v>14.11</v>
      </c>
      <c r="H680" s="260">
        <f t="shared" si="50"/>
        <v>14.99</v>
      </c>
      <c r="I680" s="277">
        <f>'Cost Source'!P680</f>
        <v>0</v>
      </c>
      <c r="J680" s="289"/>
    </row>
    <row r="681" spans="1:10" x14ac:dyDescent="0.25">
      <c r="A681" s="36" t="s">
        <v>428</v>
      </c>
      <c r="B681" s="39" t="s">
        <v>293</v>
      </c>
      <c r="C681" s="35">
        <f>'Price List'!C681+'Cost Source'!L681+'Cost Source'!O681</f>
        <v>7.8</v>
      </c>
      <c r="D681" s="225">
        <f t="shared" si="44"/>
        <v>7.99</v>
      </c>
      <c r="E681" s="35">
        <f>'Price List'!C681+'Cost Source'!Y681</f>
        <v>5.8</v>
      </c>
      <c r="F681" s="240">
        <f t="shared" si="51"/>
        <v>5.99</v>
      </c>
      <c r="G681" s="35">
        <f>'Price List'!C681+'Cost Source'!N681</f>
        <v>9.8000000000000007</v>
      </c>
      <c r="H681" s="263">
        <f t="shared" si="50"/>
        <v>9.99</v>
      </c>
      <c r="I681" s="277">
        <f>'Cost Source'!P681</f>
        <v>0</v>
      </c>
      <c r="J681" s="290"/>
    </row>
    <row r="682" spans="1:10" x14ac:dyDescent="0.25">
      <c r="A682" t="s">
        <v>428</v>
      </c>
      <c r="B682" s="3" t="s">
        <v>294</v>
      </c>
      <c r="C682" s="23">
        <f>'Price List'!C682+'Cost Source'!D682+'Cost Source'!O682</f>
        <v>105.65</v>
      </c>
      <c r="D682" s="227">
        <f t="shared" si="44"/>
        <v>105.99</v>
      </c>
      <c r="E682" s="1">
        <f>'Price List'!C682+'Cost Source'!Q682</f>
        <v>90.65</v>
      </c>
      <c r="F682" s="242">
        <f t="shared" si="51"/>
        <v>90.99</v>
      </c>
      <c r="G682" s="1">
        <f>'Price List'!C682+'Cost Source'!N682</f>
        <v>94.65</v>
      </c>
      <c r="H682" s="257">
        <f t="shared" si="50"/>
        <v>94.99</v>
      </c>
      <c r="I682" s="277">
        <f>'Cost Source'!P682</f>
        <v>0</v>
      </c>
      <c r="J682" s="289">
        <v>20</v>
      </c>
    </row>
    <row r="683" spans="1:10" x14ac:dyDescent="0.25">
      <c r="A683" s="30" t="s">
        <v>428</v>
      </c>
      <c r="B683" s="31" t="s">
        <v>295</v>
      </c>
      <c r="C683" s="32"/>
      <c r="D683" s="228"/>
      <c r="E683" s="32"/>
      <c r="F683" s="243"/>
      <c r="G683" s="32">
        <f>'Price List'!C683+'Cost Source'!N683</f>
        <v>319.86</v>
      </c>
      <c r="H683" s="262">
        <f t="shared" si="50"/>
        <v>319.99</v>
      </c>
      <c r="I683" s="277">
        <f>'Cost Source'!P683</f>
        <v>0</v>
      </c>
      <c r="J683" s="290"/>
    </row>
    <row r="684" spans="1:10" x14ac:dyDescent="0.25">
      <c r="A684" s="26" t="s">
        <v>428</v>
      </c>
      <c r="B684" s="41" t="s">
        <v>296</v>
      </c>
      <c r="C684" s="27">
        <f>'Price List'!C684+'Cost Source'!G684+'Cost Source'!O684</f>
        <v>104.06</v>
      </c>
      <c r="D684" s="231">
        <f t="shared" si="44"/>
        <v>104.99</v>
      </c>
      <c r="E684" s="26"/>
      <c r="F684" s="244"/>
      <c r="G684" s="27">
        <f>'Price List'!C684+'Cost Source'!N684</f>
        <v>85.06</v>
      </c>
      <c r="H684" s="260">
        <f t="shared" si="50"/>
        <v>85.99</v>
      </c>
      <c r="I684" s="272">
        <f>'Cost Source'!P684</f>
        <v>-15</v>
      </c>
      <c r="J684" s="289">
        <v>20</v>
      </c>
    </row>
    <row r="685" spans="1:10" x14ac:dyDescent="0.25">
      <c r="A685" s="36" t="s">
        <v>428</v>
      </c>
      <c r="B685" s="39" t="s">
        <v>297</v>
      </c>
      <c r="C685" s="36"/>
      <c r="D685" s="231"/>
      <c r="E685" s="35">
        <f>'Price List'!C685+'Cost Source'!Y685</f>
        <v>25.78</v>
      </c>
      <c r="F685" s="240">
        <f t="shared" si="51"/>
        <v>25.99</v>
      </c>
      <c r="G685" s="35">
        <f>'Price List'!C685+'Cost Source'!N685</f>
        <v>29.78</v>
      </c>
      <c r="H685" s="263">
        <f t="shared" si="50"/>
        <v>29.99</v>
      </c>
      <c r="I685" s="277">
        <f>'Cost Source'!P685</f>
        <v>0</v>
      </c>
      <c r="J685" s="290"/>
    </row>
    <row r="686" spans="1:10" x14ac:dyDescent="0.25">
      <c r="A686" t="s">
        <v>428</v>
      </c>
      <c r="B686" s="3" t="s">
        <v>298</v>
      </c>
      <c r="C686" s="1">
        <f>'Price List'!C686+'Cost Source'!M686+'Cost Source'!O686</f>
        <v>326.54000000000002</v>
      </c>
      <c r="D686" s="231">
        <f t="shared" si="44"/>
        <v>326.99</v>
      </c>
      <c r="E686" s="1">
        <f>'Price List'!C686+'Cost Source'!Y686</f>
        <v>326.54000000000002</v>
      </c>
      <c r="F686" s="240">
        <f t="shared" si="51"/>
        <v>326.99</v>
      </c>
      <c r="G686" s="1">
        <f>'Price List'!C686+'Cost Source'!N686</f>
        <v>326.54000000000002</v>
      </c>
      <c r="H686" s="257">
        <f t="shared" si="50"/>
        <v>326.99</v>
      </c>
      <c r="I686" s="277">
        <f>'Cost Source'!P686</f>
        <v>0</v>
      </c>
      <c r="J686" s="289">
        <v>15</v>
      </c>
    </row>
    <row r="687" spans="1:10" x14ac:dyDescent="0.25">
      <c r="A687" s="30" t="s">
        <v>428</v>
      </c>
      <c r="B687" s="31" t="s">
        <v>299</v>
      </c>
      <c r="C687" s="32">
        <f>'Price List'!C687+'Cost Source'!M687+'Cost Source'!O687</f>
        <v>251.68</v>
      </c>
      <c r="D687" s="231">
        <f t="shared" si="44"/>
        <v>251.99</v>
      </c>
      <c r="E687" s="32">
        <f>'Price List'!C687+'Cost Source'!Y687</f>
        <v>236.68</v>
      </c>
      <c r="F687" s="240">
        <f t="shared" si="51"/>
        <v>236.99</v>
      </c>
      <c r="G687" s="32">
        <f>'Price List'!C687+'Cost Source'!N687</f>
        <v>224.68</v>
      </c>
      <c r="H687" s="262">
        <f t="shared" si="50"/>
        <v>224.99</v>
      </c>
      <c r="I687" s="277">
        <f>'Cost Source'!P687</f>
        <v>0</v>
      </c>
      <c r="J687" s="290">
        <v>15</v>
      </c>
    </row>
    <row r="688" spans="1:10" x14ac:dyDescent="0.25">
      <c r="A688" s="26" t="s">
        <v>428</v>
      </c>
      <c r="B688" s="41" t="s">
        <v>300</v>
      </c>
      <c r="C688" s="27">
        <f>'Price List'!C688+'Cost Source'!G688+'Cost Source'!O688</f>
        <v>93.990000000000009</v>
      </c>
      <c r="D688" s="231">
        <f t="shared" si="44"/>
        <v>93.99</v>
      </c>
      <c r="E688" s="154"/>
      <c r="F688" s="246"/>
      <c r="G688" s="27">
        <f>'Price List'!C688+'Cost Source'!N688</f>
        <v>73.990000000000009</v>
      </c>
      <c r="H688" s="260">
        <f t="shared" si="50"/>
        <v>73.989999999999995</v>
      </c>
      <c r="I688" s="272">
        <f>'Cost Source'!P688</f>
        <v>-10</v>
      </c>
      <c r="J688" s="289">
        <v>20</v>
      </c>
    </row>
    <row r="689" spans="1:10" x14ac:dyDescent="0.25">
      <c r="A689" s="36" t="s">
        <v>428</v>
      </c>
      <c r="B689" s="39" t="s">
        <v>301</v>
      </c>
      <c r="C689" s="35">
        <f>'Price List'!C689+'Cost Source'!L689+'Cost Source'!O689</f>
        <v>106.47</v>
      </c>
      <c r="D689" s="231">
        <f t="shared" si="44"/>
        <v>106.99</v>
      </c>
      <c r="E689" s="154">
        <f>'Price List'!C689+'Cost Source'!Y689</f>
        <v>91.47</v>
      </c>
      <c r="F689" s="245">
        <f t="shared" si="51"/>
        <v>91.99</v>
      </c>
      <c r="G689" s="35">
        <f>'Price List'!C689+'Cost Source'!N689</f>
        <v>94.47</v>
      </c>
      <c r="H689" s="263">
        <f t="shared" si="50"/>
        <v>94.99</v>
      </c>
      <c r="I689" s="277">
        <f>'Cost Source'!P689</f>
        <v>0</v>
      </c>
      <c r="J689" s="290">
        <v>15</v>
      </c>
    </row>
    <row r="690" spans="1:10" x14ac:dyDescent="0.25">
      <c r="A690" s="147" t="s">
        <v>428</v>
      </c>
      <c r="B690" s="155" t="s">
        <v>1115</v>
      </c>
      <c r="C690" s="144">
        <f>'Price List'!C690+'Cost Source'!M690</f>
        <v>122.35</v>
      </c>
      <c r="D690" s="231">
        <f t="shared" si="44"/>
        <v>122.99</v>
      </c>
      <c r="E690" s="144">
        <f>'Price List'!C690+'Cost Source'!Y690</f>
        <v>122.35</v>
      </c>
      <c r="F690" s="245">
        <f t="shared" si="51"/>
        <v>122.99</v>
      </c>
      <c r="G690" s="144">
        <f>'Price List'!C690+'Cost Source'!N690</f>
        <v>122.35</v>
      </c>
      <c r="H690" s="263">
        <f t="shared" si="50"/>
        <v>122.99</v>
      </c>
      <c r="I690" s="279"/>
      <c r="J690" s="290"/>
    </row>
    <row r="691" spans="1:10" x14ac:dyDescent="0.25">
      <c r="A691" s="159" t="s">
        <v>428</v>
      </c>
      <c r="B691" s="160" t="s">
        <v>562</v>
      </c>
      <c r="C691" s="150"/>
      <c r="D691" s="231"/>
      <c r="E691" s="154"/>
      <c r="F691" s="246"/>
      <c r="G691" s="150">
        <f>'Price List'!C691+'Cost Source'!N691</f>
        <v>165.25</v>
      </c>
      <c r="H691" s="285">
        <f t="shared" si="50"/>
        <v>165.99</v>
      </c>
      <c r="I691" s="282">
        <f>'Cost Source'!P691</f>
        <v>0</v>
      </c>
      <c r="J691" s="289">
        <v>15</v>
      </c>
    </row>
    <row r="692" spans="1:10" x14ac:dyDescent="0.25">
      <c r="A692" t="s">
        <v>428</v>
      </c>
      <c r="B692" s="3" t="s">
        <v>917</v>
      </c>
      <c r="C692" s="150">
        <f>'Price List'!C692+'Cost Source'!E692+'Cost Source'!O692</f>
        <v>194.74</v>
      </c>
      <c r="D692" s="228">
        <f t="shared" si="44"/>
        <v>194.99</v>
      </c>
      <c r="E692" s="27">
        <f>'Price List'!C692+'Cost Source'!R692</f>
        <v>96.740000000000009</v>
      </c>
      <c r="F692" s="245">
        <f t="shared" ref="F692:F753" si="52">ROUNDUP(E692,0)-0.01</f>
        <v>96.99</v>
      </c>
      <c r="G692" s="1">
        <f>'Price List'!C692+'Cost Source'!N692</f>
        <v>177.74</v>
      </c>
      <c r="H692" s="257">
        <f t="shared" si="50"/>
        <v>177.99</v>
      </c>
      <c r="I692" s="272">
        <f>'Cost Source'!P692</f>
        <v>-30</v>
      </c>
      <c r="J692" s="290">
        <v>25</v>
      </c>
    </row>
    <row r="693" spans="1:10" x14ac:dyDescent="0.25">
      <c r="A693" s="156" t="s">
        <v>428</v>
      </c>
      <c r="B693" s="321" t="s">
        <v>563</v>
      </c>
      <c r="C693" s="149">
        <f>'Price List'!C693+'Cost Source'!E693</f>
        <v>117.99</v>
      </c>
      <c r="D693" s="234">
        <f t="shared" si="44"/>
        <v>117.99</v>
      </c>
      <c r="E693" s="156"/>
      <c r="F693" s="244"/>
      <c r="G693" s="149">
        <f>'Price List'!C693+'Cost Source'!N693</f>
        <v>108.99</v>
      </c>
      <c r="H693" s="261">
        <f t="shared" si="50"/>
        <v>108.99</v>
      </c>
      <c r="I693" s="280">
        <f>'Cost Source'!P693</f>
        <v>-20</v>
      </c>
      <c r="J693" s="289">
        <v>15</v>
      </c>
    </row>
    <row r="694" spans="1:10" x14ac:dyDescent="0.25">
      <c r="A694" s="156" t="s">
        <v>428</v>
      </c>
      <c r="B694" s="321" t="s">
        <v>1234</v>
      </c>
      <c r="C694" s="149"/>
      <c r="D694" s="234"/>
      <c r="E694" s="156"/>
      <c r="F694" s="254"/>
      <c r="G694" s="149">
        <f>'Price List'!C694+'Cost Source'!N694</f>
        <v>319.86</v>
      </c>
      <c r="H694" s="261">
        <f t="shared" si="50"/>
        <v>319.99</v>
      </c>
      <c r="I694" s="280"/>
      <c r="J694" s="291"/>
    </row>
    <row r="695" spans="1:10" x14ac:dyDescent="0.25">
      <c r="A695" s="140" t="s">
        <v>428</v>
      </c>
      <c r="B695" s="141" t="s">
        <v>1116</v>
      </c>
      <c r="C695" s="146">
        <f>'Price List'!C695+'Cost Source'!M695</f>
        <v>141.54000000000002</v>
      </c>
      <c r="D695" s="234">
        <f t="shared" si="44"/>
        <v>141.99</v>
      </c>
      <c r="E695" s="146">
        <f>'Price List'!C695+'Cost Source'!Y695</f>
        <v>141.54000000000002</v>
      </c>
      <c r="F695" s="245">
        <f t="shared" si="52"/>
        <v>141.99</v>
      </c>
      <c r="G695" s="146">
        <f>'Price List'!C695+'Cost Source'!N695</f>
        <v>141.54000000000002</v>
      </c>
      <c r="H695" s="258">
        <f t="shared" si="50"/>
        <v>141.99</v>
      </c>
      <c r="I695" s="275"/>
      <c r="J695" s="290"/>
    </row>
    <row r="696" spans="1:10" x14ac:dyDescent="0.25">
      <c r="A696" s="26" t="s">
        <v>428</v>
      </c>
      <c r="B696" s="41" t="s">
        <v>302</v>
      </c>
      <c r="C696" s="27">
        <f>'Price List'!C696+'Cost Source'!M696+'Cost Source'!O696</f>
        <v>236.16</v>
      </c>
      <c r="D696" s="230">
        <f t="shared" si="44"/>
        <v>236.99</v>
      </c>
      <c r="E696" s="27">
        <f>'Price List'!C696+'Cost Source'!Z696</f>
        <v>221.16</v>
      </c>
      <c r="F696" s="244">
        <f t="shared" si="52"/>
        <v>221.99</v>
      </c>
      <c r="G696" s="27">
        <f>'Price List'!C696+'Cost Source'!N696</f>
        <v>194.16</v>
      </c>
      <c r="H696" s="260">
        <f t="shared" si="50"/>
        <v>194.99</v>
      </c>
      <c r="I696" s="281">
        <f>'Cost Source'!P696</f>
        <v>0</v>
      </c>
      <c r="J696" s="289">
        <v>50</v>
      </c>
    </row>
    <row r="697" spans="1:10" x14ac:dyDescent="0.25">
      <c r="A697" s="147" t="s">
        <v>428</v>
      </c>
      <c r="B697" s="155" t="s">
        <v>1168</v>
      </c>
      <c r="C697" s="144">
        <f>'Price List'!C697+'Cost Source'!M697+'Cost Source'!O697</f>
        <v>87.990000000000009</v>
      </c>
      <c r="D697" s="230">
        <f t="shared" si="44"/>
        <v>87.99</v>
      </c>
      <c r="E697" s="144">
        <f>'Price List'!C697+'Cost Source'!Y697</f>
        <v>77.990000000000009</v>
      </c>
      <c r="F697" s="245">
        <f t="shared" si="52"/>
        <v>77.989999999999995</v>
      </c>
      <c r="G697" s="144">
        <f>'Price List'!C697+'Cost Source'!N697</f>
        <v>72.990000000000009</v>
      </c>
      <c r="H697" s="259">
        <f t="shared" si="50"/>
        <v>72.989999999999995</v>
      </c>
      <c r="I697" s="279"/>
      <c r="J697" s="290">
        <v>15</v>
      </c>
    </row>
    <row r="698" spans="1:10" x14ac:dyDescent="0.25">
      <c r="A698" s="152" t="s">
        <v>428</v>
      </c>
      <c r="B698" s="153" t="s">
        <v>303</v>
      </c>
      <c r="C698" s="154">
        <f>'Price List'!C698+'Cost Source'!F698+'Cost Source'!O698</f>
        <v>82.65</v>
      </c>
      <c r="D698" s="231">
        <f t="shared" si="44"/>
        <v>82.99</v>
      </c>
      <c r="E698" s="154">
        <f>'Price List'!C698+'Cost Source'!S698</f>
        <v>66.650000000000006</v>
      </c>
      <c r="F698" s="246">
        <f t="shared" si="52"/>
        <v>66.989999999999995</v>
      </c>
      <c r="G698" s="154">
        <f>'Price List'!C698+'Cost Source'!N698</f>
        <v>69.650000000000006</v>
      </c>
      <c r="H698" s="267">
        <f t="shared" si="50"/>
        <v>69.989999999999995</v>
      </c>
      <c r="I698" s="282">
        <f>'Cost Source'!P698</f>
        <v>0</v>
      </c>
      <c r="J698" s="289">
        <v>20</v>
      </c>
    </row>
    <row r="699" spans="1:10" x14ac:dyDescent="0.25">
      <c r="A699" t="s">
        <v>428</v>
      </c>
      <c r="B699" s="3" t="s">
        <v>564</v>
      </c>
      <c r="C699" s="23">
        <f>'Price List'!C699+'Cost Source'!F699+'Cost Source'!O699</f>
        <v>51.97</v>
      </c>
      <c r="D699" s="226">
        <f t="shared" si="44"/>
        <v>51.99</v>
      </c>
      <c r="E699" s="1">
        <f>'Price List'!C699+'Cost Source'!S699</f>
        <v>35.97</v>
      </c>
      <c r="F699" s="241">
        <f t="shared" si="52"/>
        <v>35.99</v>
      </c>
      <c r="G699" s="1">
        <f>'Price List'!C699+'Cost Source'!N699</f>
        <v>33.97</v>
      </c>
      <c r="H699" s="257">
        <f t="shared" si="50"/>
        <v>33.99</v>
      </c>
      <c r="I699" s="277">
        <f>'Cost Source'!P699</f>
        <v>0</v>
      </c>
      <c r="J699" s="290">
        <v>20</v>
      </c>
    </row>
    <row r="700" spans="1:10" x14ac:dyDescent="0.25">
      <c r="A700" s="30" t="s">
        <v>428</v>
      </c>
      <c r="B700" s="31" t="s">
        <v>304</v>
      </c>
      <c r="C700" s="38">
        <f>'Price List'!C700+'Cost Source'!F700+'Cost Source'!O700</f>
        <v>92.5</v>
      </c>
      <c r="D700" s="224">
        <f t="shared" si="44"/>
        <v>92.99</v>
      </c>
      <c r="E700" s="32">
        <f>'Price List'!C700+'Cost Source'!S700</f>
        <v>76.5</v>
      </c>
      <c r="F700" s="239">
        <f t="shared" si="52"/>
        <v>76.989999999999995</v>
      </c>
      <c r="G700" s="32">
        <f>'Price List'!C700+'Cost Source'!N700</f>
        <v>80.5</v>
      </c>
      <c r="H700" s="262">
        <f t="shared" si="50"/>
        <v>80.989999999999995</v>
      </c>
      <c r="I700" s="277">
        <f>'Cost Source'!P700</f>
        <v>0</v>
      </c>
      <c r="J700" s="289">
        <v>20</v>
      </c>
    </row>
    <row r="701" spans="1:10" x14ac:dyDescent="0.25">
      <c r="A701" s="26" t="s">
        <v>428</v>
      </c>
      <c r="B701" s="41" t="s">
        <v>305</v>
      </c>
      <c r="C701" s="27">
        <f>'Price List'!C701+'Cost Source'!F701+'Cost Source'!O701</f>
        <v>90.32</v>
      </c>
      <c r="D701" s="229">
        <f t="shared" si="44"/>
        <v>90.99</v>
      </c>
      <c r="E701" s="27">
        <f>'Price List'!C701+'Cost Source'!S701</f>
        <v>74.319999999999993</v>
      </c>
      <c r="F701" s="244">
        <f t="shared" si="52"/>
        <v>74.989999999999995</v>
      </c>
      <c r="G701" s="27">
        <f>'Price List'!C701+'Cost Source'!N701</f>
        <v>78.319999999999993</v>
      </c>
      <c r="H701" s="260">
        <f t="shared" si="50"/>
        <v>78.989999999999995</v>
      </c>
      <c r="I701" s="277">
        <f>'Cost Source'!P701</f>
        <v>0</v>
      </c>
      <c r="J701" s="290">
        <v>20</v>
      </c>
    </row>
    <row r="702" spans="1:10" x14ac:dyDescent="0.25">
      <c r="A702" s="36" t="s">
        <v>428</v>
      </c>
      <c r="B702" s="39" t="s">
        <v>306</v>
      </c>
      <c r="C702" s="35">
        <f>'Price List'!C702+'Cost Source'!F702+'Cost Source'!O702</f>
        <v>92.63</v>
      </c>
      <c r="D702" s="225">
        <f t="shared" si="44"/>
        <v>92.99</v>
      </c>
      <c r="E702" s="35">
        <f>'Price List'!C702+'Cost Source'!S702</f>
        <v>76.63</v>
      </c>
      <c r="F702" s="240">
        <f t="shared" si="52"/>
        <v>76.989999999999995</v>
      </c>
      <c r="G702" s="35">
        <f>'Price List'!C702+'Cost Source'!N702</f>
        <v>81.63</v>
      </c>
      <c r="H702" s="263">
        <f t="shared" si="50"/>
        <v>81.99</v>
      </c>
      <c r="I702" s="277">
        <f>'Cost Source'!P702</f>
        <v>0</v>
      </c>
      <c r="J702" s="289">
        <v>20</v>
      </c>
    </row>
    <row r="703" spans="1:10" x14ac:dyDescent="0.25">
      <c r="A703" t="s">
        <v>428</v>
      </c>
      <c r="B703" s="3" t="s">
        <v>307</v>
      </c>
      <c r="C703" s="23">
        <f>'Price List'!C703+'Cost Source'!F703+'Cost Source'!O703</f>
        <v>92</v>
      </c>
      <c r="D703" s="226">
        <f t="shared" si="44"/>
        <v>91.99</v>
      </c>
      <c r="E703" s="1">
        <f>'Price List'!C703+'Cost Source'!S703</f>
        <v>76</v>
      </c>
      <c r="F703" s="241">
        <f t="shared" si="52"/>
        <v>75.989999999999995</v>
      </c>
      <c r="G703" s="1">
        <f>'Price List'!C703+'Cost Source'!N703</f>
        <v>80</v>
      </c>
      <c r="H703" s="257">
        <f t="shared" si="50"/>
        <v>79.989999999999995</v>
      </c>
      <c r="I703" s="278">
        <f>'Cost Source'!P703</f>
        <v>0</v>
      </c>
      <c r="J703" s="291">
        <v>20</v>
      </c>
    </row>
    <row r="704" spans="1:10" x14ac:dyDescent="0.25">
      <c r="A704" s="140" t="s">
        <v>428</v>
      </c>
      <c r="B704" s="141" t="s">
        <v>1113</v>
      </c>
      <c r="C704" s="146">
        <f>'Price List'!C704+'Cost Source'!L704+'Cost Source'!O704</f>
        <v>49.57</v>
      </c>
      <c r="D704" s="227">
        <f t="shared" si="44"/>
        <v>49.99</v>
      </c>
      <c r="E704" s="146">
        <f>'Price List'!C704+'Cost Source'!Y704</f>
        <v>39.57</v>
      </c>
      <c r="F704" s="242">
        <f t="shared" si="52"/>
        <v>39.99</v>
      </c>
      <c r="G704" s="146">
        <f>'Price List'!C704+'Cost Source'!N704</f>
        <v>29.57</v>
      </c>
      <c r="H704" s="258">
        <f t="shared" si="50"/>
        <v>29.99</v>
      </c>
      <c r="I704" s="279"/>
      <c r="J704" s="291">
        <v>20</v>
      </c>
    </row>
    <row r="705" spans="1:10" x14ac:dyDescent="0.25">
      <c r="A705" s="140" t="s">
        <v>428</v>
      </c>
      <c r="B705" s="141" t="s">
        <v>1111</v>
      </c>
      <c r="C705" s="150">
        <f>'Price List'!C705+'Cost Source'!O705</f>
        <v>138.51</v>
      </c>
      <c r="D705" s="227">
        <f t="shared" si="44"/>
        <v>138.99</v>
      </c>
      <c r="E705" s="150">
        <f>'Price List'!C705+'Cost Source'!O705</f>
        <v>138.51</v>
      </c>
      <c r="F705" s="242">
        <f t="shared" si="52"/>
        <v>138.99</v>
      </c>
      <c r="G705" s="150">
        <f>'Price List'!C705+'Cost Source'!N705</f>
        <v>138.51</v>
      </c>
      <c r="H705" s="258">
        <f t="shared" si="50"/>
        <v>138.99</v>
      </c>
      <c r="I705" s="279"/>
      <c r="J705" s="290"/>
    </row>
    <row r="706" spans="1:10" x14ac:dyDescent="0.25">
      <c r="A706" s="159" t="s">
        <v>428</v>
      </c>
      <c r="B706" s="160" t="s">
        <v>308</v>
      </c>
      <c r="C706" s="150">
        <f>'Price List'!C706+'Cost Source'!O706</f>
        <v>160.34</v>
      </c>
      <c r="D706" s="228">
        <f t="shared" si="44"/>
        <v>160.99</v>
      </c>
      <c r="E706" s="150">
        <f>'Price List'!C706+'Cost Source'!O706</f>
        <v>160.34</v>
      </c>
      <c r="F706" s="243">
        <f t="shared" si="52"/>
        <v>160.99</v>
      </c>
      <c r="G706" s="150">
        <f>'Price List'!C706+'Cost Source'!N706</f>
        <v>160.34</v>
      </c>
      <c r="H706" s="285">
        <f t="shared" si="50"/>
        <v>160.99</v>
      </c>
      <c r="I706" s="282">
        <f>'Cost Source'!P706</f>
        <v>0</v>
      </c>
      <c r="J706" s="289"/>
    </row>
    <row r="707" spans="1:10" x14ac:dyDescent="0.25">
      <c r="A707" s="159" t="s">
        <v>428</v>
      </c>
      <c r="B707" s="160" t="s">
        <v>1291</v>
      </c>
      <c r="C707" s="150"/>
      <c r="D707" s="228"/>
      <c r="E707" s="150"/>
      <c r="F707" s="243"/>
      <c r="G707" s="150">
        <f>'Price List'!C707+'Cost Source'!N707</f>
        <v>70.759999999999991</v>
      </c>
      <c r="H707" s="285">
        <f t="shared" si="50"/>
        <v>70.989999999999995</v>
      </c>
      <c r="I707" s="282"/>
      <c r="J707" s="290"/>
    </row>
    <row r="708" spans="1:10" x14ac:dyDescent="0.25">
      <c r="A708" s="140" t="s">
        <v>855</v>
      </c>
      <c r="B708" s="151">
        <v>75130</v>
      </c>
      <c r="C708" s="146"/>
      <c r="D708" s="224"/>
      <c r="E708" s="146"/>
      <c r="F708" s="239"/>
      <c r="G708" s="146"/>
      <c r="H708" s="262"/>
      <c r="I708" s="272"/>
      <c r="J708" s="290"/>
    </row>
    <row r="709" spans="1:10" x14ac:dyDescent="0.25">
      <c r="A709" s="26" t="s">
        <v>855</v>
      </c>
      <c r="B709" s="43" t="s">
        <v>856</v>
      </c>
      <c r="C709" s="27">
        <f>'Price List'!C709+'Cost Source'!L709</f>
        <v>45.15</v>
      </c>
      <c r="D709" s="238">
        <f t="shared" si="44"/>
        <v>45.99</v>
      </c>
      <c r="E709" s="27">
        <f>'Price List'!C709+'Cost Source'!Y709</f>
        <v>45.15</v>
      </c>
      <c r="F709" s="254">
        <f t="shared" si="52"/>
        <v>45.99</v>
      </c>
      <c r="G709" s="27">
        <f>'Price List'!C709+'Cost Source'!N709</f>
        <v>45.15</v>
      </c>
      <c r="H709" s="263">
        <f t="shared" si="50"/>
        <v>45.99</v>
      </c>
      <c r="I709" s="272"/>
      <c r="J709" s="289"/>
    </row>
    <row r="710" spans="1:10" x14ac:dyDescent="0.25">
      <c r="A710" s="147" t="s">
        <v>855</v>
      </c>
      <c r="B710" s="157" t="s">
        <v>857</v>
      </c>
      <c r="C710" s="144">
        <f>'Price List'!C710+'Cost Source'!L710</f>
        <v>45.15</v>
      </c>
      <c r="D710" s="230">
        <f t="shared" si="44"/>
        <v>45.99</v>
      </c>
      <c r="E710" s="144">
        <f>'Price List'!C710+'Cost Source'!Y710</f>
        <v>45.15</v>
      </c>
      <c r="F710" s="245">
        <f t="shared" si="52"/>
        <v>45.99</v>
      </c>
      <c r="G710" s="144">
        <f>'Price List'!C710+'Cost Source'!N710</f>
        <v>45.15</v>
      </c>
      <c r="H710" s="263">
        <f t="shared" si="50"/>
        <v>45.99</v>
      </c>
      <c r="I710" s="272"/>
      <c r="J710" s="290"/>
    </row>
    <row r="711" spans="1:10" x14ac:dyDescent="0.25">
      <c r="A711" s="26" t="s">
        <v>855</v>
      </c>
      <c r="B711" s="43" t="s">
        <v>1062</v>
      </c>
      <c r="C711" s="144">
        <f>'Price List'!C711+'Cost Source'!L711</f>
        <v>99.1</v>
      </c>
      <c r="D711" s="230">
        <f t="shared" si="44"/>
        <v>99.99</v>
      </c>
      <c r="E711" s="144">
        <f>'Price List'!C711+'Cost Source'!Y711</f>
        <v>99.1</v>
      </c>
      <c r="F711" s="245">
        <f t="shared" si="52"/>
        <v>99.99</v>
      </c>
      <c r="G711" s="144">
        <f>'Price List'!C711+'Cost Source'!N711</f>
        <v>99.1</v>
      </c>
      <c r="H711" s="263">
        <f t="shared" si="50"/>
        <v>99.99</v>
      </c>
      <c r="I711" s="275"/>
      <c r="J711" s="289"/>
    </row>
    <row r="712" spans="1:10" x14ac:dyDescent="0.25">
      <c r="A712" s="140" t="s">
        <v>855</v>
      </c>
      <c r="B712" s="151" t="s">
        <v>858</v>
      </c>
      <c r="C712" s="1">
        <f>'Price List'!C712+'Cost Source'!L712</f>
        <v>45.15</v>
      </c>
      <c r="D712" s="226">
        <f t="shared" si="44"/>
        <v>45.99</v>
      </c>
      <c r="E712" s="1">
        <f>'Price List'!C712+'Cost Source'!Y712</f>
        <v>45.15</v>
      </c>
      <c r="F712" s="241">
        <f t="shared" si="52"/>
        <v>45.99</v>
      </c>
      <c r="G712" s="1">
        <f>'Price List'!C712+'Cost Source'!N712</f>
        <v>45.15</v>
      </c>
      <c r="H712" s="262">
        <f t="shared" si="50"/>
        <v>45.99</v>
      </c>
      <c r="I712" s="277"/>
      <c r="J712" s="290"/>
    </row>
    <row r="713" spans="1:10" x14ac:dyDescent="0.25">
      <c r="A713" s="140" t="s">
        <v>855</v>
      </c>
      <c r="B713" s="151" t="s">
        <v>859</v>
      </c>
      <c r="C713" s="146">
        <f>'Price List'!C713+'Cost Source'!L713</f>
        <v>45.15</v>
      </c>
      <c r="D713" s="227">
        <f t="shared" si="44"/>
        <v>45.99</v>
      </c>
      <c r="E713" s="146">
        <f>'Price List'!C713+'Cost Source'!Y713</f>
        <v>45.15</v>
      </c>
      <c r="F713" s="242">
        <f t="shared" si="52"/>
        <v>45.99</v>
      </c>
      <c r="G713" s="146">
        <f>'Price List'!C713+'Cost Source'!N713</f>
        <v>45.15</v>
      </c>
      <c r="H713" s="262">
        <f t="shared" si="50"/>
        <v>45.99</v>
      </c>
      <c r="I713" s="277"/>
      <c r="J713" s="289"/>
    </row>
    <row r="714" spans="1:10" x14ac:dyDescent="0.25">
      <c r="A714" s="26" t="s">
        <v>855</v>
      </c>
      <c r="B714" s="43" t="s">
        <v>860</v>
      </c>
      <c r="C714" s="27">
        <f>'Price List'!C714+'Cost Source'!L714</f>
        <v>45.15</v>
      </c>
      <c r="D714" s="229">
        <f t="shared" si="44"/>
        <v>45.99</v>
      </c>
      <c r="E714" s="27">
        <f>'Price List'!C714+'Cost Source'!Y714</f>
        <v>45.15</v>
      </c>
      <c r="F714" s="244">
        <f t="shared" si="52"/>
        <v>45.99</v>
      </c>
      <c r="G714" s="27">
        <f>'Price List'!C714+'Cost Source'!N714</f>
        <v>45.15</v>
      </c>
      <c r="H714" s="263">
        <f t="shared" si="50"/>
        <v>45.99</v>
      </c>
      <c r="I714" s="272"/>
      <c r="J714" s="290"/>
    </row>
    <row r="715" spans="1:10" x14ac:dyDescent="0.25">
      <c r="A715" s="147" t="s">
        <v>855</v>
      </c>
      <c r="B715" s="157" t="s">
        <v>861</v>
      </c>
      <c r="C715" s="144">
        <f>'Price List'!C715+'Cost Source'!L715</f>
        <v>45.15</v>
      </c>
      <c r="D715" s="230">
        <f t="shared" si="44"/>
        <v>45.99</v>
      </c>
      <c r="E715" s="144">
        <f>'Price List'!C715+'Cost Source'!Y715</f>
        <v>45.15</v>
      </c>
      <c r="F715" s="245">
        <f t="shared" si="52"/>
        <v>45.99</v>
      </c>
      <c r="G715" s="144">
        <f>'Price List'!C715+'Cost Source'!N715</f>
        <v>45.15</v>
      </c>
      <c r="H715" s="263">
        <f t="shared" si="50"/>
        <v>45.99</v>
      </c>
      <c r="I715" s="272"/>
      <c r="J715" s="289"/>
    </row>
    <row r="716" spans="1:10" x14ac:dyDescent="0.25">
      <c r="A716" t="s">
        <v>855</v>
      </c>
      <c r="B716" s="5" t="s">
        <v>862</v>
      </c>
      <c r="C716" s="1">
        <f>'Price List'!C716+'Cost Source'!L716</f>
        <v>45.15</v>
      </c>
      <c r="D716" s="226">
        <f t="shared" si="44"/>
        <v>45.99</v>
      </c>
      <c r="E716" s="1">
        <f>'Price List'!C716+'Cost Source'!Y716</f>
        <v>45.15</v>
      </c>
      <c r="F716" s="241">
        <f t="shared" si="52"/>
        <v>45.99</v>
      </c>
      <c r="G716" s="1">
        <f>'Price List'!C716+'Cost Source'!N716</f>
        <v>45.15</v>
      </c>
      <c r="H716" s="262">
        <f t="shared" si="50"/>
        <v>45.99</v>
      </c>
      <c r="I716" s="277"/>
      <c r="J716" s="290"/>
    </row>
    <row r="717" spans="1:10" x14ac:dyDescent="0.25">
      <c r="A717" s="140" t="s">
        <v>855</v>
      </c>
      <c r="B717" s="151" t="s">
        <v>863</v>
      </c>
      <c r="C717" s="146">
        <f>'Price List'!C717+'Cost Source'!L717</f>
        <v>45.15</v>
      </c>
      <c r="D717" s="227">
        <f t="shared" si="44"/>
        <v>45.99</v>
      </c>
      <c r="E717" s="146">
        <f>'Price List'!C717+'Cost Source'!Y717</f>
        <v>45.15</v>
      </c>
      <c r="F717" s="242">
        <f t="shared" si="52"/>
        <v>45.99</v>
      </c>
      <c r="G717" s="146">
        <f>'Price List'!C717+'Cost Source'!N717</f>
        <v>45.15</v>
      </c>
      <c r="H717" s="262">
        <f t="shared" si="50"/>
        <v>45.99</v>
      </c>
      <c r="I717" s="277"/>
      <c r="J717" s="289"/>
    </row>
    <row r="718" spans="1:10" x14ac:dyDescent="0.25">
      <c r="A718" s="26" t="s">
        <v>855</v>
      </c>
      <c r="B718" s="43" t="s">
        <v>864</v>
      </c>
      <c r="C718" s="27">
        <f>'Price List'!C718+'Cost Source'!L718</f>
        <v>45.15</v>
      </c>
      <c r="D718" s="229">
        <f t="shared" si="44"/>
        <v>45.99</v>
      </c>
      <c r="E718" s="27">
        <f>'Price List'!C718+'Cost Source'!Y718</f>
        <v>45.15</v>
      </c>
      <c r="F718" s="244">
        <f t="shared" si="52"/>
        <v>45.99</v>
      </c>
      <c r="G718" s="27">
        <f>'Price List'!C718+'Cost Source'!N718</f>
        <v>45.15</v>
      </c>
      <c r="H718" s="263">
        <f t="shared" si="50"/>
        <v>45.99</v>
      </c>
      <c r="I718" s="272"/>
      <c r="J718" s="290"/>
    </row>
    <row r="719" spans="1:10" x14ac:dyDescent="0.25">
      <c r="A719" s="147" t="s">
        <v>855</v>
      </c>
      <c r="B719" s="157">
        <v>1002</v>
      </c>
      <c r="C719" s="144">
        <f>'Price List'!C719+'Cost Source'!L719</f>
        <v>17.57</v>
      </c>
      <c r="D719" s="230">
        <f t="shared" si="44"/>
        <v>17.989999999999998</v>
      </c>
      <c r="E719" s="144">
        <f>'Price List'!C719+'Cost Source'!Y719</f>
        <v>17.57</v>
      </c>
      <c r="F719" s="245">
        <f t="shared" si="52"/>
        <v>17.989999999999998</v>
      </c>
      <c r="G719" s="144">
        <f>'Price List'!C719+'Cost Source'!N719</f>
        <v>17.57</v>
      </c>
      <c r="H719" s="263">
        <f t="shared" si="50"/>
        <v>17.989999999999998</v>
      </c>
      <c r="I719" s="272"/>
      <c r="J719" s="289"/>
    </row>
    <row r="720" spans="1:10" x14ac:dyDescent="0.25">
      <c r="A720" t="s">
        <v>855</v>
      </c>
      <c r="B720" s="5">
        <v>1004</v>
      </c>
      <c r="C720" s="1">
        <f>'Price List'!C720+'Cost Source'!L720</f>
        <v>27.82</v>
      </c>
      <c r="D720" s="226">
        <f t="shared" si="44"/>
        <v>27.99</v>
      </c>
      <c r="E720" s="1">
        <f>'Price List'!C720+'Cost Source'!Y720</f>
        <v>27.82</v>
      </c>
      <c r="F720" s="241">
        <f t="shared" si="52"/>
        <v>27.99</v>
      </c>
      <c r="G720" s="1">
        <f>'Price List'!C720+'Cost Source'!N720</f>
        <v>27.82</v>
      </c>
      <c r="H720" s="262">
        <f t="shared" si="50"/>
        <v>27.99</v>
      </c>
      <c r="I720" s="277"/>
      <c r="J720" s="290"/>
    </row>
    <row r="721" spans="1:10" x14ac:dyDescent="0.25">
      <c r="A721" s="140" t="s">
        <v>855</v>
      </c>
      <c r="B721" s="151">
        <v>1020</v>
      </c>
      <c r="C721" s="146">
        <f>'Price List'!C721+'Cost Source'!L721</f>
        <v>8.48</v>
      </c>
      <c r="D721" s="227">
        <f t="shared" si="44"/>
        <v>8.99</v>
      </c>
      <c r="E721" s="146">
        <f>'Price List'!C721+'Cost Source'!Y721</f>
        <v>8.48</v>
      </c>
      <c r="F721" s="242">
        <f t="shared" si="52"/>
        <v>8.99</v>
      </c>
      <c r="G721" s="146">
        <f>'Price List'!C721+'Cost Source'!N721</f>
        <v>8.48</v>
      </c>
      <c r="H721" s="262">
        <f t="shared" si="50"/>
        <v>8.99</v>
      </c>
      <c r="I721" s="277"/>
      <c r="J721" s="289"/>
    </row>
    <row r="722" spans="1:10" x14ac:dyDescent="0.25">
      <c r="A722" s="26" t="s">
        <v>855</v>
      </c>
      <c r="B722" s="43" t="s">
        <v>865</v>
      </c>
      <c r="C722" s="27"/>
      <c r="D722" s="230"/>
      <c r="E722" s="27"/>
      <c r="F722" s="245"/>
      <c r="G722" s="27"/>
      <c r="H722" s="263"/>
      <c r="I722" s="272"/>
      <c r="J722" s="290"/>
    </row>
    <row r="723" spans="1:10" x14ac:dyDescent="0.25">
      <c r="A723" s="147" t="s">
        <v>855</v>
      </c>
      <c r="B723" s="157" t="s">
        <v>866</v>
      </c>
      <c r="C723" s="144">
        <f>'Price List'!C723+'Cost Source'!L723</f>
        <v>10.25</v>
      </c>
      <c r="D723" s="230">
        <f t="shared" si="44"/>
        <v>10.99</v>
      </c>
      <c r="E723" s="144">
        <f>'Price List'!C723+'Cost Source'!Y723</f>
        <v>10.25</v>
      </c>
      <c r="F723" s="245">
        <f t="shared" si="52"/>
        <v>10.99</v>
      </c>
      <c r="G723" s="144">
        <f>'Price List'!C723+'Cost Source'!N723</f>
        <v>10.25</v>
      </c>
      <c r="H723" s="263">
        <f t="shared" si="50"/>
        <v>10.99</v>
      </c>
      <c r="I723" s="272"/>
      <c r="J723" s="289"/>
    </row>
    <row r="724" spans="1:10" x14ac:dyDescent="0.25">
      <c r="A724" s="26" t="s">
        <v>855</v>
      </c>
      <c r="B724" s="157" t="s">
        <v>1224</v>
      </c>
      <c r="C724" s="144">
        <f>'Price List'!C724+'Cost Source'!L724</f>
        <v>14.25</v>
      </c>
      <c r="D724" s="230">
        <f t="shared" si="44"/>
        <v>14.99</v>
      </c>
      <c r="E724" s="144">
        <f>'Price List'!C724+'Cost Source'!Y724</f>
        <v>14.25</v>
      </c>
      <c r="F724" s="245">
        <f t="shared" si="52"/>
        <v>14.99</v>
      </c>
      <c r="G724" s="144">
        <f>'Price List'!C724+'Cost Source'!N724</f>
        <v>14.25</v>
      </c>
      <c r="H724" s="263">
        <f t="shared" si="50"/>
        <v>14.99</v>
      </c>
      <c r="I724" s="275"/>
      <c r="J724" s="290"/>
    </row>
    <row r="725" spans="1:10" x14ac:dyDescent="0.25">
      <c r="A725" t="s">
        <v>855</v>
      </c>
      <c r="B725" s="5" t="s">
        <v>607</v>
      </c>
      <c r="C725" s="146">
        <f>'Price List'!C725+'Cost Source'!L725</f>
        <v>45.15</v>
      </c>
      <c r="D725" s="227">
        <f t="shared" si="44"/>
        <v>45.99</v>
      </c>
      <c r="E725" s="146">
        <f>'Price List'!C725+'Cost Source'!Y725</f>
        <v>45.15</v>
      </c>
      <c r="F725" s="242">
        <f t="shared" si="52"/>
        <v>45.99</v>
      </c>
      <c r="G725" s="146">
        <f>'Price List'!C725+'Cost Source'!N725</f>
        <v>45.15</v>
      </c>
      <c r="H725" s="262">
        <f t="shared" si="50"/>
        <v>45.99</v>
      </c>
      <c r="I725" s="277"/>
      <c r="J725" s="290"/>
    </row>
    <row r="726" spans="1:10" x14ac:dyDescent="0.25">
      <c r="A726" s="140" t="s">
        <v>855</v>
      </c>
      <c r="B726" s="151">
        <v>20571854</v>
      </c>
      <c r="C726" s="146">
        <f>'Price List'!C726+'Cost Source'!L726</f>
        <v>45.68</v>
      </c>
      <c r="D726" s="227">
        <f t="shared" si="44"/>
        <v>45.99</v>
      </c>
      <c r="E726" s="146">
        <f>'Price List'!C726+'Cost Source'!Y726</f>
        <v>45.68</v>
      </c>
      <c r="F726" s="242">
        <f t="shared" si="52"/>
        <v>45.99</v>
      </c>
      <c r="G726" s="146">
        <f>'Price List'!C726+'Cost Source'!N726</f>
        <v>45.68</v>
      </c>
      <c r="H726" s="262">
        <f t="shared" si="50"/>
        <v>45.99</v>
      </c>
      <c r="I726" s="277"/>
      <c r="J726" s="289"/>
    </row>
    <row r="727" spans="1:10" x14ac:dyDescent="0.25">
      <c r="A727" s="26" t="s">
        <v>855</v>
      </c>
      <c r="B727" s="43">
        <v>20706141</v>
      </c>
      <c r="C727" s="144">
        <f>'Price List'!C727+'Cost Source'!L727</f>
        <v>14.03</v>
      </c>
      <c r="D727" s="230">
        <f t="shared" si="44"/>
        <v>14.99</v>
      </c>
      <c r="E727" s="144">
        <f>'Price List'!C727+'Cost Source'!Y727</f>
        <v>14.03</v>
      </c>
      <c r="F727" s="245">
        <f t="shared" si="52"/>
        <v>14.99</v>
      </c>
      <c r="G727" s="144">
        <f>'Price List'!C727+'Cost Source'!N727</f>
        <v>14.03</v>
      </c>
      <c r="H727" s="263">
        <f t="shared" si="50"/>
        <v>14.99</v>
      </c>
      <c r="I727" s="272"/>
      <c r="J727" s="290"/>
    </row>
    <row r="728" spans="1:10" x14ac:dyDescent="0.25">
      <c r="A728" s="147" t="s">
        <v>855</v>
      </c>
      <c r="B728" s="157">
        <v>21540428</v>
      </c>
      <c r="C728" s="144">
        <f>'Price List'!C728+'Cost Source'!L728</f>
        <v>46.88</v>
      </c>
      <c r="D728" s="230">
        <f t="shared" si="44"/>
        <v>46.99</v>
      </c>
      <c r="E728" s="144">
        <f>'Price List'!C728+'Cost Source'!Y728</f>
        <v>46.88</v>
      </c>
      <c r="F728" s="245">
        <f t="shared" si="52"/>
        <v>46.99</v>
      </c>
      <c r="G728" s="144">
        <f>'Price List'!C728+'Cost Source'!N728</f>
        <v>46.88</v>
      </c>
      <c r="H728" s="263">
        <f t="shared" si="50"/>
        <v>46.99</v>
      </c>
      <c r="I728" s="272"/>
      <c r="J728" s="289"/>
    </row>
    <row r="729" spans="1:10" x14ac:dyDescent="0.25">
      <c r="A729" t="s">
        <v>855</v>
      </c>
      <c r="B729" s="5">
        <v>3055069</v>
      </c>
      <c r="C729" s="146">
        <f>'Price List'!C729+'Cost Source'!L729</f>
        <v>48.7</v>
      </c>
      <c r="D729" s="227">
        <f t="shared" si="44"/>
        <v>48.99</v>
      </c>
      <c r="E729" s="146">
        <f>'Price List'!C729+'Cost Source'!Y729</f>
        <v>48.7</v>
      </c>
      <c r="F729" s="242">
        <f t="shared" si="52"/>
        <v>48.99</v>
      </c>
      <c r="G729" s="146">
        <f>'Price List'!C729+'Cost Source'!N729</f>
        <v>48.7</v>
      </c>
      <c r="H729" s="262">
        <f t="shared" si="50"/>
        <v>48.99</v>
      </c>
      <c r="I729" s="277"/>
      <c r="J729" s="290"/>
    </row>
    <row r="730" spans="1:10" x14ac:dyDescent="0.25">
      <c r="A730" s="140" t="s">
        <v>855</v>
      </c>
      <c r="B730" s="151" t="s">
        <v>1226</v>
      </c>
      <c r="C730" s="146">
        <f>'Price List'!C730+'Cost Source'!L730</f>
        <v>25.66</v>
      </c>
      <c r="D730" s="227">
        <f t="shared" si="44"/>
        <v>25.99</v>
      </c>
      <c r="E730" s="146">
        <f>'Price List'!C730+'Cost Source'!Y730</f>
        <v>25.66</v>
      </c>
      <c r="F730" s="242">
        <f t="shared" si="52"/>
        <v>25.99</v>
      </c>
      <c r="G730" s="146">
        <f>'Price List'!C730+'Cost Source'!N730</f>
        <v>25.66</v>
      </c>
      <c r="H730" s="262">
        <f t="shared" si="50"/>
        <v>25.99</v>
      </c>
      <c r="I730" s="279"/>
      <c r="J730" s="290"/>
    </row>
    <row r="731" spans="1:10" x14ac:dyDescent="0.25">
      <c r="A731" s="140" t="s">
        <v>855</v>
      </c>
      <c r="B731" s="151" t="s">
        <v>867</v>
      </c>
      <c r="C731" s="146"/>
      <c r="D731" s="227"/>
      <c r="E731" s="146"/>
      <c r="F731" s="242"/>
      <c r="G731" s="146"/>
      <c r="H731" s="262"/>
      <c r="I731" s="277"/>
      <c r="J731" s="289"/>
    </row>
    <row r="732" spans="1:10" x14ac:dyDescent="0.25">
      <c r="A732" s="26" t="s">
        <v>855</v>
      </c>
      <c r="B732" s="43" t="s">
        <v>868</v>
      </c>
      <c r="C732" s="144"/>
      <c r="D732" s="230"/>
      <c r="E732" s="144"/>
      <c r="F732" s="245"/>
      <c r="G732" s="144"/>
      <c r="H732" s="263"/>
      <c r="I732" s="272"/>
      <c r="J732" s="290"/>
    </row>
    <row r="733" spans="1:10" x14ac:dyDescent="0.25">
      <c r="A733" s="147" t="s">
        <v>855</v>
      </c>
      <c r="B733" s="157">
        <v>3678606</v>
      </c>
      <c r="C733" s="144"/>
      <c r="D733" s="230"/>
      <c r="E733" s="144"/>
      <c r="F733" s="245"/>
      <c r="G733" s="144"/>
      <c r="H733" s="263"/>
      <c r="I733" s="272"/>
      <c r="J733" s="289"/>
    </row>
    <row r="734" spans="1:10" x14ac:dyDescent="0.25">
      <c r="A734" s="140" t="s">
        <v>855</v>
      </c>
      <c r="B734" s="151">
        <v>39220773</v>
      </c>
      <c r="C734" s="146">
        <f>'Price List'!C734+'Cost Source'!L734</f>
        <v>6.79</v>
      </c>
      <c r="D734" s="227">
        <f t="shared" si="44"/>
        <v>6.99</v>
      </c>
      <c r="E734" s="146">
        <f>'Price List'!C734+'Cost Source'!Y734</f>
        <v>6.79</v>
      </c>
      <c r="F734" s="242">
        <f t="shared" si="52"/>
        <v>6.99</v>
      </c>
      <c r="G734" s="146">
        <f>'Price List'!C734+'Cost Source'!N734</f>
        <v>6.79</v>
      </c>
      <c r="H734" s="262">
        <f t="shared" si="50"/>
        <v>6.99</v>
      </c>
      <c r="I734" s="277"/>
      <c r="J734" s="290"/>
    </row>
    <row r="735" spans="1:10" x14ac:dyDescent="0.25">
      <c r="A735" s="159" t="s">
        <v>855</v>
      </c>
      <c r="B735" s="164">
        <v>3924147</v>
      </c>
      <c r="C735" s="146">
        <f>'Price List'!C735+'Cost Source'!L735</f>
        <v>27.54</v>
      </c>
      <c r="D735" s="227">
        <f t="shared" si="44"/>
        <v>27.99</v>
      </c>
      <c r="E735" s="146">
        <f>'Price List'!C735+'Cost Source'!Y735</f>
        <v>27.54</v>
      </c>
      <c r="F735" s="242">
        <f t="shared" si="52"/>
        <v>27.99</v>
      </c>
      <c r="G735" s="146">
        <f>'Price List'!C735+'Cost Source'!N735</f>
        <v>27.54</v>
      </c>
      <c r="H735" s="262">
        <f t="shared" si="50"/>
        <v>27.99</v>
      </c>
      <c r="I735" s="277"/>
      <c r="J735" s="289"/>
    </row>
    <row r="736" spans="1:10" x14ac:dyDescent="0.25">
      <c r="A736" s="159" t="s">
        <v>855</v>
      </c>
      <c r="B736" s="151">
        <v>3947334</v>
      </c>
      <c r="C736" s="146">
        <f>'Price List'!C736+'Cost Source'!L736</f>
        <v>23.48</v>
      </c>
      <c r="D736" s="227">
        <f t="shared" si="44"/>
        <v>23.99</v>
      </c>
      <c r="E736" s="146">
        <f>'Price List'!C736+'Cost Source'!Y736</f>
        <v>23.48</v>
      </c>
      <c r="F736" s="242">
        <f t="shared" si="52"/>
        <v>23.99</v>
      </c>
      <c r="G736" s="146">
        <f>'Price List'!C736+'Cost Source'!N736</f>
        <v>23.48</v>
      </c>
      <c r="H736" s="262">
        <f t="shared" si="50"/>
        <v>23.99</v>
      </c>
      <c r="I736" s="279"/>
      <c r="J736" s="290"/>
    </row>
    <row r="737" spans="1:10" x14ac:dyDescent="0.25">
      <c r="A737" s="26" t="s">
        <v>855</v>
      </c>
      <c r="B737" s="43" t="s">
        <v>869</v>
      </c>
      <c r="C737" s="144">
        <f>'Price List'!C737+'Cost Source'!L737</f>
        <v>27.61</v>
      </c>
      <c r="D737" s="230">
        <f t="shared" si="44"/>
        <v>27.99</v>
      </c>
      <c r="E737" s="144">
        <f>'Price List'!C737+'Cost Source'!Y737</f>
        <v>27.61</v>
      </c>
      <c r="F737" s="245">
        <f t="shared" si="52"/>
        <v>27.99</v>
      </c>
      <c r="G737" s="144">
        <f>'Price List'!C737+'Cost Source'!N737</f>
        <v>27.61</v>
      </c>
      <c r="H737" s="263">
        <f t="shared" si="50"/>
        <v>27.99</v>
      </c>
      <c r="I737" s="272"/>
      <c r="J737" s="290"/>
    </row>
    <row r="738" spans="1:10" x14ac:dyDescent="0.25">
      <c r="A738" s="147" t="s">
        <v>855</v>
      </c>
      <c r="B738" s="157" t="s">
        <v>870</v>
      </c>
      <c r="C738" s="144">
        <f>'Price List'!C738+'Cost Source'!L738</f>
        <v>45.15</v>
      </c>
      <c r="D738" s="230">
        <f t="shared" si="44"/>
        <v>45.99</v>
      </c>
      <c r="E738" s="144">
        <f>'Price List'!C738+'Cost Source'!Y738</f>
        <v>45.15</v>
      </c>
      <c r="F738" s="245">
        <f t="shared" si="52"/>
        <v>45.99</v>
      </c>
      <c r="G738" s="144">
        <f>'Price List'!C738+'Cost Source'!N738</f>
        <v>45.15</v>
      </c>
      <c r="H738" s="263">
        <f t="shared" si="50"/>
        <v>45.99</v>
      </c>
      <c r="I738" s="272"/>
      <c r="J738" s="289"/>
    </row>
    <row r="739" spans="1:10" x14ac:dyDescent="0.25">
      <c r="A739" t="s">
        <v>855</v>
      </c>
      <c r="B739" s="5">
        <v>4304023</v>
      </c>
      <c r="C739" s="146">
        <f>'Price List'!C739+'Cost Source'!L739</f>
        <v>28.92</v>
      </c>
      <c r="D739" s="227">
        <f t="shared" si="44"/>
        <v>28.99</v>
      </c>
      <c r="E739" s="146">
        <f>'Price List'!C739+'Cost Source'!Y739</f>
        <v>28.92</v>
      </c>
      <c r="F739" s="242">
        <f t="shared" si="52"/>
        <v>28.99</v>
      </c>
      <c r="G739" s="146">
        <f>'Price List'!C739+'Cost Source'!N739</f>
        <v>28.92</v>
      </c>
      <c r="H739" s="262">
        <f t="shared" si="50"/>
        <v>28.99</v>
      </c>
      <c r="I739" s="277"/>
      <c r="J739" s="290"/>
    </row>
    <row r="740" spans="1:10" x14ac:dyDescent="0.25">
      <c r="A740" s="140" t="s">
        <v>855</v>
      </c>
      <c r="B740" s="151">
        <v>4331268</v>
      </c>
      <c r="C740" s="146">
        <f>'Price List'!C740+'Cost Source'!L740</f>
        <v>88</v>
      </c>
      <c r="D740" s="227">
        <f t="shared" si="44"/>
        <v>87.99</v>
      </c>
      <c r="E740" s="146">
        <f>'Price List'!C740+'Cost Source'!Y740</f>
        <v>88</v>
      </c>
      <c r="F740" s="242">
        <f t="shared" si="52"/>
        <v>87.99</v>
      </c>
      <c r="G740" s="146">
        <f>'Price List'!C740+'Cost Source'!N740</f>
        <v>88</v>
      </c>
      <c r="H740" s="262">
        <f t="shared" si="50"/>
        <v>87.99</v>
      </c>
      <c r="I740" s="277"/>
      <c r="J740" s="289"/>
    </row>
    <row r="741" spans="1:10" x14ac:dyDescent="0.25">
      <c r="A741" s="26" t="s">
        <v>855</v>
      </c>
      <c r="B741" s="43">
        <v>4926565</v>
      </c>
      <c r="C741" s="144">
        <f>'Price List'!C741+'Cost Source'!L741</f>
        <v>87.17</v>
      </c>
      <c r="D741" s="230">
        <f t="shared" si="44"/>
        <v>87.99</v>
      </c>
      <c r="E741" s="144">
        <f>'Price List'!C741+'Cost Source'!Y741</f>
        <v>87.17</v>
      </c>
      <c r="F741" s="245">
        <f t="shared" si="52"/>
        <v>87.99</v>
      </c>
      <c r="G741" s="144">
        <f>'Price List'!C741+'Cost Source'!N741</f>
        <v>87.17</v>
      </c>
      <c r="H741" s="263">
        <f t="shared" si="50"/>
        <v>87.99</v>
      </c>
      <c r="I741" s="272"/>
      <c r="J741" s="290"/>
    </row>
    <row r="742" spans="1:10" x14ac:dyDescent="0.25">
      <c r="A742" s="147" t="s">
        <v>855</v>
      </c>
      <c r="B742" s="157" t="s">
        <v>874</v>
      </c>
      <c r="C742" s="144">
        <f>'Price List'!C742+'Cost Source'!L742</f>
        <v>45.15</v>
      </c>
      <c r="D742" s="230">
        <f t="shared" si="44"/>
        <v>45.99</v>
      </c>
      <c r="E742" s="144">
        <f>'Price List'!C742+'Cost Source'!Y742</f>
        <v>45.15</v>
      </c>
      <c r="F742" s="245">
        <f t="shared" si="52"/>
        <v>45.99</v>
      </c>
      <c r="G742" s="144">
        <f>'Price List'!C742+'Cost Source'!N742</f>
        <v>45.15</v>
      </c>
      <c r="H742" s="263">
        <f t="shared" si="50"/>
        <v>45.99</v>
      </c>
      <c r="I742" s="272"/>
      <c r="J742" s="289"/>
    </row>
    <row r="743" spans="1:10" x14ac:dyDescent="0.25">
      <c r="A743" s="140" t="s">
        <v>855</v>
      </c>
      <c r="B743" s="151">
        <v>5528109</v>
      </c>
      <c r="C743" s="146">
        <f>'Price List'!C743+'Cost Source'!L743</f>
        <v>25.57</v>
      </c>
      <c r="D743" s="227">
        <f t="shared" si="44"/>
        <v>25.99</v>
      </c>
      <c r="E743" s="146">
        <f>'Price List'!C743+'Cost Source'!Y743</f>
        <v>25.57</v>
      </c>
      <c r="F743" s="242">
        <f t="shared" si="52"/>
        <v>25.99</v>
      </c>
      <c r="G743" s="146">
        <f>'Price List'!C743+'Cost Source'!N743</f>
        <v>25.57</v>
      </c>
      <c r="H743" s="262">
        <f t="shared" si="50"/>
        <v>25.99</v>
      </c>
      <c r="I743" s="272"/>
      <c r="J743" s="290"/>
    </row>
    <row r="744" spans="1:10" x14ac:dyDescent="0.25">
      <c r="A744" s="140" t="s">
        <v>855</v>
      </c>
      <c r="B744" s="5">
        <v>5658178</v>
      </c>
      <c r="C744" s="146">
        <f>'Price List'!C744+'Cost Source'!L744</f>
        <v>14.77</v>
      </c>
      <c r="D744" s="227">
        <f t="shared" si="44"/>
        <v>14.99</v>
      </c>
      <c r="E744" s="146">
        <f>'Price List'!C744+'Cost Source'!Y744</f>
        <v>14.77</v>
      </c>
      <c r="F744" s="242">
        <f t="shared" si="52"/>
        <v>14.99</v>
      </c>
      <c r="G744" s="146">
        <f>'Price List'!C744+'Cost Source'!N744</f>
        <v>14.77</v>
      </c>
      <c r="H744" s="262">
        <f t="shared" si="50"/>
        <v>14.99</v>
      </c>
      <c r="I744" s="275"/>
      <c r="J744" s="289"/>
    </row>
    <row r="745" spans="1:10" x14ac:dyDescent="0.25">
      <c r="A745" t="s">
        <v>855</v>
      </c>
      <c r="B745" s="151">
        <v>6080020123</v>
      </c>
      <c r="C745" s="146">
        <f>'Price List'!C745+'Cost Source'!L745</f>
        <v>41</v>
      </c>
      <c r="D745" s="227">
        <f t="shared" si="44"/>
        <v>40.99</v>
      </c>
      <c r="E745" s="146">
        <f>'Price List'!C745+'Cost Source'!Y745</f>
        <v>41</v>
      </c>
      <c r="F745" s="242">
        <f t="shared" si="52"/>
        <v>40.99</v>
      </c>
      <c r="G745" s="146">
        <f>'Price List'!C745+'Cost Source'!N745</f>
        <v>41</v>
      </c>
      <c r="H745" s="262">
        <f t="shared" si="50"/>
        <v>40.99</v>
      </c>
      <c r="I745" s="272"/>
      <c r="J745" s="290"/>
    </row>
    <row r="746" spans="1:10" x14ac:dyDescent="0.25">
      <c r="A746" s="147" t="s">
        <v>855</v>
      </c>
      <c r="B746" s="157">
        <v>6090020040</v>
      </c>
      <c r="C746" s="144">
        <f>'Price List'!C746+'Cost Source'!L746</f>
        <v>41</v>
      </c>
      <c r="D746" s="230">
        <f t="shared" si="44"/>
        <v>40.99</v>
      </c>
      <c r="E746" s="144">
        <f>'Price List'!C746+'Cost Source'!Y746</f>
        <v>41</v>
      </c>
      <c r="F746" s="245">
        <f t="shared" si="52"/>
        <v>40.99</v>
      </c>
      <c r="G746" s="144">
        <f>'Price List'!C746+'Cost Source'!N746</f>
        <v>41</v>
      </c>
      <c r="H746" s="263">
        <f t="shared" si="50"/>
        <v>40.99</v>
      </c>
      <c r="I746" s="272"/>
      <c r="J746" s="290"/>
    </row>
    <row r="747" spans="1:10" x14ac:dyDescent="0.25">
      <c r="A747" s="26" t="s">
        <v>855</v>
      </c>
      <c r="B747" s="43">
        <v>6090020055</v>
      </c>
      <c r="C747" s="144">
        <f>'Price List'!C747+'Cost Source'!L747</f>
        <v>41</v>
      </c>
      <c r="D747" s="230">
        <f t="shared" si="44"/>
        <v>40.99</v>
      </c>
      <c r="E747" s="144">
        <f>'Price List'!C747+'Cost Source'!Y747</f>
        <v>41</v>
      </c>
      <c r="F747" s="245">
        <f t="shared" si="52"/>
        <v>40.99</v>
      </c>
      <c r="G747" s="144">
        <f>'Price List'!C747+'Cost Source'!N747</f>
        <v>41</v>
      </c>
      <c r="H747" s="263">
        <f t="shared" si="50"/>
        <v>40.99</v>
      </c>
      <c r="I747" s="272"/>
      <c r="J747" s="289"/>
    </row>
    <row r="748" spans="1:10" x14ac:dyDescent="0.25">
      <c r="A748" s="140" t="s">
        <v>855</v>
      </c>
      <c r="B748" s="151">
        <v>6090020063</v>
      </c>
      <c r="C748" s="146">
        <f>'Price List'!C748+'Cost Source'!L748</f>
        <v>41</v>
      </c>
      <c r="D748" s="227">
        <f t="shared" si="44"/>
        <v>40.99</v>
      </c>
      <c r="E748" s="146">
        <f>'Price List'!C748+'Cost Source'!Y748</f>
        <v>41</v>
      </c>
      <c r="F748" s="242">
        <f t="shared" si="52"/>
        <v>40.99</v>
      </c>
      <c r="G748" s="146">
        <f>'Price List'!C748+'Cost Source'!N748</f>
        <v>41</v>
      </c>
      <c r="H748" s="262">
        <f t="shared" si="50"/>
        <v>40.99</v>
      </c>
      <c r="I748" s="272"/>
      <c r="J748" s="290"/>
    </row>
    <row r="749" spans="1:10" x14ac:dyDescent="0.25">
      <c r="A749" t="s">
        <v>855</v>
      </c>
      <c r="B749" s="5">
        <v>6090020070</v>
      </c>
      <c r="C749" s="146">
        <f>'Price List'!C749+'Cost Source'!L749</f>
        <v>41</v>
      </c>
      <c r="D749" s="227">
        <f t="shared" si="44"/>
        <v>40.99</v>
      </c>
      <c r="E749" s="146">
        <f>'Price List'!C749+'Cost Source'!Y749</f>
        <v>41</v>
      </c>
      <c r="F749" s="242">
        <f t="shared" si="52"/>
        <v>40.99</v>
      </c>
      <c r="G749" s="146">
        <f>'Price List'!C749+'Cost Source'!N749</f>
        <v>41</v>
      </c>
      <c r="H749" s="262">
        <f t="shared" si="50"/>
        <v>40.99</v>
      </c>
      <c r="I749" s="272"/>
      <c r="J749" s="289"/>
    </row>
    <row r="750" spans="1:10" x14ac:dyDescent="0.25">
      <c r="A750" s="147" t="s">
        <v>855</v>
      </c>
      <c r="B750" s="157">
        <v>6090020071</v>
      </c>
      <c r="C750" s="144">
        <f>'Price List'!C750+'Cost Source'!L750</f>
        <v>41</v>
      </c>
      <c r="D750" s="230">
        <f t="shared" si="44"/>
        <v>40.99</v>
      </c>
      <c r="E750" s="144">
        <f>'Price List'!C750+'Cost Source'!Y750</f>
        <v>41</v>
      </c>
      <c r="F750" s="245">
        <f t="shared" si="52"/>
        <v>40.99</v>
      </c>
      <c r="G750" s="144">
        <f>'Price List'!C750+'Cost Source'!N750</f>
        <v>41</v>
      </c>
      <c r="H750" s="263">
        <f t="shared" ref="H750:H759" si="53">ROUNDUP(G750,0)-0.01</f>
        <v>40.99</v>
      </c>
      <c r="I750" s="272"/>
      <c r="J750" s="290"/>
    </row>
    <row r="751" spans="1:10" x14ac:dyDescent="0.25">
      <c r="A751" s="26" t="s">
        <v>855</v>
      </c>
      <c r="B751" s="43">
        <v>650103</v>
      </c>
      <c r="C751" s="144"/>
      <c r="D751" s="230"/>
      <c r="E751" s="144"/>
      <c r="F751" s="245"/>
      <c r="G751" s="144"/>
      <c r="H751" s="263"/>
      <c r="I751" s="272"/>
      <c r="J751" s="289"/>
    </row>
    <row r="752" spans="1:10" x14ac:dyDescent="0.25">
      <c r="A752" s="140" t="s">
        <v>855</v>
      </c>
      <c r="B752" s="151">
        <v>67946</v>
      </c>
      <c r="C752" s="146">
        <f>'Price List'!C752+'Cost Source'!L752</f>
        <v>19</v>
      </c>
      <c r="D752" s="227">
        <f t="shared" si="44"/>
        <v>18.989999999999998</v>
      </c>
      <c r="E752" s="146">
        <f>'Price List'!C752+'Cost Source'!Y752</f>
        <v>19</v>
      </c>
      <c r="F752" s="242">
        <f t="shared" si="52"/>
        <v>18.989999999999998</v>
      </c>
      <c r="G752" s="146">
        <f>'Price List'!C752+'Cost Source'!N752</f>
        <v>19</v>
      </c>
      <c r="H752" s="262">
        <f t="shared" si="53"/>
        <v>18.989999999999998</v>
      </c>
      <c r="I752" s="272"/>
      <c r="J752" s="290"/>
    </row>
    <row r="753" spans="1:10" x14ac:dyDescent="0.25">
      <c r="A753" t="s">
        <v>855</v>
      </c>
      <c r="B753" s="5" t="s">
        <v>1277</v>
      </c>
      <c r="C753" s="1">
        <f>'Price List'!C753+'Cost Source'!L753</f>
        <v>11.1</v>
      </c>
      <c r="D753" s="234">
        <f t="shared" si="44"/>
        <v>11.99</v>
      </c>
      <c r="E753" s="1">
        <f>'Price List'!C753+'Cost Source'!Y753</f>
        <v>11.1</v>
      </c>
      <c r="F753" s="283">
        <f t="shared" si="52"/>
        <v>11.99</v>
      </c>
      <c r="G753" s="1">
        <f>'Price List'!C753+'Cost Source'!N753</f>
        <v>11.1</v>
      </c>
      <c r="H753" s="261">
        <f t="shared" si="53"/>
        <v>11.99</v>
      </c>
      <c r="I753" s="280"/>
      <c r="J753" s="289"/>
    </row>
    <row r="754" spans="1:10" x14ac:dyDescent="0.25">
      <c r="A754" s="140" t="s">
        <v>855</v>
      </c>
      <c r="B754" s="151" t="s">
        <v>875</v>
      </c>
      <c r="C754" s="146"/>
      <c r="D754" s="227"/>
      <c r="E754" s="146"/>
      <c r="F754" s="242"/>
      <c r="G754" s="146"/>
      <c r="H754" s="258"/>
      <c r="I754" s="275"/>
      <c r="J754" s="290"/>
    </row>
    <row r="755" spans="1:10" x14ac:dyDescent="0.25">
      <c r="A755" s="140" t="s">
        <v>855</v>
      </c>
      <c r="B755" s="151" t="s">
        <v>876</v>
      </c>
      <c r="C755" s="146"/>
      <c r="D755" s="227"/>
      <c r="E755" s="146"/>
      <c r="F755" s="242"/>
      <c r="G755" s="146"/>
      <c r="H755" s="262"/>
      <c r="I755" s="272"/>
      <c r="J755" s="290"/>
    </row>
    <row r="756" spans="1:10" x14ac:dyDescent="0.25">
      <c r="A756" t="s">
        <v>855</v>
      </c>
      <c r="B756" s="5" t="s">
        <v>877</v>
      </c>
      <c r="C756" s="1"/>
      <c r="D756" s="226"/>
      <c r="E756" s="1"/>
      <c r="F756" s="241"/>
      <c r="G756" s="1"/>
      <c r="H756" s="262"/>
      <c r="I756" s="272"/>
      <c r="J756" s="289"/>
    </row>
    <row r="757" spans="1:10" x14ac:dyDescent="0.25">
      <c r="A757" s="140" t="s">
        <v>855</v>
      </c>
      <c r="B757" s="151" t="s">
        <v>878</v>
      </c>
      <c r="C757" s="146"/>
      <c r="D757" s="227"/>
      <c r="E757" s="146"/>
      <c r="F757" s="242"/>
      <c r="G757" s="146"/>
      <c r="H757" s="262"/>
      <c r="I757" s="272"/>
      <c r="J757" s="290"/>
    </row>
    <row r="758" spans="1:10" x14ac:dyDescent="0.25">
      <c r="A758" t="s">
        <v>855</v>
      </c>
      <c r="B758" s="5" t="s">
        <v>879</v>
      </c>
      <c r="C758" s="1"/>
      <c r="D758" s="226"/>
      <c r="E758" s="1"/>
      <c r="F758" s="241"/>
      <c r="G758" s="1"/>
      <c r="H758" s="262"/>
      <c r="I758" s="280"/>
      <c r="J758" s="289"/>
    </row>
    <row r="759" spans="1:10" x14ac:dyDescent="0.25">
      <c r="A759" s="140" t="s">
        <v>855</v>
      </c>
      <c r="B759" s="151" t="s">
        <v>1166</v>
      </c>
      <c r="C759" s="146"/>
      <c r="D759" s="227"/>
      <c r="E759" s="146"/>
      <c r="F759" s="242"/>
      <c r="G759" s="146">
        <f>'Price List'!C759+'Cost Source'!N759</f>
        <v>19.880000000000003</v>
      </c>
      <c r="H759" s="262">
        <f t="shared" si="53"/>
        <v>19.989999999999998</v>
      </c>
      <c r="I759" s="275"/>
      <c r="J759" s="290"/>
    </row>
    <row r="760" spans="1:10" x14ac:dyDescent="0.25">
      <c r="A760" s="140" t="s">
        <v>855</v>
      </c>
      <c r="B760" s="151" t="s">
        <v>880</v>
      </c>
      <c r="C760" s="146"/>
      <c r="D760" s="227"/>
      <c r="E760" s="146"/>
      <c r="F760" s="242"/>
      <c r="G760" s="146"/>
      <c r="H760" s="258"/>
      <c r="I760" s="272"/>
      <c r="J760" s="290"/>
    </row>
    <row r="761" spans="1:10" x14ac:dyDescent="0.25">
      <c r="A761" t="s">
        <v>855</v>
      </c>
      <c r="B761" s="5" t="s">
        <v>881</v>
      </c>
      <c r="C761" s="1"/>
      <c r="D761" s="226"/>
      <c r="E761" s="1"/>
      <c r="F761" s="241"/>
      <c r="G761" s="1"/>
      <c r="H761" s="257"/>
      <c r="I761" s="272"/>
      <c r="J761" s="289"/>
    </row>
    <row r="762" spans="1:10" x14ac:dyDescent="0.25">
      <c r="A762" s="140" t="s">
        <v>855</v>
      </c>
      <c r="B762" s="151" t="s">
        <v>882</v>
      </c>
      <c r="C762" s="146"/>
      <c r="D762" s="227"/>
      <c r="E762" s="146"/>
      <c r="F762" s="242"/>
      <c r="G762" s="146"/>
      <c r="H762" s="258"/>
      <c r="I762" s="272"/>
      <c r="J762" s="290"/>
    </row>
    <row r="763" spans="1:10" x14ac:dyDescent="0.25">
      <c r="A763" t="s">
        <v>855</v>
      </c>
      <c r="B763" s="5" t="s">
        <v>883</v>
      </c>
      <c r="C763" s="1"/>
      <c r="D763" s="226"/>
      <c r="E763" s="1"/>
      <c r="F763" s="241"/>
      <c r="G763" s="1"/>
      <c r="H763" s="257"/>
      <c r="I763" s="272"/>
      <c r="J763" s="289"/>
    </row>
    <row r="764" spans="1:10" x14ac:dyDescent="0.25">
      <c r="A764" s="140" t="s">
        <v>855</v>
      </c>
      <c r="B764" s="151" t="s">
        <v>884</v>
      </c>
      <c r="C764" s="146"/>
      <c r="D764" s="227"/>
      <c r="E764" s="146"/>
      <c r="F764" s="242"/>
      <c r="G764" s="146"/>
      <c r="H764" s="258"/>
      <c r="I764" s="272"/>
      <c r="J764" s="290"/>
    </row>
    <row r="765" spans="1:10" x14ac:dyDescent="0.25">
      <c r="A765" t="s">
        <v>855</v>
      </c>
      <c r="B765" s="5" t="s">
        <v>885</v>
      </c>
      <c r="C765" s="1"/>
      <c r="D765" s="226"/>
      <c r="E765" s="1"/>
      <c r="F765" s="241"/>
      <c r="G765" s="1"/>
      <c r="H765" s="257"/>
      <c r="I765" s="272"/>
      <c r="J765" s="289"/>
    </row>
    <row r="766" spans="1:10" x14ac:dyDescent="0.25">
      <c r="A766" s="140" t="s">
        <v>855</v>
      </c>
      <c r="B766" s="151" t="s">
        <v>886</v>
      </c>
      <c r="C766" s="146">
        <f>'Price List'!C766+'Cost Source'!L766</f>
        <v>22.9</v>
      </c>
      <c r="D766" s="238">
        <f t="shared" si="44"/>
        <v>22.99</v>
      </c>
      <c r="E766" s="146">
        <f>'Price List'!C766+'Cost Source'!Y766</f>
        <v>22.9</v>
      </c>
      <c r="F766" s="254">
        <f t="shared" ref="F766" si="54">ROUNDUP(E766,0)-0.01</f>
        <v>22.99</v>
      </c>
      <c r="G766" s="146">
        <f>'Price List'!C766+'Cost Source'!N766</f>
        <v>22.9</v>
      </c>
      <c r="H766" s="269">
        <f t="shared" ref="H766" si="55">ROUNDUP(G766,0)-0.01</f>
        <v>22.99</v>
      </c>
      <c r="I766" s="272"/>
      <c r="J766" s="290"/>
    </row>
    <row r="767" spans="1:10" x14ac:dyDescent="0.25">
      <c r="A767" t="s">
        <v>855</v>
      </c>
      <c r="B767" s="5" t="s">
        <v>887</v>
      </c>
      <c r="C767" s="1"/>
      <c r="D767" s="238"/>
      <c r="E767" s="1"/>
      <c r="F767" s="254"/>
      <c r="G767" s="1"/>
      <c r="H767" s="269"/>
      <c r="I767" s="272"/>
      <c r="J767" s="289"/>
    </row>
    <row r="768" spans="1:10" x14ac:dyDescent="0.25">
      <c r="A768" s="140" t="s">
        <v>855</v>
      </c>
      <c r="B768" s="151" t="s">
        <v>888</v>
      </c>
      <c r="C768" s="146"/>
      <c r="D768" s="238"/>
      <c r="E768" s="146"/>
      <c r="F768" s="254"/>
      <c r="G768" s="146"/>
      <c r="H768" s="269"/>
      <c r="I768" s="272"/>
      <c r="J768" s="290"/>
    </row>
    <row r="769" spans="1:10" x14ac:dyDescent="0.25">
      <c r="A769" t="s">
        <v>855</v>
      </c>
      <c r="B769" s="43" t="s">
        <v>889</v>
      </c>
      <c r="C769" s="27">
        <f>'Price List'!C769+'Cost Source'!L769</f>
        <v>13.1</v>
      </c>
      <c r="D769" s="238">
        <f t="shared" si="44"/>
        <v>13.99</v>
      </c>
      <c r="E769" s="27">
        <f>'Price List'!C769+'Cost Source'!Y769</f>
        <v>13.1</v>
      </c>
      <c r="F769" s="254">
        <f t="shared" ref="F769:F776" si="56">ROUNDUP(E769,0)-0.01</f>
        <v>13.99</v>
      </c>
      <c r="G769" s="27">
        <f>'Price List'!C769+'Cost Source'!N769</f>
        <v>13.1</v>
      </c>
      <c r="H769" s="269">
        <f t="shared" ref="H769:H776" si="57">ROUNDUP(G769,0)-0.01</f>
        <v>13.99</v>
      </c>
      <c r="I769" s="272"/>
      <c r="J769" s="289"/>
    </row>
    <row r="770" spans="1:10" x14ac:dyDescent="0.25">
      <c r="A770" s="140" t="s">
        <v>855</v>
      </c>
      <c r="B770" s="157" t="s">
        <v>890</v>
      </c>
      <c r="C770" s="144">
        <f>'Price List'!C770+'Cost Source'!L770</f>
        <v>3.96</v>
      </c>
      <c r="D770" s="230">
        <f t="shared" si="44"/>
        <v>3.99</v>
      </c>
      <c r="E770" s="144">
        <f>'Price List'!C770+'Cost Source'!Y770</f>
        <v>3.96</v>
      </c>
      <c r="F770" s="245">
        <f t="shared" si="56"/>
        <v>3.99</v>
      </c>
      <c r="G770" s="144">
        <f>'Price List'!C770+'Cost Source'!N770</f>
        <v>3.96</v>
      </c>
      <c r="H770" s="259">
        <f t="shared" si="57"/>
        <v>3.99</v>
      </c>
      <c r="I770" s="272"/>
      <c r="J770" s="290"/>
    </row>
    <row r="771" spans="1:10" x14ac:dyDescent="0.25">
      <c r="A771" t="s">
        <v>855</v>
      </c>
      <c r="B771" s="5" t="s">
        <v>891</v>
      </c>
      <c r="C771" s="144">
        <f>'Price List'!C771+'Cost Source'!L771</f>
        <v>28.47</v>
      </c>
      <c r="D771" s="230">
        <f t="shared" si="44"/>
        <v>28.99</v>
      </c>
      <c r="E771" s="144">
        <f>'Price List'!C771+'Cost Source'!Y771</f>
        <v>28.47</v>
      </c>
      <c r="F771" s="245">
        <f t="shared" si="56"/>
        <v>28.99</v>
      </c>
      <c r="G771" s="144">
        <f>'Price List'!C771+'Cost Source'!N771</f>
        <v>28.47</v>
      </c>
      <c r="H771" s="259">
        <f t="shared" si="57"/>
        <v>28.99</v>
      </c>
      <c r="I771" s="272"/>
      <c r="J771" s="289"/>
    </row>
    <row r="772" spans="1:10" x14ac:dyDescent="0.25">
      <c r="A772" s="140" t="s">
        <v>855</v>
      </c>
      <c r="B772" s="151" t="s">
        <v>892</v>
      </c>
      <c r="C772" s="144">
        <f>'Price List'!C772+'Cost Source'!L772</f>
        <v>11.52</v>
      </c>
      <c r="D772" s="230">
        <f t="shared" si="44"/>
        <v>11.99</v>
      </c>
      <c r="E772" s="144">
        <f>'Price List'!C772+'Cost Source'!Y772</f>
        <v>11.52</v>
      </c>
      <c r="F772" s="245">
        <f t="shared" si="56"/>
        <v>11.99</v>
      </c>
      <c r="G772" s="144">
        <f>'Price List'!C772+'Cost Source'!N772</f>
        <v>11.52</v>
      </c>
      <c r="H772" s="259">
        <f t="shared" si="57"/>
        <v>11.99</v>
      </c>
      <c r="I772" s="272"/>
      <c r="J772" s="290"/>
    </row>
    <row r="773" spans="1:10" x14ac:dyDescent="0.25">
      <c r="A773" s="140" t="s">
        <v>855</v>
      </c>
      <c r="B773" s="151" t="s">
        <v>893</v>
      </c>
      <c r="C773" s="146"/>
      <c r="D773" s="230"/>
      <c r="E773" s="146"/>
      <c r="F773" s="245"/>
      <c r="G773" s="146"/>
      <c r="H773" s="259"/>
      <c r="I773" s="272"/>
      <c r="J773" s="289"/>
    </row>
    <row r="774" spans="1:10" x14ac:dyDescent="0.25">
      <c r="A774" t="s">
        <v>855</v>
      </c>
      <c r="B774" s="5" t="s">
        <v>957</v>
      </c>
      <c r="C774" s="1"/>
      <c r="D774" s="238"/>
      <c r="E774" s="1"/>
      <c r="F774" s="254"/>
      <c r="G774" s="1"/>
      <c r="H774" s="269"/>
      <c r="I774" s="280"/>
      <c r="J774" s="290"/>
    </row>
    <row r="775" spans="1:10" x14ac:dyDescent="0.25">
      <c r="A775" s="140" t="s">
        <v>855</v>
      </c>
      <c r="B775" s="151" t="s">
        <v>894</v>
      </c>
      <c r="C775" s="146">
        <f>'Price List'!C775+'Cost Source'!L775</f>
        <v>15.45</v>
      </c>
      <c r="D775" s="227">
        <f t="shared" si="44"/>
        <v>15.99</v>
      </c>
      <c r="E775" s="146">
        <f>'Price List'!C775+'Cost Source'!Y775</f>
        <v>15.45</v>
      </c>
      <c r="F775" s="242">
        <f t="shared" si="56"/>
        <v>15.99</v>
      </c>
      <c r="G775" s="146">
        <f>'Price List'!C775+'Cost Source'!N775</f>
        <v>15.45</v>
      </c>
      <c r="H775" s="258">
        <f t="shared" si="57"/>
        <v>15.99</v>
      </c>
      <c r="I775" s="275"/>
      <c r="J775" s="289"/>
    </row>
    <row r="776" spans="1:10" x14ac:dyDescent="0.25">
      <c r="A776" t="s">
        <v>855</v>
      </c>
      <c r="B776" s="167" t="s">
        <v>895</v>
      </c>
      <c r="C776" s="1">
        <f>'Price List'!C776+'Cost Source'!L776</f>
        <v>26.65</v>
      </c>
      <c r="D776" s="228">
        <f t="shared" si="44"/>
        <v>26.99</v>
      </c>
      <c r="E776" s="1">
        <f>'Price List'!C776+'Cost Source'!Y776</f>
        <v>26.65</v>
      </c>
      <c r="F776" s="243">
        <f t="shared" si="56"/>
        <v>26.99</v>
      </c>
      <c r="G776" s="1">
        <f>'Price List'!C776+'Cost Source'!N776</f>
        <v>26.65</v>
      </c>
      <c r="H776" s="285">
        <f t="shared" si="57"/>
        <v>26.99</v>
      </c>
      <c r="I776" s="276"/>
      <c r="J776" s="290"/>
    </row>
    <row r="777" spans="1:10" x14ac:dyDescent="0.25">
      <c r="A777" s="140" t="s">
        <v>855</v>
      </c>
      <c r="B777" s="151" t="s">
        <v>896</v>
      </c>
      <c r="C777" s="146"/>
      <c r="D777" s="230"/>
      <c r="E777" s="146"/>
      <c r="F777" s="245"/>
      <c r="G777" s="146"/>
      <c r="H777" s="259"/>
      <c r="I777" s="272"/>
      <c r="J777" s="289"/>
    </row>
    <row r="778" spans="1:10" x14ac:dyDescent="0.25">
      <c r="A778" t="s">
        <v>855</v>
      </c>
      <c r="B778" s="5" t="s">
        <v>897</v>
      </c>
      <c r="C778" s="1"/>
      <c r="D778" s="230"/>
      <c r="E778" s="1"/>
      <c r="F778" s="245"/>
      <c r="G778" s="1"/>
      <c r="H778" s="259"/>
      <c r="I778" s="272"/>
      <c r="J778" s="290"/>
    </row>
    <row r="779" spans="1:10" x14ac:dyDescent="0.25">
      <c r="A779" s="147" t="s">
        <v>429</v>
      </c>
      <c r="B779" s="148">
        <v>20395028</v>
      </c>
      <c r="C779" s="147"/>
      <c r="D779" s="230"/>
      <c r="E779" s="147"/>
      <c r="F779" s="245"/>
      <c r="G779" s="144">
        <f>'Price List'!C779+'Cost Source'!N779</f>
        <v>18.48</v>
      </c>
      <c r="H779" s="259">
        <f t="shared" ref="H779:H784" si="58">ROUNDUP(G779,0)-0.01</f>
        <v>18.989999999999998</v>
      </c>
      <c r="I779" s="277">
        <f>'Cost Source'!P779</f>
        <v>0</v>
      </c>
      <c r="J779" s="289"/>
    </row>
    <row r="780" spans="1:10" x14ac:dyDescent="0.25">
      <c r="A780" s="36" t="s">
        <v>429</v>
      </c>
      <c r="B780" s="40">
        <v>20395034</v>
      </c>
      <c r="C780" s="36"/>
      <c r="D780" s="230"/>
      <c r="E780" s="36"/>
      <c r="F780" s="245"/>
      <c r="G780" s="35">
        <f>'Price List'!C780+'Cost Source'!N780</f>
        <v>21.509999999999998</v>
      </c>
      <c r="H780" s="263">
        <f t="shared" si="58"/>
        <v>21.99</v>
      </c>
      <c r="I780" s="277">
        <f>'Cost Source'!P780</f>
        <v>0</v>
      </c>
      <c r="J780" s="290"/>
    </row>
    <row r="781" spans="1:10" x14ac:dyDescent="0.25">
      <c r="A781" s="25" t="s">
        <v>429</v>
      </c>
      <c r="B781" s="4">
        <v>20395038</v>
      </c>
      <c r="C781" s="25"/>
      <c r="D781" s="235"/>
      <c r="E781" s="25"/>
      <c r="F781" s="255"/>
      <c r="G781" s="23">
        <f>'Price List'!C781+'Cost Source'!N781</f>
        <v>27.38</v>
      </c>
      <c r="H781" s="265">
        <f t="shared" si="58"/>
        <v>27.99</v>
      </c>
      <c r="I781" s="277">
        <f>'Cost Source'!P781</f>
        <v>0</v>
      </c>
      <c r="J781" s="289"/>
    </row>
    <row r="782" spans="1:10" x14ac:dyDescent="0.25">
      <c r="A782" s="37" t="s">
        <v>429</v>
      </c>
      <c r="B782" s="33">
        <v>20440935</v>
      </c>
      <c r="C782" s="38">
        <f>'Price List'!C782+'Cost Source'!L782</f>
        <v>8.15</v>
      </c>
      <c r="D782" s="235">
        <f t="shared" si="44"/>
        <v>8.99</v>
      </c>
      <c r="E782" s="200">
        <f>'Price List'!C782+'Cost Source'!Y782</f>
        <v>8.15</v>
      </c>
      <c r="F782" s="255">
        <f t="shared" ref="F782:F818" si="59">ROUNDUP(E782,0)-0.01</f>
        <v>8.99</v>
      </c>
      <c r="G782" s="38">
        <f>'Price List'!C782+'Cost Source'!N782</f>
        <v>8.15</v>
      </c>
      <c r="H782" s="266">
        <f t="shared" si="58"/>
        <v>8.99</v>
      </c>
      <c r="I782" s="277">
        <f>'Cost Source'!P782</f>
        <v>0</v>
      </c>
      <c r="J782" s="290"/>
    </row>
    <row r="783" spans="1:10" x14ac:dyDescent="0.25">
      <c r="A783" s="26" t="s">
        <v>429</v>
      </c>
      <c r="B783" s="42">
        <v>20514654</v>
      </c>
      <c r="C783" s="27">
        <f>'Price List'!C783+'Cost Source'!F783+'Cost Source'!O783</f>
        <v>87.39</v>
      </c>
      <c r="D783" s="229">
        <f t="shared" si="44"/>
        <v>87.99</v>
      </c>
      <c r="E783" s="27">
        <f>'Price List'!C783+'Cost Source'!S783</f>
        <v>72.39</v>
      </c>
      <c r="F783" s="244">
        <f t="shared" si="59"/>
        <v>72.989999999999995</v>
      </c>
      <c r="G783" s="27">
        <f>'Price List'!C783+'Cost Source'!N783</f>
        <v>68.39</v>
      </c>
      <c r="H783" s="260">
        <f t="shared" si="58"/>
        <v>68.989999999999995</v>
      </c>
      <c r="I783" s="272">
        <f>'Cost Source'!P783</f>
        <v>0</v>
      </c>
      <c r="J783" s="290">
        <v>15</v>
      </c>
    </row>
    <row r="784" spans="1:10" x14ac:dyDescent="0.25">
      <c r="A784" s="36" t="s">
        <v>429</v>
      </c>
      <c r="B784" s="40">
        <v>20579690</v>
      </c>
      <c r="C784" s="36"/>
      <c r="D784" s="225"/>
      <c r="E784" s="36"/>
      <c r="F784" s="240"/>
      <c r="G784" s="35">
        <f>'Price List'!C784+'Cost Source'!N784</f>
        <v>14.82</v>
      </c>
      <c r="H784" s="263">
        <f t="shared" si="58"/>
        <v>14.99</v>
      </c>
      <c r="I784" s="272">
        <f>'Cost Source'!P784</f>
        <v>0</v>
      </c>
      <c r="J784" s="289"/>
    </row>
    <row r="785" spans="1:11" x14ac:dyDescent="0.25">
      <c r="A785" s="30" t="s">
        <v>429</v>
      </c>
      <c r="B785" s="33">
        <v>20807510</v>
      </c>
      <c r="C785" s="30"/>
      <c r="D785" s="224"/>
      <c r="E785" s="30"/>
      <c r="F785" s="239"/>
      <c r="G785" s="32">
        <f>'Price List'!C785+'Cost Source'!N785</f>
        <v>35.5</v>
      </c>
      <c r="H785" s="262">
        <f t="shared" ref="H785:H819" si="60">ROUNDUP(G785,0)-0.01</f>
        <v>35.99</v>
      </c>
      <c r="I785" s="277">
        <f>'Cost Source'!P785</f>
        <v>0</v>
      </c>
      <c r="J785" s="290">
        <v>15</v>
      </c>
    </row>
    <row r="786" spans="1:11" x14ac:dyDescent="0.25">
      <c r="A786" s="147" t="s">
        <v>429</v>
      </c>
      <c r="B786" s="148">
        <v>20998367</v>
      </c>
      <c r="C786" s="144">
        <f>'Price List'!C786+'Cost Source'!F786+'Cost Source'!O786</f>
        <v>103.43</v>
      </c>
      <c r="D786" s="225">
        <f t="shared" si="44"/>
        <v>103.99</v>
      </c>
      <c r="E786" s="144">
        <f>'Price List'!C786+'Cost Source'!S786</f>
        <v>88.43</v>
      </c>
      <c r="F786" s="240">
        <f t="shared" si="59"/>
        <v>88.99</v>
      </c>
      <c r="G786" s="144">
        <f>'Price List'!C786+'Cost Source'!N786</f>
        <v>84.43</v>
      </c>
      <c r="H786" s="259">
        <f t="shared" si="60"/>
        <v>84.99</v>
      </c>
      <c r="I786" s="275">
        <v>0</v>
      </c>
      <c r="J786" s="290">
        <v>15</v>
      </c>
    </row>
    <row r="787" spans="1:11" x14ac:dyDescent="0.25">
      <c r="A787" s="147" t="s">
        <v>429</v>
      </c>
      <c r="B787" s="148">
        <v>21053162</v>
      </c>
      <c r="C787" s="144">
        <f>'Price List'!C787+'Cost Source'!L787</f>
        <v>56.74</v>
      </c>
      <c r="D787" s="225">
        <f t="shared" si="44"/>
        <v>56.99</v>
      </c>
      <c r="E787" s="144">
        <f>'Price List'!C787+'Cost Source'!Y787</f>
        <v>56.74</v>
      </c>
      <c r="F787" s="240">
        <f t="shared" si="59"/>
        <v>56.99</v>
      </c>
      <c r="G787" s="144">
        <f>'Price List'!C787+'Cost Source'!N787</f>
        <v>56.74</v>
      </c>
      <c r="H787" s="259">
        <f t="shared" si="60"/>
        <v>56.99</v>
      </c>
      <c r="I787" s="272">
        <f>'Cost Source'!P787</f>
        <v>0</v>
      </c>
      <c r="J787" s="289"/>
    </row>
    <row r="788" spans="1:11" x14ac:dyDescent="0.25">
      <c r="A788" t="s">
        <v>429</v>
      </c>
      <c r="B788" s="4">
        <v>21376707</v>
      </c>
      <c r="C788" s="1">
        <f>'Price List'!C788+'Cost Source'!L788+'Cost Source'!O788</f>
        <v>118.21</v>
      </c>
      <c r="D788" s="225">
        <f t="shared" si="44"/>
        <v>118.99</v>
      </c>
      <c r="E788" s="1">
        <f>'Price List'!C788+'Cost Source'!Y788</f>
        <v>108.21</v>
      </c>
      <c r="F788" s="240">
        <f t="shared" si="59"/>
        <v>108.99</v>
      </c>
      <c r="G788" s="1">
        <f>'Price List'!C788+'Cost Source'!N788</f>
        <v>100.21</v>
      </c>
      <c r="H788" s="257">
        <f t="shared" si="60"/>
        <v>100.99</v>
      </c>
      <c r="I788" s="277">
        <f>'Cost Source'!P788</f>
        <v>0</v>
      </c>
      <c r="J788" s="290"/>
    </row>
    <row r="789" spans="1:11" x14ac:dyDescent="0.25">
      <c r="A789" s="30" t="s">
        <v>429</v>
      </c>
      <c r="B789" s="33">
        <v>21380475</v>
      </c>
      <c r="C789" s="38">
        <f>'Price List'!C789+'Cost Source'!F789+'Cost Source'!O789</f>
        <v>79.72</v>
      </c>
      <c r="D789" s="225">
        <f t="shared" si="44"/>
        <v>79.989999999999995</v>
      </c>
      <c r="E789" s="35">
        <f>'Price List'!C789+'Cost Source'!S789</f>
        <v>64.72</v>
      </c>
      <c r="F789" s="240">
        <f t="shared" si="59"/>
        <v>64.989999999999995</v>
      </c>
      <c r="G789" s="35">
        <f>'Price List'!C789+'Cost Source'!N789</f>
        <v>62.72</v>
      </c>
      <c r="H789" s="263">
        <f t="shared" si="60"/>
        <v>62.99</v>
      </c>
      <c r="I789" s="277">
        <f>'Cost Source'!P789</f>
        <v>0</v>
      </c>
      <c r="J789" s="289">
        <v>15</v>
      </c>
    </row>
    <row r="790" spans="1:11" x14ac:dyDescent="0.25">
      <c r="A790" s="36" t="s">
        <v>429</v>
      </c>
      <c r="B790" s="40">
        <v>21707132</v>
      </c>
      <c r="C790" s="35">
        <f>'Price List'!C790+'Cost Source'!G790+'Cost Source'!O790</f>
        <v>70.240000000000009</v>
      </c>
      <c r="D790" s="225">
        <f t="shared" si="44"/>
        <v>70.989999999999995</v>
      </c>
      <c r="E790" s="36"/>
      <c r="F790" s="240"/>
      <c r="G790" s="35">
        <f>'Price List'!C790+'Cost Source'!N790</f>
        <v>58.24</v>
      </c>
      <c r="H790" s="263">
        <f t="shared" si="60"/>
        <v>58.99</v>
      </c>
      <c r="I790" s="272">
        <f>'Cost Source'!P790</f>
        <v>-10</v>
      </c>
      <c r="J790" s="290">
        <v>20</v>
      </c>
    </row>
    <row r="791" spans="1:11" x14ac:dyDescent="0.25">
      <c r="A791" s="26" t="s">
        <v>429</v>
      </c>
      <c r="B791" s="42">
        <v>21707133</v>
      </c>
      <c r="C791" s="27">
        <f>'Price List'!C791+'Cost Source'!G791+'Cost Source'!O791</f>
        <v>45.07</v>
      </c>
      <c r="D791" s="229">
        <f t="shared" si="44"/>
        <v>45.99</v>
      </c>
      <c r="E791" s="26"/>
      <c r="F791" s="244"/>
      <c r="G791" s="27">
        <f>'Price List'!C791+'Cost Source'!N791</f>
        <v>30.07</v>
      </c>
      <c r="H791" s="260">
        <f t="shared" si="60"/>
        <v>30.99</v>
      </c>
      <c r="I791" s="280">
        <f>'Cost Source'!P791</f>
        <v>-5</v>
      </c>
      <c r="J791" s="289">
        <v>20</v>
      </c>
    </row>
    <row r="792" spans="1:11" x14ac:dyDescent="0.25">
      <c r="A792" s="147" t="s">
        <v>429</v>
      </c>
      <c r="B792" s="148">
        <v>21737499</v>
      </c>
      <c r="C792" s="144">
        <f>'Price List'!C792+'Cost Source'!F792+'Cost Source'!O792</f>
        <v>85.02000000000001</v>
      </c>
      <c r="D792" s="230">
        <f t="shared" si="44"/>
        <v>85.99</v>
      </c>
      <c r="E792" s="144">
        <f>'Price List'!C792+'Cost Source'!S792</f>
        <v>70.02000000000001</v>
      </c>
      <c r="F792" s="242">
        <f t="shared" si="59"/>
        <v>70.989999999999995</v>
      </c>
      <c r="G792" s="144">
        <f>'Price List'!C792+'Cost Source'!N792</f>
        <v>68.02000000000001</v>
      </c>
      <c r="H792" s="259">
        <f t="shared" si="60"/>
        <v>68.989999999999995</v>
      </c>
      <c r="I792" s="275"/>
      <c r="J792" s="290"/>
    </row>
    <row r="793" spans="1:11" x14ac:dyDescent="0.25">
      <c r="A793" s="30" t="s">
        <v>429</v>
      </c>
      <c r="B793" s="33">
        <v>21937327</v>
      </c>
      <c r="C793" s="32">
        <f>'Price List'!C793+'Cost Source'!H793+'Cost Source'!O793</f>
        <v>55.89</v>
      </c>
      <c r="D793" s="224">
        <f t="shared" si="44"/>
        <v>55.99</v>
      </c>
      <c r="E793" s="32">
        <f>'Price List'!C793+'Cost Source'!U793</f>
        <v>40.89</v>
      </c>
      <c r="F793" s="239">
        <f t="shared" si="59"/>
        <v>40.99</v>
      </c>
      <c r="G793" s="32">
        <f>'Price List'!C793+'Cost Source'!N793</f>
        <v>28.89</v>
      </c>
      <c r="H793" s="262">
        <f t="shared" si="60"/>
        <v>28.99</v>
      </c>
      <c r="I793" s="277">
        <f>'Cost Source'!P793</f>
        <v>0</v>
      </c>
      <c r="J793" s="290">
        <v>15</v>
      </c>
    </row>
    <row r="794" spans="1:11" x14ac:dyDescent="0.25">
      <c r="A794" s="26" t="s">
        <v>429</v>
      </c>
      <c r="B794" s="42">
        <v>22474709</v>
      </c>
      <c r="C794" s="27">
        <f>'Price List'!C794+'Cost Source'!E794+'Cost Source'!O794</f>
        <v>74.86</v>
      </c>
      <c r="D794" s="229">
        <f t="shared" si="44"/>
        <v>74.989999999999995</v>
      </c>
      <c r="E794" s="27">
        <f>'Price List'!C794+'Cost Source'!R794</f>
        <v>39.86</v>
      </c>
      <c r="F794" s="244">
        <f t="shared" si="59"/>
        <v>39.99</v>
      </c>
      <c r="G794" s="27">
        <f>'Price List'!C794+'Cost Source'!N794</f>
        <v>58.86</v>
      </c>
      <c r="H794" s="260">
        <f t="shared" si="60"/>
        <v>58.99</v>
      </c>
      <c r="I794" s="272">
        <f>'Cost Source'!P794</f>
        <v>-15</v>
      </c>
      <c r="J794" s="289">
        <v>10</v>
      </c>
    </row>
    <row r="795" spans="1:11" x14ac:dyDescent="0.25">
      <c r="A795" s="36" t="s">
        <v>429</v>
      </c>
      <c r="B795" s="40">
        <v>22480372</v>
      </c>
      <c r="C795" s="35">
        <f>'Price List'!C795+'Cost Source'!E795+'Cost Source'!O795</f>
        <v>67.990000000000009</v>
      </c>
      <c r="D795" s="225">
        <f t="shared" si="44"/>
        <v>67.989999999999995</v>
      </c>
      <c r="E795" s="35">
        <f>'Price List'!C795+'Cost Source'!R795</f>
        <v>-26.009999999999998</v>
      </c>
      <c r="F795" s="245">
        <f t="shared" si="59"/>
        <v>-27.01</v>
      </c>
      <c r="G795" s="35">
        <f>'Price List'!C795+'Cost Source'!N795</f>
        <v>50.99</v>
      </c>
      <c r="H795" s="263">
        <f t="shared" si="60"/>
        <v>50.99</v>
      </c>
      <c r="I795" s="272">
        <f>'Cost Source'!P795</f>
        <v>-20</v>
      </c>
      <c r="J795" s="290">
        <v>10</v>
      </c>
    </row>
    <row r="796" spans="1:11" x14ac:dyDescent="0.25">
      <c r="A796" t="s">
        <v>429</v>
      </c>
      <c r="B796" s="4">
        <v>23151592</v>
      </c>
      <c r="C796" s="1">
        <f>'Price List'!C796+'Cost Source'!G796+'Cost Source'!O796</f>
        <v>64.010000000000005</v>
      </c>
      <c r="D796" s="226">
        <f t="shared" si="44"/>
        <v>64.989999999999995</v>
      </c>
      <c r="F796" s="241"/>
      <c r="G796" s="1">
        <f>'Price List'!C796+'Cost Source'!N796</f>
        <v>39.010000000000005</v>
      </c>
      <c r="H796" s="257">
        <f t="shared" si="60"/>
        <v>39.99</v>
      </c>
      <c r="I796" s="272">
        <f>'Cost Source'!P796</f>
        <v>-5</v>
      </c>
      <c r="J796" s="289">
        <v>20</v>
      </c>
      <c r="K796" t="s">
        <v>1029</v>
      </c>
    </row>
    <row r="797" spans="1:11" x14ac:dyDescent="0.25">
      <c r="A797" s="30" t="s">
        <v>429</v>
      </c>
      <c r="B797" s="33">
        <v>23381562</v>
      </c>
      <c r="C797" s="32">
        <f>'Price List'!C797+'Cost Source'!M797+'Cost Source'!O797</f>
        <v>226.81</v>
      </c>
      <c r="D797" s="224">
        <f t="shared" si="44"/>
        <v>226.99</v>
      </c>
      <c r="E797" s="32">
        <f>'Price List'!C797+'Cost Source'!Z797</f>
        <v>196.81</v>
      </c>
      <c r="F797" s="239">
        <f t="shared" si="59"/>
        <v>196.99</v>
      </c>
      <c r="G797" s="32">
        <f>'Price List'!C797+'Cost Source'!N797</f>
        <v>168.81</v>
      </c>
      <c r="H797" s="262">
        <f t="shared" si="60"/>
        <v>168.99</v>
      </c>
      <c r="I797" s="277">
        <f>'Cost Source'!P797</f>
        <v>0</v>
      </c>
      <c r="J797" s="290">
        <v>50</v>
      </c>
    </row>
    <row r="798" spans="1:11" x14ac:dyDescent="0.25">
      <c r="A798" s="26" t="s">
        <v>429</v>
      </c>
      <c r="B798" s="42">
        <v>23658092</v>
      </c>
      <c r="C798" s="27">
        <f>'Price List'!C798+'Cost Source'!G798+'Cost Source'!O798</f>
        <v>64.239999999999995</v>
      </c>
      <c r="D798" s="229">
        <f t="shared" si="44"/>
        <v>64.989999999999995</v>
      </c>
      <c r="E798" s="27"/>
      <c r="F798" s="244"/>
      <c r="G798" s="27">
        <f>'Price List'!C798+'Cost Source'!N798</f>
        <v>39.239999999999995</v>
      </c>
      <c r="H798" s="260">
        <f t="shared" si="60"/>
        <v>39.99</v>
      </c>
      <c r="I798" s="272">
        <f>'Cost Source'!P798</f>
        <v>-5</v>
      </c>
      <c r="J798" s="289">
        <v>20</v>
      </c>
      <c r="K798" t="s">
        <v>1029</v>
      </c>
    </row>
    <row r="799" spans="1:11" x14ac:dyDescent="0.25">
      <c r="A799" s="140" t="s">
        <v>429</v>
      </c>
      <c r="B799" s="145">
        <v>23880047</v>
      </c>
      <c r="C799" s="146">
        <f>'Price List'!C799+'Cost Source'!F799+'Cost Source'!O799</f>
        <v>101.38</v>
      </c>
      <c r="D799" s="227">
        <f t="shared" si="44"/>
        <v>101.99</v>
      </c>
      <c r="E799" s="146">
        <f>'Price List'!C799+'Cost Source'!S799</f>
        <v>86.38</v>
      </c>
      <c r="F799" s="242">
        <f t="shared" si="59"/>
        <v>86.99</v>
      </c>
      <c r="G799" s="146">
        <f>'Price List'!C799+'Cost Source'!N799</f>
        <v>83.38</v>
      </c>
      <c r="H799" s="258">
        <f t="shared" si="60"/>
        <v>83.99</v>
      </c>
      <c r="I799" s="277">
        <f>'Cost Source'!P799</f>
        <v>0</v>
      </c>
      <c r="J799" s="290">
        <v>20</v>
      </c>
    </row>
    <row r="800" spans="1:11" x14ac:dyDescent="0.25">
      <c r="A800" s="140" t="s">
        <v>429</v>
      </c>
      <c r="B800" s="145">
        <v>23920469</v>
      </c>
      <c r="C800" s="146">
        <f>'Price List'!C800+'Cost Source'!E800+'Cost Source'!O800</f>
        <v>97.57</v>
      </c>
      <c r="D800" s="227">
        <f t="shared" si="44"/>
        <v>97.99</v>
      </c>
      <c r="E800" s="146"/>
      <c r="F800" s="242"/>
      <c r="G800" s="146">
        <f>'Price List'!C800+'Cost Source'!N800</f>
        <v>78.569999999999993</v>
      </c>
      <c r="H800" s="258">
        <f t="shared" si="60"/>
        <v>78.989999999999995</v>
      </c>
      <c r="I800" s="280">
        <f>'Cost Source'!P800</f>
        <v>-15</v>
      </c>
      <c r="J800" s="291">
        <v>10</v>
      </c>
    </row>
    <row r="801" spans="1:10" x14ac:dyDescent="0.25">
      <c r="A801" s="140" t="s">
        <v>429</v>
      </c>
      <c r="B801" s="145">
        <v>24008818</v>
      </c>
      <c r="C801" s="146">
        <f>'Price List'!C801+'Cost Source'!F801+'Cost Source'!O801</f>
        <v>82.63</v>
      </c>
      <c r="D801" s="227">
        <f t="shared" si="44"/>
        <v>82.99</v>
      </c>
      <c r="E801" s="146">
        <f>'Price List'!C801+'Cost Source'!S801</f>
        <v>67.63</v>
      </c>
      <c r="F801" s="242">
        <f t="shared" si="59"/>
        <v>67.989999999999995</v>
      </c>
      <c r="G801" s="146">
        <f>'Price List'!C801+'Cost Source'!N801</f>
        <v>63.63</v>
      </c>
      <c r="H801" s="258">
        <f t="shared" si="60"/>
        <v>63.99</v>
      </c>
      <c r="I801" s="275"/>
      <c r="J801" s="290">
        <v>20</v>
      </c>
    </row>
    <row r="802" spans="1:10" x14ac:dyDescent="0.25">
      <c r="A802" s="158" t="s">
        <v>429</v>
      </c>
      <c r="B802" s="327">
        <v>24009059</v>
      </c>
      <c r="C802" s="27">
        <f>'Price List'!C802+'Cost Source'!F802+'Cost Source'!O802</f>
        <v>252.15</v>
      </c>
      <c r="D802" s="229">
        <f t="shared" si="44"/>
        <v>252.99</v>
      </c>
      <c r="E802" s="27">
        <f>'Price List'!C802+'Cost Source'!S802</f>
        <v>237.15</v>
      </c>
      <c r="F802" s="244">
        <f t="shared" si="59"/>
        <v>237.99</v>
      </c>
      <c r="G802" s="27">
        <f>'Price List'!C802+'Cost Source'!N802</f>
        <v>235.15</v>
      </c>
      <c r="H802" s="260">
        <f t="shared" si="60"/>
        <v>235.99</v>
      </c>
      <c r="I802" s="274"/>
      <c r="J802" s="289">
        <v>20</v>
      </c>
    </row>
    <row r="803" spans="1:10" x14ac:dyDescent="0.25">
      <c r="A803" s="158" t="s">
        <v>429</v>
      </c>
      <c r="B803" s="327">
        <v>24137737</v>
      </c>
      <c r="C803" s="198">
        <f>'Price List'!C803+'Cost Source'!O803</f>
        <v>65.92</v>
      </c>
      <c r="D803" s="230">
        <f t="shared" si="44"/>
        <v>65.989999999999995</v>
      </c>
      <c r="E803" s="198">
        <f>'Price List'!C803+'Cost Source'!R803</f>
        <v>19.920000000000002</v>
      </c>
      <c r="F803" s="245">
        <f t="shared" si="59"/>
        <v>19.989999999999998</v>
      </c>
      <c r="G803" s="198">
        <f>'Price List'!C803+'Cost Source'!N803</f>
        <v>61.92</v>
      </c>
      <c r="H803" s="259">
        <f t="shared" si="60"/>
        <v>61.99</v>
      </c>
      <c r="I803" s="280"/>
      <c r="J803" s="290">
        <v>20</v>
      </c>
    </row>
    <row r="804" spans="1:10" x14ac:dyDescent="0.25">
      <c r="A804" s="147" t="s">
        <v>429</v>
      </c>
      <c r="B804" s="148">
        <v>24225154</v>
      </c>
      <c r="C804" s="144">
        <f>'Price List'!C804+'Cost Source'!F804+'Cost Source'!O804</f>
        <v>106.98</v>
      </c>
      <c r="D804" s="230">
        <f t="shared" si="44"/>
        <v>106.99</v>
      </c>
      <c r="E804" s="144">
        <f>'Price List'!C804+'Cost Source'!S804</f>
        <v>91.98</v>
      </c>
      <c r="F804" s="245">
        <f t="shared" si="59"/>
        <v>91.99</v>
      </c>
      <c r="G804" s="144">
        <f>'Price List'!C804+'Cost Source'!N804</f>
        <v>88.98</v>
      </c>
      <c r="H804" s="259">
        <f t="shared" si="60"/>
        <v>88.99</v>
      </c>
      <c r="I804" s="275"/>
      <c r="J804" s="290">
        <v>20</v>
      </c>
    </row>
    <row r="805" spans="1:10" x14ac:dyDescent="0.25">
      <c r="A805" s="26" t="s">
        <v>429</v>
      </c>
      <c r="B805" s="42">
        <v>24283117</v>
      </c>
      <c r="C805" s="27">
        <f>'Price List'!C805+'Cost Source'!G805+'Cost Source'!O805</f>
        <v>98.34</v>
      </c>
      <c r="D805" s="229">
        <f t="shared" si="44"/>
        <v>98.99</v>
      </c>
      <c r="E805" s="27">
        <f>'Price List'!C805+'Cost Source'!T805</f>
        <v>83.34</v>
      </c>
      <c r="F805" s="244">
        <f t="shared" si="59"/>
        <v>83.99</v>
      </c>
      <c r="G805" s="27">
        <f>'Price List'!C805+'Cost Source'!N805</f>
        <v>76.34</v>
      </c>
      <c r="H805" s="260">
        <f t="shared" si="60"/>
        <v>76.989999999999995</v>
      </c>
      <c r="I805" s="274"/>
      <c r="J805" s="289">
        <v>30</v>
      </c>
    </row>
    <row r="806" spans="1:10" x14ac:dyDescent="0.25">
      <c r="A806" s="147" t="s">
        <v>429</v>
      </c>
      <c r="B806" s="358">
        <v>24633960</v>
      </c>
      <c r="C806" s="144">
        <f>'Price List'!C806+'Cost Source'!F806+'Cost Source'!O806</f>
        <v>77.259999999999991</v>
      </c>
      <c r="D806" s="230">
        <f t="shared" si="44"/>
        <v>77.989999999999995</v>
      </c>
      <c r="E806" s="144">
        <f>+'Price List'!C806+'Cost Source'!S806</f>
        <v>62.26</v>
      </c>
      <c r="F806" s="245">
        <f t="shared" si="59"/>
        <v>62.99</v>
      </c>
      <c r="G806" s="144">
        <f>'Price List'!C806+'Cost Source'!N806</f>
        <v>59.26</v>
      </c>
      <c r="H806" s="259">
        <f t="shared" si="60"/>
        <v>59.99</v>
      </c>
      <c r="I806" s="275"/>
      <c r="J806" s="290">
        <v>20</v>
      </c>
    </row>
    <row r="807" spans="1:10" x14ac:dyDescent="0.25">
      <c r="A807" s="152" t="s">
        <v>429</v>
      </c>
      <c r="B807" s="370">
        <v>24472550</v>
      </c>
      <c r="C807" s="154">
        <f>'Price List'!C807+'Cost Source'!L807+'Cost Source'!O807</f>
        <v>111.57</v>
      </c>
      <c r="D807" s="230">
        <f t="shared" si="44"/>
        <v>111.99</v>
      </c>
      <c r="E807" s="154">
        <f>'Price List'!C807+'Cost Source'!Y807</f>
        <v>101.57</v>
      </c>
      <c r="F807" s="245">
        <f t="shared" si="59"/>
        <v>101.99</v>
      </c>
      <c r="G807" s="154">
        <f>'Price List'!C807+'Cost Source'!N807</f>
        <v>93.57</v>
      </c>
      <c r="H807" s="259">
        <f t="shared" si="60"/>
        <v>93.99</v>
      </c>
      <c r="I807" s="276"/>
      <c r="J807" s="289"/>
    </row>
    <row r="808" spans="1:10" x14ac:dyDescent="0.25">
      <c r="A808" s="341" t="s">
        <v>429</v>
      </c>
      <c r="B808" s="322">
        <v>3945411</v>
      </c>
      <c r="C808" s="355">
        <f>'Price List'!C808+'Cost Source'!H808+'Cost Source'!O808</f>
        <v>61.35</v>
      </c>
      <c r="D808" s="237">
        <f t="shared" si="44"/>
        <v>61.99</v>
      </c>
      <c r="E808" s="355">
        <f>'Price List'!C808+'Cost Source'!U808</f>
        <v>46.35</v>
      </c>
      <c r="F808" s="356">
        <f t="shared" si="59"/>
        <v>46.99</v>
      </c>
      <c r="G808" s="355">
        <f>'Price List'!C808+'Cost Source'!N808</f>
        <v>36.35</v>
      </c>
      <c r="H808" s="357">
        <f t="shared" si="60"/>
        <v>36.99</v>
      </c>
      <c r="I808" s="282">
        <f>'Cost Source'!P808</f>
        <v>0</v>
      </c>
      <c r="J808" s="290">
        <v>15</v>
      </c>
    </row>
    <row r="809" spans="1:10" x14ac:dyDescent="0.25">
      <c r="A809" s="25" t="s">
        <v>429</v>
      </c>
      <c r="B809" s="4">
        <v>466623</v>
      </c>
      <c r="C809" s="23">
        <f>'Price List'!C809+'Cost Source'!L809+'Cost Source'!O809</f>
        <v>37.03</v>
      </c>
      <c r="D809" s="232">
        <f t="shared" si="44"/>
        <v>37.99</v>
      </c>
      <c r="E809" s="23">
        <f>'Price List'!C809+'Cost Source'!Y809</f>
        <v>37.03</v>
      </c>
      <c r="F809" s="253">
        <f t="shared" si="59"/>
        <v>37.99</v>
      </c>
      <c r="G809" s="23">
        <f>'Price List'!C809+'Cost Source'!N809</f>
        <v>37.03</v>
      </c>
      <c r="H809" s="265">
        <f t="shared" si="60"/>
        <v>37.99</v>
      </c>
      <c r="I809" s="277">
        <f>'Cost Source'!P809</f>
        <v>0</v>
      </c>
      <c r="J809" s="290"/>
    </row>
    <row r="810" spans="1:10" x14ac:dyDescent="0.25">
      <c r="A810" s="36" t="s">
        <v>429</v>
      </c>
      <c r="B810" s="40">
        <v>469904</v>
      </c>
      <c r="C810" s="144">
        <f>'Price List'!C810+'Cost Source'!L810+'Cost Source'!O810</f>
        <v>79.92</v>
      </c>
      <c r="D810" s="225">
        <f t="shared" si="44"/>
        <v>79.989999999999995</v>
      </c>
      <c r="E810" s="144">
        <f>'Price List'!C810+'Cost Source'!Y810</f>
        <v>79.92</v>
      </c>
      <c r="F810" s="240">
        <f t="shared" si="59"/>
        <v>79.989999999999995</v>
      </c>
      <c r="G810" s="35">
        <f>'Price List'!C810+'Cost Source'!N810</f>
        <v>79.92</v>
      </c>
      <c r="H810" s="263">
        <f t="shared" si="60"/>
        <v>79.989999999999995</v>
      </c>
      <c r="I810" s="272">
        <f>'Cost Source'!P810</f>
        <v>0</v>
      </c>
      <c r="J810" s="289"/>
    </row>
    <row r="811" spans="1:10" x14ac:dyDescent="0.25">
      <c r="A811" s="26" t="s">
        <v>429</v>
      </c>
      <c r="B811" s="42">
        <v>8193841</v>
      </c>
      <c r="C811" s="27">
        <f>'Price List'!C811+'Cost Source'!F811+'Cost Source'!O811</f>
        <v>59.69</v>
      </c>
      <c r="D811" s="230">
        <f t="shared" si="44"/>
        <v>59.99</v>
      </c>
      <c r="E811" s="27">
        <f>'Price List'!C811+'Cost Source'!R811</f>
        <v>-24.31</v>
      </c>
      <c r="F811" s="240">
        <f t="shared" si="59"/>
        <v>-25.01</v>
      </c>
      <c r="G811" s="27">
        <f>'Price List'!C811+'Cost Source'!N811</f>
        <v>28.69</v>
      </c>
      <c r="H811" s="259">
        <f t="shared" si="60"/>
        <v>28.99</v>
      </c>
      <c r="I811" s="280">
        <f>'Cost Source'!P811</f>
        <v>-25</v>
      </c>
      <c r="J811" s="290">
        <v>10</v>
      </c>
    </row>
    <row r="812" spans="1:10" x14ac:dyDescent="0.25">
      <c r="A812" s="140" t="s">
        <v>429</v>
      </c>
      <c r="B812" s="145">
        <v>82269261</v>
      </c>
      <c r="C812" s="146">
        <f>'Price List'!C812+'Cost Source'!M812+'Cost Source'!O812</f>
        <v>158.44</v>
      </c>
      <c r="D812" s="227">
        <f t="shared" si="44"/>
        <v>158.99</v>
      </c>
      <c r="E812" s="146">
        <f>'Price List'!C812+'Cost Source'!Z812</f>
        <v>128.44</v>
      </c>
      <c r="F812" s="242">
        <f t="shared" si="59"/>
        <v>128.99</v>
      </c>
      <c r="G812" s="146">
        <f>'Price List'!C812+'Cost Source'!N812</f>
        <v>96.44</v>
      </c>
      <c r="H812" s="258">
        <f t="shared" si="60"/>
        <v>96.99</v>
      </c>
      <c r="I812" s="279">
        <f>'Cost Source'!P812</f>
        <v>0</v>
      </c>
      <c r="J812" s="289">
        <v>50</v>
      </c>
    </row>
    <row r="813" spans="1:10" x14ac:dyDescent="0.25">
      <c r="A813" s="30" t="s">
        <v>429</v>
      </c>
      <c r="B813" s="33">
        <v>85121709</v>
      </c>
      <c r="C813" s="32">
        <f>'Price List'!C813+'Cost Source'!F813+'Cost Source'!O813</f>
        <v>83.66</v>
      </c>
      <c r="D813" s="224">
        <f t="shared" si="44"/>
        <v>83.99</v>
      </c>
      <c r="E813" s="32">
        <f>'Price List'!C813+'Cost Source'!S813</f>
        <v>68.66</v>
      </c>
      <c r="F813" s="239">
        <f t="shared" si="59"/>
        <v>68.989999999999995</v>
      </c>
      <c r="G813" s="32">
        <f>'Price List'!C813+'Cost Source'!N813</f>
        <v>62.66</v>
      </c>
      <c r="H813" s="262">
        <f t="shared" si="60"/>
        <v>62.99</v>
      </c>
      <c r="I813" s="277">
        <f>'Cost Source'!P813</f>
        <v>0</v>
      </c>
      <c r="J813" s="290">
        <v>15</v>
      </c>
    </row>
    <row r="814" spans="1:10" x14ac:dyDescent="0.25">
      <c r="A814" s="26" t="s">
        <v>429</v>
      </c>
      <c r="B814" s="42">
        <v>85132685</v>
      </c>
      <c r="C814" s="27">
        <f>'Price List'!C814+'Cost Source'!E814+'Cost Source'!G814+'Cost Source'!O814</f>
        <v>131.44</v>
      </c>
      <c r="D814" s="229">
        <f t="shared" si="44"/>
        <v>131.99</v>
      </c>
      <c r="E814" s="26"/>
      <c r="F814" s="239"/>
      <c r="G814" s="27">
        <f>'Price List'!C814+'Cost Source'!N814</f>
        <v>100.44</v>
      </c>
      <c r="H814" s="260">
        <f t="shared" si="60"/>
        <v>100.99</v>
      </c>
      <c r="I814" s="272">
        <f>'Cost Source'!P814</f>
        <v>-25</v>
      </c>
      <c r="J814" s="289"/>
    </row>
    <row r="815" spans="1:10" x14ac:dyDescent="0.25">
      <c r="A815" s="36" t="s">
        <v>429</v>
      </c>
      <c r="B815" s="40">
        <v>85132686</v>
      </c>
      <c r="C815" s="35" t="s">
        <v>184</v>
      </c>
      <c r="D815" s="225" t="e">
        <f t="shared" ref="D815:D818" si="61">ROUNDUP(C815,0)-0.01</f>
        <v>#VALUE!</v>
      </c>
      <c r="E815" s="36"/>
      <c r="F815" s="239"/>
      <c r="G815" s="35">
        <f>'Price List'!C815+'Cost Source'!N815</f>
        <v>100.98</v>
      </c>
      <c r="H815" s="263">
        <f t="shared" si="60"/>
        <v>100.99</v>
      </c>
      <c r="I815" s="272">
        <f>'Cost Source'!P815</f>
        <v>-25</v>
      </c>
      <c r="J815" s="290"/>
    </row>
    <row r="816" spans="1:10" x14ac:dyDescent="0.25">
      <c r="A816" t="s">
        <v>429</v>
      </c>
      <c r="B816" s="4">
        <v>949329</v>
      </c>
      <c r="C816" s="1">
        <f>'Price List'!C816+'Cost Source'!L816</f>
        <v>12.280000000000001</v>
      </c>
      <c r="D816" s="225">
        <f t="shared" si="61"/>
        <v>12.99</v>
      </c>
      <c r="E816" s="1">
        <f>'Price List'!C816+'Cost Source'!Y816</f>
        <v>12.280000000000001</v>
      </c>
      <c r="F816" s="239">
        <f t="shared" si="59"/>
        <v>12.99</v>
      </c>
      <c r="G816" s="1">
        <f>'Price List'!C816+'Cost Source'!N816</f>
        <v>12.280000000000001</v>
      </c>
      <c r="H816" s="257">
        <f t="shared" si="60"/>
        <v>12.99</v>
      </c>
      <c r="I816" s="277">
        <f>'Cost Source'!P816</f>
        <v>0</v>
      </c>
      <c r="J816" s="289"/>
    </row>
    <row r="817" spans="1:10" x14ac:dyDescent="0.25">
      <c r="A817" s="30" t="s">
        <v>429</v>
      </c>
      <c r="B817" s="33">
        <v>974584</v>
      </c>
      <c r="C817" s="32">
        <f>'Price List'!C817+'Cost Source'!N817</f>
        <v>14.94</v>
      </c>
      <c r="D817" s="225">
        <f t="shared" si="61"/>
        <v>14.99</v>
      </c>
      <c r="E817" s="32">
        <f>'Price List'!C817+'Cost Source'!Y817</f>
        <v>14.94</v>
      </c>
      <c r="F817" s="239">
        <f t="shared" si="59"/>
        <v>14.99</v>
      </c>
      <c r="G817" s="32">
        <f>'Price List'!C817+'Cost Source'!N817</f>
        <v>14.94</v>
      </c>
      <c r="H817" s="262">
        <f t="shared" si="60"/>
        <v>14.99</v>
      </c>
      <c r="I817" s="277">
        <f>'Cost Source'!P817</f>
        <v>0</v>
      </c>
      <c r="J817" s="290"/>
    </row>
    <row r="818" spans="1:10" x14ac:dyDescent="0.25">
      <c r="A818" s="26" t="s">
        <v>429</v>
      </c>
      <c r="B818" s="42">
        <v>981281</v>
      </c>
      <c r="C818" s="27">
        <f>'Price List'!C818+'Cost Source'!L818</f>
        <v>72.5</v>
      </c>
      <c r="D818" s="225">
        <f t="shared" si="61"/>
        <v>72.989999999999995</v>
      </c>
      <c r="E818" s="27">
        <f>'Price List'!C818+'Cost Source'!Y818</f>
        <v>72.5</v>
      </c>
      <c r="F818" s="239">
        <f t="shared" si="59"/>
        <v>72.989999999999995</v>
      </c>
      <c r="G818" s="27">
        <f>'Price List'!C818+'Cost Source'!N818</f>
        <v>72.5</v>
      </c>
      <c r="H818" s="260">
        <f t="shared" si="60"/>
        <v>72.989999999999995</v>
      </c>
      <c r="I818" s="277">
        <f>'Cost Source'!P818</f>
        <v>0</v>
      </c>
      <c r="J818" s="289"/>
    </row>
    <row r="819" spans="1:10" x14ac:dyDescent="0.25">
      <c r="A819" s="36" t="s">
        <v>429</v>
      </c>
      <c r="B819" s="39" t="s">
        <v>309</v>
      </c>
      <c r="C819" s="36"/>
      <c r="D819" s="225"/>
      <c r="E819" s="36"/>
      <c r="F819" s="240"/>
      <c r="G819" s="35">
        <f>'Price List'!C819+'Cost Source'!N819</f>
        <v>12</v>
      </c>
      <c r="H819" s="263">
        <f t="shared" si="60"/>
        <v>11.99</v>
      </c>
      <c r="I819" s="277">
        <f>'Cost Source'!P819</f>
        <v>0</v>
      </c>
      <c r="J819" s="290"/>
    </row>
  </sheetData>
  <sortState xmlns:xlrd2="http://schemas.microsoft.com/office/spreadsheetml/2017/richdata2" ref="A3:N529">
    <sortCondition ref="A3:A529"/>
  </sortState>
  <phoneticPr fontId="35" type="noConversion"/>
  <pageMargins left="0.70866141732283505" right="0.70866141732283505" top="0.74803149606299202" bottom="0.74803149606299202" header="0.31496062992126" footer="0.31496062992126"/>
  <pageSetup orientation="portrait" r:id="rId1"/>
  <ignoredErrors>
    <ignoredError sqref="E475:E476 E482 E502:E528 E243:E244 G569 E569 E171:G171 E370:E376 D169 E176:E184 D179 F197:G199 E205:E206 D209 G221:G223 E221:E223 D223 G225 G445:G446 G133 E133 G135:G137 E135:E137 F185 G299:G348 E345:E348 G350:G354 E350:E353 E366:E368 D244 F244 E552:E553 G552:G553 G599:G617 G571 E571 E556 G556 G674:G677 E674:E677 F84:F86 E582:E584 G582:G584 G275:G280 E275:E280 E282:G293 E254:G254 E261:G262 G260 E256:G256 G255 E258:G259 G257 E679:E682 E686:E687 E271 G271 E549:E550 G549:G550 E599:E616 F70 E245:F250 G243:G252 E251:E252 E636:E637 G636:G637 G641:G642 E641:E642 G626:G627 E626:E627 E816:E818 G816:G818 G562:G564 E562 E712:G721 E746:G750 E752:E753 G752:G753 E769:E772 G769:G772 E775:E776 G775:G776 E189:G194 E663:G669 E464 G464 E645:G649 E140 G140 E656:G661 E650:E651 G650:G651 E566:E567 G566:G567 E588 G586:G591 E593:E595 G593:G595 E709:G710 G711 E711 G489:G528 G484:G487 E586 E236:E238 E158:E169 E591 E225 E227:E229 D86 D705:E706 D704 G679:G692 G195:G196 G357 E357 G384:G420 G534:G537 E534:E537 E186 E558 G558 G560 E560 G268:G269 E268:E269 E689:E690 G695:G706 E299:E318 E320 E323:E336 E782:E799 G176:G186 G227:G238 E231 E215:E219 G215:G219 E378:E399 G475:G482 E671:G673 E723:E730 G723:G730 E734:E745 G734:G745 E273 G273 E684 E695:E704 E63:E129 G63:G129 D84 E692:E693 E801:E813 G359:G382 E359:E364 D62:G62 F7 F142 G542:G545 E542:E545 E573:E580 G573:G580 G766 E766 E142:E156 G142:G170 E16:E61 G16:G61 G422:G443 E402:E446 G3:G14 E3:E14 G782:G813 G205:G214 E209:E214" formula="1"/>
    <ignoredError sqref="F410 D81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zoomScale="110" zoomScaleNormal="110" workbookViewId="0">
      <pane ySplit="5" topLeftCell="A74" activePane="bottomLeft" state="frozen"/>
      <selection pane="bottomLeft" activeCell="A93" sqref="A93"/>
    </sheetView>
  </sheetViews>
  <sheetFormatPr defaultColWidth="9.140625" defaultRowHeight="12.75" customHeight="1" x14ac:dyDescent="0.2"/>
  <cols>
    <col min="1" max="1" width="33.140625" style="46" customWidth="1"/>
    <col min="2" max="2" width="11.5703125" style="46" customWidth="1"/>
    <col min="3" max="3" width="9.5703125" style="46" customWidth="1"/>
    <col min="4" max="4" width="11.7109375" style="46" customWidth="1"/>
    <col min="5" max="5" width="10.140625" style="46" customWidth="1"/>
    <col min="6" max="6" width="7.5703125" style="46" customWidth="1"/>
    <col min="7" max="7" width="9.140625" style="46" customWidth="1"/>
    <col min="8" max="16384" width="9.140625" style="46"/>
  </cols>
  <sheetData>
    <row r="1" spans="1:8" ht="12.75" customHeight="1" x14ac:dyDescent="0.2">
      <c r="A1" s="46" t="s">
        <v>625</v>
      </c>
      <c r="B1" s="47"/>
      <c r="C1" s="47"/>
    </row>
    <row r="2" spans="1:8" ht="12.75" customHeight="1" x14ac:dyDescent="0.2">
      <c r="F2" s="46" t="s">
        <v>626</v>
      </c>
    </row>
    <row r="3" spans="1:8" ht="12.75" customHeight="1" x14ac:dyDescent="0.2">
      <c r="A3" s="46" t="s">
        <v>627</v>
      </c>
      <c r="F3" s="46" t="s">
        <v>628</v>
      </c>
    </row>
    <row r="4" spans="1:8" ht="12.75" customHeight="1" x14ac:dyDescent="0.2">
      <c r="B4" s="46" t="s">
        <v>629</v>
      </c>
    </row>
    <row r="5" spans="1:8" ht="12.75" customHeight="1" x14ac:dyDescent="0.2">
      <c r="B5" s="46" t="s">
        <v>630</v>
      </c>
      <c r="C5" s="46" t="s">
        <v>630</v>
      </c>
      <c r="D5" s="46" t="s">
        <v>631</v>
      </c>
      <c r="E5" s="46" t="s">
        <v>631</v>
      </c>
    </row>
    <row r="6" spans="1:8" ht="12.75" customHeight="1" x14ac:dyDescent="0.2">
      <c r="A6" s="48" t="s">
        <v>632</v>
      </c>
      <c r="B6" s="48" t="s">
        <v>205</v>
      </c>
      <c r="C6" s="48"/>
      <c r="D6" s="48" t="s">
        <v>204</v>
      </c>
      <c r="E6" s="48"/>
      <c r="F6" s="49"/>
    </row>
    <row r="7" spans="1:8" ht="12.75" customHeight="1" x14ac:dyDescent="0.2">
      <c r="A7" s="48"/>
      <c r="B7" s="49">
        <f>'Price List'!C175</f>
        <v>25.78</v>
      </c>
      <c r="C7" s="48"/>
      <c r="D7" s="49">
        <f>'Price List'!C174</f>
        <v>27.51</v>
      </c>
      <c r="E7" s="48"/>
      <c r="F7" s="49">
        <f>SUM(B7:E7)</f>
        <v>53.290000000000006</v>
      </c>
      <c r="G7" s="49">
        <v>53.29</v>
      </c>
      <c r="H7" s="50">
        <f>F7-G7</f>
        <v>0</v>
      </c>
    </row>
    <row r="8" spans="1:8" ht="12.75" customHeight="1" x14ac:dyDescent="0.2">
      <c r="A8" s="48" t="s">
        <v>633</v>
      </c>
      <c r="B8" s="48" t="s">
        <v>146</v>
      </c>
      <c r="C8" s="48"/>
      <c r="D8" s="48" t="s">
        <v>33</v>
      </c>
      <c r="E8" s="48"/>
      <c r="F8" s="48"/>
      <c r="G8" s="49"/>
      <c r="H8" s="50"/>
    </row>
    <row r="9" spans="1:8" ht="12.75" customHeight="1" x14ac:dyDescent="0.2">
      <c r="A9" s="48"/>
      <c r="B9" s="49">
        <f>'Price List'!C500</f>
        <v>10.484</v>
      </c>
      <c r="C9" s="48"/>
      <c r="D9" s="49">
        <f>'Price List'!C337</f>
        <v>11.315200000000001</v>
      </c>
      <c r="E9" s="48"/>
      <c r="F9" s="49">
        <f>SUM(B9:E9)</f>
        <v>21.799199999999999</v>
      </c>
      <c r="G9" s="49">
        <v>20.61</v>
      </c>
      <c r="H9" s="50">
        <f t="shared" ref="H9:H69" si="0">F9-G9</f>
        <v>1.1891999999999996</v>
      </c>
    </row>
    <row r="10" spans="1:8" ht="12.75" customHeight="1" x14ac:dyDescent="0.2">
      <c r="A10" s="48" t="s">
        <v>634</v>
      </c>
      <c r="B10" s="48" t="s">
        <v>202</v>
      </c>
      <c r="C10" s="48"/>
      <c r="D10" s="48" t="s">
        <v>203</v>
      </c>
      <c r="E10" s="48"/>
      <c r="F10" s="49"/>
      <c r="G10" s="49"/>
      <c r="H10" s="50"/>
    </row>
    <row r="11" spans="1:8" ht="12.75" customHeight="1" x14ac:dyDescent="0.2">
      <c r="A11" s="48"/>
      <c r="B11" s="49">
        <f>'Price List'!C172</f>
        <v>38.44</v>
      </c>
      <c r="C11" s="48"/>
      <c r="D11" s="49">
        <f>'Price List'!C173</f>
        <v>32.14</v>
      </c>
      <c r="E11" s="48"/>
      <c r="F11" s="49">
        <f>SUM(B11:E11)</f>
        <v>70.58</v>
      </c>
      <c r="G11" s="49">
        <v>66.150000000000006</v>
      </c>
      <c r="H11" s="50">
        <f t="shared" si="0"/>
        <v>4.4299999999999926</v>
      </c>
    </row>
    <row r="12" spans="1:8" ht="12.75" customHeight="1" x14ac:dyDescent="0.2">
      <c r="A12" s="48" t="s">
        <v>635</v>
      </c>
      <c r="B12" s="48" t="s">
        <v>636</v>
      </c>
      <c r="C12" s="48"/>
      <c r="D12" s="48" t="s">
        <v>31</v>
      </c>
      <c r="E12" s="48"/>
      <c r="F12" s="49"/>
      <c r="G12" s="49"/>
      <c r="H12" s="50"/>
    </row>
    <row r="13" spans="1:8" ht="12.75" customHeight="1" x14ac:dyDescent="0.2">
      <c r="A13" s="48"/>
      <c r="B13" s="49">
        <f>'Price List'!C504</f>
        <v>16.893599999999999</v>
      </c>
      <c r="C13" s="49"/>
      <c r="D13" s="49">
        <f>'Price List'!C335</f>
        <v>14.151199999999999</v>
      </c>
      <c r="E13" s="49"/>
      <c r="F13" s="49">
        <f>SUM(B13:E13)</f>
        <v>31.044799999999999</v>
      </c>
      <c r="G13" s="49">
        <v>29.2</v>
      </c>
      <c r="H13" s="50">
        <f t="shared" si="0"/>
        <v>1.8447999999999993</v>
      </c>
    </row>
    <row r="14" spans="1:8" ht="12.75" customHeight="1" x14ac:dyDescent="0.2">
      <c r="A14" s="48" t="s">
        <v>637</v>
      </c>
      <c r="B14" s="48" t="s">
        <v>202</v>
      </c>
      <c r="C14" s="48"/>
      <c r="D14" s="48" t="s">
        <v>203</v>
      </c>
      <c r="E14" s="48"/>
      <c r="F14" s="49"/>
      <c r="G14" s="49"/>
      <c r="H14" s="50"/>
    </row>
    <row r="15" spans="1:8" ht="12.75" customHeight="1" x14ac:dyDescent="0.2">
      <c r="A15" s="48"/>
      <c r="B15" s="49">
        <f>'Price List'!C172</f>
        <v>38.44</v>
      </c>
      <c r="C15" s="48"/>
      <c r="D15" s="49">
        <f>'Price List'!C173</f>
        <v>32.14</v>
      </c>
      <c r="E15" s="48"/>
      <c r="F15" s="49">
        <f>SUM(B15:E15)</f>
        <v>70.58</v>
      </c>
      <c r="G15" s="49">
        <v>66.150000000000006</v>
      </c>
      <c r="H15" s="50">
        <f t="shared" si="0"/>
        <v>4.4299999999999926</v>
      </c>
    </row>
    <row r="16" spans="1:8" ht="12.75" customHeight="1" x14ac:dyDescent="0.2">
      <c r="A16" s="48" t="s">
        <v>638</v>
      </c>
      <c r="B16" s="48" t="s">
        <v>636</v>
      </c>
      <c r="C16" s="48"/>
      <c r="D16" s="48" t="s">
        <v>31</v>
      </c>
      <c r="E16" s="48"/>
      <c r="F16" s="49"/>
      <c r="G16" s="49"/>
      <c r="H16" s="50"/>
    </row>
    <row r="17" spans="1:8" ht="12.75" customHeight="1" x14ac:dyDescent="0.2">
      <c r="A17" s="48"/>
      <c r="B17" s="49">
        <f>'Price List'!C504</f>
        <v>16.893599999999999</v>
      </c>
      <c r="C17" s="49"/>
      <c r="D17" s="49">
        <f>'Price List'!C335</f>
        <v>14.151199999999999</v>
      </c>
      <c r="E17" s="49"/>
      <c r="F17" s="49">
        <f>SUM(B17:E17)</f>
        <v>31.044799999999999</v>
      </c>
      <c r="G17" s="49">
        <v>29.2</v>
      </c>
      <c r="H17" s="50">
        <f t="shared" si="0"/>
        <v>1.8447999999999993</v>
      </c>
    </row>
    <row r="18" spans="1:8" ht="12.75" customHeight="1" x14ac:dyDescent="0.2">
      <c r="A18" s="48" t="s">
        <v>639</v>
      </c>
      <c r="B18" s="48" t="s">
        <v>120</v>
      </c>
      <c r="C18" s="48"/>
      <c r="D18" s="48"/>
      <c r="E18" s="48"/>
      <c r="F18" s="49"/>
      <c r="G18" s="49"/>
      <c r="H18" s="50"/>
    </row>
    <row r="19" spans="1:8" ht="12.75" customHeight="1" x14ac:dyDescent="0.2">
      <c r="A19" s="48"/>
      <c r="B19" s="49">
        <f>'Price List'!C472</f>
        <v>31.4312</v>
      </c>
      <c r="C19" s="48"/>
      <c r="D19" s="49"/>
      <c r="E19" s="48"/>
      <c r="F19" s="49">
        <f>SUM(B19:E19)</f>
        <v>31.4312</v>
      </c>
      <c r="G19" s="49">
        <v>30.05</v>
      </c>
      <c r="H19" s="50">
        <f t="shared" si="0"/>
        <v>1.3811999999999998</v>
      </c>
    </row>
    <row r="20" spans="1:8" ht="12.75" customHeight="1" x14ac:dyDescent="0.2">
      <c r="A20" s="48" t="s">
        <v>640</v>
      </c>
      <c r="B20" s="48" t="s">
        <v>126</v>
      </c>
      <c r="C20" s="48"/>
      <c r="D20" s="48"/>
      <c r="E20" s="48"/>
      <c r="F20" s="49"/>
      <c r="G20" s="49"/>
      <c r="H20" s="50"/>
    </row>
    <row r="21" spans="1:8" ht="12.75" customHeight="1" x14ac:dyDescent="0.2">
      <c r="A21" s="48"/>
      <c r="B21" s="49">
        <f>'Price List'!C478</f>
        <v>6.7200000000000006</v>
      </c>
      <c r="C21" s="48"/>
      <c r="D21" s="48"/>
      <c r="E21" s="48"/>
      <c r="F21" s="49">
        <f>SUM(B21:E21)</f>
        <v>6.7200000000000006</v>
      </c>
      <c r="G21" s="49">
        <v>6.36</v>
      </c>
      <c r="H21" s="50">
        <f t="shared" si="0"/>
        <v>0.36000000000000032</v>
      </c>
    </row>
    <row r="22" spans="1:8" ht="12.75" customHeight="1" x14ac:dyDescent="0.2">
      <c r="A22" s="48" t="s">
        <v>641</v>
      </c>
      <c r="B22" s="48" t="s">
        <v>154</v>
      </c>
      <c r="C22" s="48"/>
      <c r="D22" s="48" t="s">
        <v>46</v>
      </c>
      <c r="E22" s="48"/>
      <c r="F22" s="49"/>
      <c r="G22" s="49"/>
      <c r="H22" s="50"/>
    </row>
    <row r="23" spans="1:8" ht="12.75" customHeight="1" x14ac:dyDescent="0.2">
      <c r="A23" s="48"/>
      <c r="B23" s="49">
        <f>'Price List'!C508</f>
        <v>32.666399999999996</v>
      </c>
      <c r="C23" s="48"/>
      <c r="D23" s="49">
        <f>'Price List'!C351</f>
        <v>18.144000000000002</v>
      </c>
      <c r="E23" s="48"/>
      <c r="F23" s="49">
        <f>SUM(B23:E23)</f>
        <v>50.810400000000001</v>
      </c>
      <c r="G23" s="49">
        <v>48.5</v>
      </c>
      <c r="H23" s="50">
        <f t="shared" si="0"/>
        <v>2.3104000000000013</v>
      </c>
    </row>
    <row r="24" spans="1:8" ht="12.75" customHeight="1" x14ac:dyDescent="0.2">
      <c r="A24" s="48" t="s">
        <v>642</v>
      </c>
      <c r="B24" s="48" t="s">
        <v>144</v>
      </c>
      <c r="C24" s="48"/>
      <c r="D24" s="49" t="s">
        <v>45</v>
      </c>
      <c r="E24" s="48"/>
      <c r="F24" s="49"/>
      <c r="G24" s="49"/>
      <c r="H24" s="50"/>
    </row>
    <row r="25" spans="1:8" ht="12.75" customHeight="1" x14ac:dyDescent="0.2">
      <c r="A25" s="48"/>
      <c r="B25" s="49">
        <f>'Price List'!C498</f>
        <v>10.518400000000002</v>
      </c>
      <c r="C25" s="48"/>
      <c r="D25" s="49">
        <f>'Price List'!C350</f>
        <v>16.169599999999999</v>
      </c>
      <c r="E25" s="48"/>
      <c r="F25" s="49">
        <f>SUM(B25:E25)</f>
        <v>26.688000000000002</v>
      </c>
      <c r="G25" s="49">
        <v>25.3</v>
      </c>
      <c r="H25" s="50">
        <f t="shared" si="0"/>
        <v>1.3880000000000017</v>
      </c>
    </row>
    <row r="26" spans="1:8" ht="12.75" customHeight="1" x14ac:dyDescent="0.2">
      <c r="A26" s="48" t="s">
        <v>643</v>
      </c>
      <c r="B26" s="48" t="s">
        <v>644</v>
      </c>
      <c r="C26" s="48"/>
      <c r="D26" s="48"/>
      <c r="E26" s="48"/>
      <c r="F26" s="49"/>
      <c r="G26" s="49"/>
      <c r="H26" s="50"/>
    </row>
    <row r="27" spans="1:8" ht="12.75" customHeight="1" x14ac:dyDescent="0.2">
      <c r="A27" s="48"/>
      <c r="B27" s="49">
        <f>'Price List'!C444</f>
        <v>39.834400000000002</v>
      </c>
      <c r="C27" s="48"/>
      <c r="D27" s="49"/>
      <c r="E27" s="48"/>
      <c r="F27" s="49">
        <f>SUM(B27:E27)</f>
        <v>39.834400000000002</v>
      </c>
      <c r="G27" s="49">
        <v>38.06</v>
      </c>
      <c r="H27" s="50">
        <f t="shared" si="0"/>
        <v>1.7744</v>
      </c>
    </row>
    <row r="28" spans="1:8" ht="12.75" customHeight="1" x14ac:dyDescent="0.2">
      <c r="A28" s="48" t="s">
        <v>645</v>
      </c>
      <c r="B28" s="48" t="s">
        <v>644</v>
      </c>
      <c r="C28" s="48"/>
      <c r="D28" s="48" t="s">
        <v>49</v>
      </c>
      <c r="E28" s="48"/>
      <c r="F28" s="49"/>
      <c r="G28" s="49"/>
      <c r="H28" s="50"/>
    </row>
    <row r="29" spans="1:8" ht="12.75" customHeight="1" x14ac:dyDescent="0.2">
      <c r="A29" s="48"/>
      <c r="B29" s="49">
        <f>'Price List'!C444</f>
        <v>39.834400000000002</v>
      </c>
      <c r="C29" s="48"/>
      <c r="D29" s="49">
        <f>'Price List'!C354</f>
        <v>45.815200000000004</v>
      </c>
      <c r="E29" s="48"/>
      <c r="F29" s="49">
        <f>SUM(B29:E29)</f>
        <v>85.649600000000007</v>
      </c>
      <c r="G29" s="49">
        <v>81.78</v>
      </c>
      <c r="H29" s="50">
        <f t="shared" si="0"/>
        <v>3.8696000000000055</v>
      </c>
    </row>
    <row r="30" spans="1:8" ht="12.75" customHeight="1" x14ac:dyDescent="0.2">
      <c r="A30" s="48" t="s">
        <v>646</v>
      </c>
      <c r="B30" s="48" t="s">
        <v>120</v>
      </c>
      <c r="C30" s="48"/>
      <c r="D30" s="48"/>
      <c r="E30" s="48"/>
      <c r="F30" s="49"/>
      <c r="G30" s="49"/>
      <c r="H30" s="50"/>
    </row>
    <row r="31" spans="1:8" ht="12.75" customHeight="1" x14ac:dyDescent="0.2">
      <c r="A31" s="48"/>
      <c r="B31" s="49">
        <f>'Price List'!C472</f>
        <v>31.4312</v>
      </c>
      <c r="C31" s="48"/>
      <c r="D31" s="49"/>
      <c r="E31" s="48"/>
      <c r="F31" s="49">
        <f>SUM(B31:E31)</f>
        <v>31.4312</v>
      </c>
      <c r="G31" s="49">
        <v>30.05</v>
      </c>
      <c r="H31" s="50">
        <f t="shared" si="0"/>
        <v>1.3811999999999998</v>
      </c>
    </row>
    <row r="32" spans="1:8" ht="12.75" customHeight="1" x14ac:dyDescent="0.2">
      <c r="A32" s="48" t="s">
        <v>647</v>
      </c>
      <c r="B32" s="48">
        <v>23530573</v>
      </c>
      <c r="C32" s="48">
        <v>23530573</v>
      </c>
      <c r="D32" s="48">
        <v>23530706</v>
      </c>
      <c r="E32" s="48">
        <v>23530707</v>
      </c>
      <c r="F32" s="49"/>
      <c r="G32" s="49"/>
      <c r="H32" s="50"/>
    </row>
    <row r="33" spans="1:8" ht="12.75" customHeight="1" x14ac:dyDescent="0.2">
      <c r="A33" s="48"/>
      <c r="B33" s="49">
        <f>'Price List'!C201</f>
        <v>23.15</v>
      </c>
      <c r="C33" s="49">
        <f>'Price List'!C201</f>
        <v>23.15</v>
      </c>
      <c r="D33" s="49">
        <f>'Price List'!C202</f>
        <v>15.42</v>
      </c>
      <c r="E33" s="49">
        <f>'Price List'!C203</f>
        <v>15.9</v>
      </c>
      <c r="F33" s="49">
        <f>SUM(B33:E33)</f>
        <v>77.62</v>
      </c>
      <c r="G33" s="49">
        <v>87.59</v>
      </c>
      <c r="H33" s="50">
        <f t="shared" si="0"/>
        <v>-9.9699999999999989</v>
      </c>
    </row>
    <row r="34" spans="1:8" ht="12.75" customHeight="1" x14ac:dyDescent="0.2">
      <c r="A34" s="48" t="s">
        <v>648</v>
      </c>
      <c r="B34" s="48" t="s">
        <v>523</v>
      </c>
      <c r="C34" s="48"/>
      <c r="D34" s="48" t="s">
        <v>522</v>
      </c>
      <c r="E34" s="48"/>
      <c r="F34" s="49"/>
      <c r="G34" s="49"/>
      <c r="H34" s="50"/>
    </row>
    <row r="35" spans="1:8" ht="12.75" customHeight="1" x14ac:dyDescent="0.2">
      <c r="A35" s="48"/>
      <c r="B35" s="49">
        <f>'Price List'!C242</f>
        <v>28.17</v>
      </c>
      <c r="C35" s="48"/>
      <c r="D35" s="49">
        <f>'Price List'!C241</f>
        <v>140.68</v>
      </c>
      <c r="E35" s="48"/>
      <c r="F35" s="49">
        <f>SUM(B35:E35)</f>
        <v>168.85000000000002</v>
      </c>
      <c r="G35" s="49">
        <v>168.85</v>
      </c>
      <c r="H35" s="50">
        <f t="shared" si="0"/>
        <v>0</v>
      </c>
    </row>
    <row r="36" spans="1:8" ht="12.75" customHeight="1" x14ac:dyDescent="0.2">
      <c r="A36" s="48" t="s">
        <v>649</v>
      </c>
      <c r="B36" s="51" t="s">
        <v>231</v>
      </c>
      <c r="C36" s="48"/>
      <c r="D36" s="48" t="s">
        <v>218</v>
      </c>
      <c r="E36" s="48"/>
      <c r="F36" s="49"/>
      <c r="G36" s="49"/>
      <c r="H36" s="50"/>
    </row>
    <row r="37" spans="1:8" ht="12.75" customHeight="1" x14ac:dyDescent="0.2">
      <c r="A37" s="48"/>
      <c r="B37" s="49">
        <f>'Price List'!C239</f>
        <v>37</v>
      </c>
      <c r="C37" s="48"/>
      <c r="D37" s="49">
        <f>'Price List'!C224</f>
        <v>100.79</v>
      </c>
      <c r="E37" s="48"/>
      <c r="F37" s="49">
        <f>SUM(B37:E37)</f>
        <v>137.79000000000002</v>
      </c>
      <c r="G37" s="49">
        <v>136.75</v>
      </c>
      <c r="H37" s="50">
        <f t="shared" si="0"/>
        <v>1.0400000000000205</v>
      </c>
    </row>
    <row r="38" spans="1:8" ht="12.75" customHeight="1" x14ac:dyDescent="0.2">
      <c r="A38" s="48" t="s">
        <v>650</v>
      </c>
      <c r="B38" s="49" t="s">
        <v>115</v>
      </c>
      <c r="C38" s="48"/>
      <c r="D38" s="48" t="s">
        <v>51</v>
      </c>
      <c r="E38" s="48"/>
      <c r="F38" s="49"/>
      <c r="G38" s="49"/>
      <c r="H38" s="50"/>
    </row>
    <row r="39" spans="1:8" ht="12.75" customHeight="1" x14ac:dyDescent="0.2">
      <c r="A39" s="48"/>
      <c r="B39" s="49">
        <f>'Price List'!C463</f>
        <v>30.682399999999998</v>
      </c>
      <c r="C39" s="48"/>
      <c r="D39" s="49">
        <f>'Price List'!C366</f>
        <v>83.370400000000018</v>
      </c>
      <c r="E39" s="48"/>
      <c r="F39" s="49">
        <f>SUM(B39:E39)</f>
        <v>114.05280000000002</v>
      </c>
      <c r="G39" s="49">
        <v>108.52</v>
      </c>
      <c r="H39" s="50">
        <f t="shared" si="0"/>
        <v>5.532800000000023</v>
      </c>
    </row>
    <row r="40" spans="1:8" ht="12.75" customHeight="1" x14ac:dyDescent="0.2">
      <c r="A40" s="48" t="s">
        <v>651</v>
      </c>
      <c r="B40" s="48" t="s">
        <v>131</v>
      </c>
      <c r="C40" s="48" t="s">
        <v>131</v>
      </c>
      <c r="D40" s="48" t="s">
        <v>25</v>
      </c>
      <c r="E40" s="48" t="s">
        <v>26</v>
      </c>
      <c r="F40" s="49"/>
      <c r="G40" s="49"/>
      <c r="H40" s="50"/>
    </row>
    <row r="41" spans="1:8" ht="12.75" customHeight="1" x14ac:dyDescent="0.2">
      <c r="A41" s="48"/>
      <c r="B41" s="49">
        <f>'Price List'!C484</f>
        <v>14.896800000000001</v>
      </c>
      <c r="C41" s="49">
        <f>'Price List'!C484</f>
        <v>14.896800000000001</v>
      </c>
      <c r="D41" s="49">
        <f>'Price List'!C329</f>
        <v>7.4751999999999992</v>
      </c>
      <c r="E41" s="49">
        <f>'Price List'!C330</f>
        <v>8.1224000000000007</v>
      </c>
      <c r="F41" s="49">
        <f>SUM(B41:E41)</f>
        <v>45.391199999999998</v>
      </c>
      <c r="G41" s="49">
        <v>42.73</v>
      </c>
      <c r="H41" s="50">
        <f t="shared" si="0"/>
        <v>2.6612000000000009</v>
      </c>
    </row>
    <row r="42" spans="1:8" ht="12.75" customHeight="1" x14ac:dyDescent="0.2">
      <c r="A42" s="48" t="s">
        <v>652</v>
      </c>
      <c r="B42" s="48" t="s">
        <v>106</v>
      </c>
      <c r="C42" s="48"/>
      <c r="D42" s="48"/>
      <c r="E42" s="48"/>
      <c r="F42" s="49"/>
      <c r="G42" s="49"/>
      <c r="H42" s="50"/>
    </row>
    <row r="43" spans="1:8" ht="12.75" customHeight="1" x14ac:dyDescent="0.2">
      <c r="A43" s="48"/>
      <c r="B43" s="49">
        <f>'Price List'!C449</f>
        <v>10.102400000000001</v>
      </c>
      <c r="C43" s="48"/>
      <c r="D43" s="48"/>
      <c r="E43" s="48"/>
      <c r="F43" s="49">
        <f>SUM(B43:E43)</f>
        <v>10.102400000000001</v>
      </c>
      <c r="G43" s="49">
        <v>9.36</v>
      </c>
      <c r="H43" s="50">
        <f t="shared" si="0"/>
        <v>0.74240000000000173</v>
      </c>
    </row>
    <row r="44" spans="1:8" ht="12.75" customHeight="1" x14ac:dyDescent="0.2">
      <c r="A44" s="48" t="s">
        <v>653</v>
      </c>
      <c r="B44" s="48" t="s">
        <v>132</v>
      </c>
      <c r="C44" s="48"/>
      <c r="D44" s="48"/>
      <c r="E44" s="48"/>
      <c r="F44" s="49"/>
      <c r="G44" s="49"/>
      <c r="H44" s="50"/>
    </row>
    <row r="45" spans="1:8" ht="12.75" customHeight="1" x14ac:dyDescent="0.2">
      <c r="A45" s="48"/>
      <c r="B45" s="49">
        <f>'Price List'!C485</f>
        <v>14.416800000000002</v>
      </c>
      <c r="C45" s="48"/>
      <c r="D45" s="48"/>
      <c r="E45" s="48"/>
      <c r="F45" s="49">
        <f>SUM(B45:E45)</f>
        <v>14.416800000000002</v>
      </c>
      <c r="G45" s="49">
        <v>13.26</v>
      </c>
      <c r="H45" s="50">
        <f t="shared" si="0"/>
        <v>1.1568000000000023</v>
      </c>
    </row>
    <row r="46" spans="1:8" ht="12.75" customHeight="1" x14ac:dyDescent="0.2">
      <c r="A46" s="48" t="s">
        <v>423</v>
      </c>
      <c r="B46" s="48" t="s">
        <v>623</v>
      </c>
      <c r="C46" s="48"/>
      <c r="D46" s="48">
        <v>234011402</v>
      </c>
      <c r="E46" s="48"/>
      <c r="F46" s="49"/>
      <c r="G46" s="49"/>
      <c r="H46" s="50"/>
    </row>
    <row r="47" spans="1:8" x14ac:dyDescent="0.2">
      <c r="A47" s="48"/>
      <c r="B47" s="49">
        <f>'Price List'!C533</f>
        <v>81.010000000000005</v>
      </c>
      <c r="C47" s="48"/>
      <c r="D47" s="49">
        <f>'Price List'!C534</f>
        <v>14.99</v>
      </c>
      <c r="E47" s="48"/>
      <c r="F47" s="49">
        <f>SUM(B47:E47)</f>
        <v>96</v>
      </c>
      <c r="G47" s="49">
        <v>96</v>
      </c>
      <c r="H47" s="50">
        <f t="shared" si="0"/>
        <v>0</v>
      </c>
    </row>
    <row r="48" spans="1:8" x14ac:dyDescent="0.2">
      <c r="A48" s="48" t="s">
        <v>654</v>
      </c>
      <c r="B48" s="48" t="s">
        <v>621</v>
      </c>
      <c r="C48" s="48"/>
      <c r="D48" s="48" t="s">
        <v>24</v>
      </c>
      <c r="E48" s="48"/>
      <c r="F48" s="49"/>
      <c r="G48" s="49"/>
      <c r="H48" s="50"/>
    </row>
    <row r="49" spans="1:8" x14ac:dyDescent="0.2">
      <c r="A49" s="48"/>
      <c r="B49" s="49">
        <f>'Price List'!C451</f>
        <v>17.895199999999999</v>
      </c>
      <c r="C49" s="48"/>
      <c r="D49" s="49">
        <f>'Price List'!C328</f>
        <v>9.5264000000000006</v>
      </c>
      <c r="E49" s="48"/>
      <c r="F49" s="49">
        <f>SUM(B49:E49)</f>
        <v>27.421599999999998</v>
      </c>
      <c r="G49" s="49">
        <v>25.68</v>
      </c>
      <c r="H49" s="50">
        <f t="shared" si="0"/>
        <v>1.7415999999999983</v>
      </c>
    </row>
    <row r="50" spans="1:8" x14ac:dyDescent="0.2">
      <c r="A50" s="48" t="s">
        <v>655</v>
      </c>
      <c r="B50" s="49" t="s">
        <v>155</v>
      </c>
      <c r="C50" s="49"/>
      <c r="D50" s="48" t="s">
        <v>79</v>
      </c>
      <c r="E50" s="48"/>
      <c r="F50" s="49"/>
      <c r="G50" s="49"/>
      <c r="H50" s="50"/>
    </row>
    <row r="51" spans="1:8" x14ac:dyDescent="0.2">
      <c r="A51" s="48"/>
      <c r="B51" s="49">
        <f>'Price List'!C509</f>
        <v>39.152800000000006</v>
      </c>
      <c r="C51" s="49"/>
      <c r="D51" s="49">
        <f>'Price List'!C401</f>
        <v>14.416</v>
      </c>
      <c r="E51" s="48"/>
      <c r="F51" s="49">
        <f>SUM(B51:E51)</f>
        <v>53.56880000000001</v>
      </c>
      <c r="G51" s="49">
        <v>50.78</v>
      </c>
      <c r="H51" s="50">
        <f t="shared" si="0"/>
        <v>2.788800000000009</v>
      </c>
    </row>
    <row r="52" spans="1:8" x14ac:dyDescent="0.2">
      <c r="A52" s="48" t="s">
        <v>1245</v>
      </c>
      <c r="B52" s="49" t="s">
        <v>1246</v>
      </c>
      <c r="C52" s="49"/>
      <c r="D52" s="49" t="s">
        <v>1247</v>
      </c>
      <c r="E52" s="48"/>
      <c r="F52" s="49"/>
      <c r="G52" s="49"/>
      <c r="H52" s="50"/>
    </row>
    <row r="53" spans="1:8" x14ac:dyDescent="0.2">
      <c r="A53" s="48"/>
      <c r="B53" s="49">
        <f>'Price List'!C548</f>
        <v>71.17</v>
      </c>
      <c r="C53" s="49"/>
      <c r="D53" s="49">
        <f>'Price List'!C539</f>
        <v>107.63</v>
      </c>
      <c r="E53" s="48"/>
      <c r="F53" s="49">
        <f t="shared" ref="F53" si="1">SUM(B53:E53)</f>
        <v>178.8</v>
      </c>
      <c r="G53" s="49"/>
      <c r="H53" s="50"/>
    </row>
    <row r="54" spans="1:8" x14ac:dyDescent="0.2">
      <c r="A54" s="48" t="s">
        <v>1249</v>
      </c>
      <c r="B54" s="49" t="s">
        <v>118</v>
      </c>
      <c r="C54" s="49"/>
      <c r="D54" s="49" t="s">
        <v>1244</v>
      </c>
      <c r="E54" s="48"/>
      <c r="F54" s="49"/>
      <c r="G54" s="49"/>
      <c r="H54" s="50"/>
    </row>
    <row r="55" spans="1:8" x14ac:dyDescent="0.2">
      <c r="A55" s="48"/>
      <c r="B55" s="49">
        <f>'Price List'!C467</f>
        <v>5.7728000000000002</v>
      </c>
      <c r="C55" s="49"/>
      <c r="D55" s="49">
        <f>'Price List'!C362</f>
        <v>52.1</v>
      </c>
      <c r="E55" s="48"/>
      <c r="F55" s="49">
        <f>SUM(B55:E55)</f>
        <v>57.872799999999998</v>
      </c>
      <c r="G55" s="49"/>
      <c r="H55" s="50"/>
    </row>
    <row r="56" spans="1:8" x14ac:dyDescent="0.2">
      <c r="A56" s="48" t="s">
        <v>1125</v>
      </c>
      <c r="B56" s="48" t="s">
        <v>1130</v>
      </c>
      <c r="C56" s="48"/>
      <c r="D56" s="48" t="s">
        <v>1129</v>
      </c>
      <c r="E56" s="48"/>
      <c r="F56" s="49"/>
      <c r="G56" s="49"/>
      <c r="H56" s="50"/>
    </row>
    <row r="57" spans="1:8" x14ac:dyDescent="0.2">
      <c r="A57" s="48"/>
      <c r="B57" s="49">
        <f>'Price List'!C468</f>
        <v>18.697600000000001</v>
      </c>
      <c r="C57" s="48"/>
      <c r="D57" s="49">
        <f>'Price List'!C358</f>
        <v>25.443200000000001</v>
      </c>
      <c r="E57" s="52"/>
      <c r="F57" s="49">
        <f>SUM(B57:E57)</f>
        <v>44.140799999999999</v>
      </c>
      <c r="G57" s="49">
        <v>41.95</v>
      </c>
      <c r="H57" s="50">
        <f t="shared" si="0"/>
        <v>2.1907999999999959</v>
      </c>
    </row>
    <row r="58" spans="1:8" x14ac:dyDescent="0.2">
      <c r="A58" s="48" t="s">
        <v>425</v>
      </c>
      <c r="B58" s="49" t="s">
        <v>259</v>
      </c>
      <c r="C58" s="48"/>
      <c r="D58" s="49" t="s">
        <v>260</v>
      </c>
      <c r="E58" s="52"/>
      <c r="F58" s="49"/>
      <c r="G58" s="49"/>
      <c r="H58" s="50"/>
    </row>
    <row r="59" spans="1:8" x14ac:dyDescent="0.2">
      <c r="A59" s="48"/>
      <c r="B59" s="49">
        <f>'Price List'!C563</f>
        <v>40.9</v>
      </c>
      <c r="C59" s="48"/>
      <c r="D59" s="49">
        <f>'Price List'!C564</f>
        <v>28.07</v>
      </c>
      <c r="E59" s="52"/>
      <c r="F59" s="49">
        <f t="shared" ref="F59" si="2">SUM(B59:E59)</f>
        <v>68.97</v>
      </c>
      <c r="G59" s="49">
        <v>68.97</v>
      </c>
      <c r="H59" s="50">
        <f t="shared" si="0"/>
        <v>0</v>
      </c>
    </row>
    <row r="60" spans="1:8" x14ac:dyDescent="0.2">
      <c r="A60" s="48" t="s">
        <v>907</v>
      </c>
      <c r="B60" s="48" t="s">
        <v>852</v>
      </c>
      <c r="C60" s="48" t="s">
        <v>852</v>
      </c>
      <c r="D60" s="48" t="s">
        <v>114</v>
      </c>
      <c r="E60" s="48" t="s">
        <v>1188</v>
      </c>
      <c r="F60" s="49"/>
      <c r="G60" s="49"/>
      <c r="H60" s="50"/>
    </row>
    <row r="61" spans="1:8" x14ac:dyDescent="0.2">
      <c r="A61" s="48"/>
      <c r="B61" s="49">
        <f>'Price List'!C462</f>
        <v>18.023199999999999</v>
      </c>
      <c r="C61" s="49">
        <f>'Price List'!C462</f>
        <v>18.023199999999999</v>
      </c>
      <c r="D61" s="49">
        <f>'Price List'!C461</f>
        <v>20.896800000000002</v>
      </c>
      <c r="E61" s="49">
        <f>'Price List'!C322</f>
        <v>29.6616</v>
      </c>
      <c r="F61" s="49">
        <f>SUM(B61:E61)</f>
        <v>86.604800000000012</v>
      </c>
      <c r="G61" s="49">
        <v>81.93</v>
      </c>
      <c r="H61" s="50">
        <f t="shared" si="0"/>
        <v>4.6748000000000047</v>
      </c>
    </row>
    <row r="62" spans="1:8" x14ac:dyDescent="0.2">
      <c r="A62" s="48" t="s">
        <v>908</v>
      </c>
      <c r="B62" s="53">
        <v>23658111</v>
      </c>
      <c r="C62" s="53">
        <v>23658111</v>
      </c>
      <c r="D62" s="53">
        <v>21707135</v>
      </c>
      <c r="E62" s="53">
        <v>20912295</v>
      </c>
      <c r="F62" s="49"/>
      <c r="G62" s="49"/>
      <c r="H62" s="50"/>
    </row>
    <row r="63" spans="1:8" x14ac:dyDescent="0.2">
      <c r="A63" s="48"/>
      <c r="B63" s="49">
        <f>'Price List'!C582</f>
        <v>30.67</v>
      </c>
      <c r="C63" s="49">
        <f>'Price List'!C582</f>
        <v>30.67</v>
      </c>
      <c r="D63" s="49">
        <f>'Price List'!C576</f>
        <v>47.42</v>
      </c>
      <c r="E63" s="49">
        <f>'Price List'!C572</f>
        <v>64.739999999999995</v>
      </c>
      <c r="F63" s="49">
        <f>SUM(B63:E63)</f>
        <v>173.5</v>
      </c>
      <c r="G63" s="49">
        <v>152.05000000000001</v>
      </c>
      <c r="H63" s="50">
        <f t="shared" si="0"/>
        <v>21.449999999999989</v>
      </c>
    </row>
    <row r="64" spans="1:8" x14ac:dyDescent="0.2">
      <c r="A64" s="48" t="s">
        <v>656</v>
      </c>
      <c r="B64" s="48" t="s">
        <v>146</v>
      </c>
      <c r="C64" s="48" t="s">
        <v>146</v>
      </c>
      <c r="D64" s="48" t="s">
        <v>38</v>
      </c>
      <c r="E64" s="48" t="s">
        <v>39</v>
      </c>
      <c r="F64" s="49"/>
      <c r="G64" s="49"/>
      <c r="H64" s="50"/>
    </row>
    <row r="65" spans="1:8" x14ac:dyDescent="0.2">
      <c r="A65" s="48"/>
      <c r="B65" s="49">
        <f>'Price List'!C500</f>
        <v>10.484</v>
      </c>
      <c r="C65" s="49">
        <f>'Price List'!C500</f>
        <v>10.484</v>
      </c>
      <c r="D65" s="49">
        <f>'Price List'!C342</f>
        <v>13.46</v>
      </c>
      <c r="E65" s="49">
        <f>'Price List'!C343</f>
        <v>15.956</v>
      </c>
      <c r="F65" s="49">
        <f>SUM(B65:E65)</f>
        <v>50.384</v>
      </c>
      <c r="G65" s="49">
        <v>47.28</v>
      </c>
      <c r="H65" s="50">
        <f t="shared" si="0"/>
        <v>3.1039999999999992</v>
      </c>
    </row>
    <row r="66" spans="1:8" x14ac:dyDescent="0.2">
      <c r="A66" s="48" t="s">
        <v>658</v>
      </c>
      <c r="B66" s="48">
        <v>21939298</v>
      </c>
      <c r="C66" s="48">
        <v>21939298</v>
      </c>
      <c r="D66" s="48">
        <v>25502421</v>
      </c>
      <c r="E66" s="48">
        <v>25502422</v>
      </c>
      <c r="F66" s="49"/>
      <c r="G66" s="49"/>
      <c r="H66" s="50"/>
    </row>
    <row r="67" spans="1:8" x14ac:dyDescent="0.2">
      <c r="A67" s="48"/>
      <c r="B67" s="49">
        <f>'Price List'!C579</f>
        <v>34.450000000000003</v>
      </c>
      <c r="C67" s="49">
        <f>'Price List'!C579</f>
        <v>34.450000000000003</v>
      </c>
      <c r="D67" s="49">
        <f>'Price List'!C594</f>
        <v>37.909999999999997</v>
      </c>
      <c r="E67" s="49">
        <f>'Price List'!C595</f>
        <v>54.58</v>
      </c>
      <c r="F67" s="49">
        <f>SUM(B67:E67)</f>
        <v>161.38999999999999</v>
      </c>
      <c r="G67" s="49">
        <v>161.38999999999999</v>
      </c>
      <c r="H67" s="50">
        <f t="shared" si="0"/>
        <v>0</v>
      </c>
    </row>
    <row r="68" spans="1:8" x14ac:dyDescent="0.2">
      <c r="A68" s="48" t="s">
        <v>660</v>
      </c>
      <c r="B68" s="48" t="s">
        <v>247</v>
      </c>
      <c r="C68" s="48"/>
      <c r="D68" s="48" t="s">
        <v>246</v>
      </c>
      <c r="E68" s="48"/>
      <c r="F68" s="49"/>
      <c r="G68" s="49"/>
      <c r="H68" s="50"/>
    </row>
    <row r="69" spans="1:8" x14ac:dyDescent="0.2">
      <c r="A69" s="48"/>
      <c r="B69" s="49">
        <f>'Price List'!C547</f>
        <v>95</v>
      </c>
      <c r="C69" s="48"/>
      <c r="D69" s="49">
        <f>'Price List'!C546</f>
        <v>127.68</v>
      </c>
      <c r="E69" s="48"/>
      <c r="F69" s="49">
        <f>SUM(B69:E69)</f>
        <v>222.68</v>
      </c>
      <c r="G69" s="49">
        <v>139.18</v>
      </c>
      <c r="H69" s="50">
        <f t="shared" si="0"/>
        <v>83.5</v>
      </c>
    </row>
    <row r="70" spans="1:8" x14ac:dyDescent="0.2">
      <c r="A70" s="48" t="s">
        <v>661</v>
      </c>
      <c r="B70" s="48" t="s">
        <v>117</v>
      </c>
      <c r="C70" s="48"/>
      <c r="D70" s="48" t="s">
        <v>52</v>
      </c>
      <c r="E70" s="48"/>
      <c r="F70" s="49"/>
      <c r="G70" s="49"/>
      <c r="H70" s="50"/>
    </row>
    <row r="71" spans="1:8" x14ac:dyDescent="0.2">
      <c r="A71" s="48"/>
      <c r="B71" s="49">
        <f>'Price List'!C465</f>
        <v>27.392800000000005</v>
      </c>
      <c r="C71" s="48"/>
      <c r="D71" s="49">
        <f>'Price List'!C367</f>
        <v>117.78319999999999</v>
      </c>
      <c r="E71" s="48"/>
      <c r="F71" s="49">
        <f>SUM(B71:E71)</f>
        <v>145.17599999999999</v>
      </c>
      <c r="G71" s="49">
        <v>134.58000000000001</v>
      </c>
      <c r="H71" s="50">
        <f t="shared" ref="H71:H101" si="3">F71-G71</f>
        <v>10.595999999999975</v>
      </c>
    </row>
    <row r="72" spans="1:8" x14ac:dyDescent="0.2">
      <c r="A72" s="48" t="s">
        <v>662</v>
      </c>
      <c r="B72" s="48" t="s">
        <v>254</v>
      </c>
      <c r="C72" s="48"/>
      <c r="D72" s="48" t="s">
        <v>250</v>
      </c>
      <c r="E72" s="48"/>
      <c r="F72" s="49"/>
      <c r="G72" s="49"/>
      <c r="H72" s="50"/>
    </row>
    <row r="73" spans="1:8" x14ac:dyDescent="0.2">
      <c r="A73" s="48"/>
      <c r="B73" s="49">
        <f>'Price List'!C555</f>
        <v>102.78</v>
      </c>
      <c r="C73" s="48"/>
      <c r="D73" s="49">
        <f>'Price List'!C551</f>
        <v>61.91</v>
      </c>
      <c r="E73" s="48"/>
      <c r="F73" s="49">
        <f>SUM(B73:E73)</f>
        <v>164.69</v>
      </c>
      <c r="G73" s="49">
        <v>164.69</v>
      </c>
      <c r="H73" s="50">
        <f t="shared" si="3"/>
        <v>0</v>
      </c>
    </row>
    <row r="74" spans="1:8" x14ac:dyDescent="0.2">
      <c r="A74" s="48" t="s">
        <v>663</v>
      </c>
      <c r="B74" s="48" t="s">
        <v>119</v>
      </c>
      <c r="C74" s="48"/>
      <c r="D74" s="49" t="s">
        <v>664</v>
      </c>
      <c r="E74" s="48"/>
      <c r="F74" s="49"/>
      <c r="G74" s="49"/>
      <c r="H74" s="50"/>
    </row>
    <row r="75" spans="1:8" x14ac:dyDescent="0.2">
      <c r="A75" s="48"/>
      <c r="B75" s="49">
        <f>'Price List'!C470</f>
        <v>54.303999999999995</v>
      </c>
      <c r="C75" s="48"/>
      <c r="D75" s="49">
        <f>'Price List'!C421</f>
        <v>34.499199999999995</v>
      </c>
      <c r="E75" s="48"/>
      <c r="F75" s="49">
        <f>SUM(B75:E75)</f>
        <v>88.80319999999999</v>
      </c>
      <c r="G75" s="49">
        <v>83.07</v>
      </c>
      <c r="H75" s="50">
        <f t="shared" si="3"/>
        <v>5.7331999999999965</v>
      </c>
    </row>
    <row r="76" spans="1:8" x14ac:dyDescent="0.2">
      <c r="A76" s="48" t="s">
        <v>665</v>
      </c>
      <c r="B76" s="48">
        <v>1802909</v>
      </c>
      <c r="C76" s="48"/>
      <c r="D76" s="48">
        <v>5410900151</v>
      </c>
      <c r="E76" s="48"/>
      <c r="F76" s="49"/>
      <c r="G76" s="49"/>
      <c r="H76" s="50"/>
    </row>
    <row r="77" spans="1:8" x14ac:dyDescent="0.2">
      <c r="A77" s="48"/>
      <c r="B77" s="49">
        <f>'Price List'!C620</f>
        <v>25.09</v>
      </c>
      <c r="C77" s="48"/>
      <c r="D77" s="49">
        <f>'Price List'!C625</f>
        <v>24.92</v>
      </c>
      <c r="E77" s="48"/>
      <c r="F77" s="49">
        <f>SUM(B77:E77)</f>
        <v>50.010000000000005</v>
      </c>
      <c r="G77" s="49">
        <v>59.4</v>
      </c>
      <c r="H77" s="50">
        <f t="shared" si="3"/>
        <v>-9.3899999999999935</v>
      </c>
    </row>
    <row r="78" spans="1:8" x14ac:dyDescent="0.2">
      <c r="A78" s="48" t="s">
        <v>666</v>
      </c>
      <c r="B78" s="48" t="s">
        <v>105</v>
      </c>
      <c r="C78" s="48"/>
      <c r="D78" s="48" t="s">
        <v>40</v>
      </c>
      <c r="E78" s="48"/>
      <c r="F78" s="49"/>
      <c r="G78" s="49"/>
      <c r="H78" s="50"/>
    </row>
    <row r="79" spans="1:8" x14ac:dyDescent="0.2">
      <c r="A79" s="48"/>
      <c r="B79" s="49">
        <f>'Price List'!C448</f>
        <v>21.396000000000001</v>
      </c>
      <c r="C79" s="48"/>
      <c r="D79" s="49">
        <f>'Price List'!C344</f>
        <v>20.0456</v>
      </c>
      <c r="E79" s="48"/>
      <c r="F79" s="49">
        <f>SUM(B79:E79)</f>
        <v>41.441600000000001</v>
      </c>
      <c r="G79" s="49">
        <v>38.99</v>
      </c>
      <c r="H79" s="50">
        <f t="shared" si="3"/>
        <v>2.4515999999999991</v>
      </c>
    </row>
    <row r="80" spans="1:8" x14ac:dyDescent="0.2">
      <c r="A80" s="48" t="s">
        <v>667</v>
      </c>
      <c r="B80" s="5" t="s">
        <v>273</v>
      </c>
      <c r="C80" s="48"/>
      <c r="D80" s="48">
        <v>901551</v>
      </c>
      <c r="F80" s="49"/>
      <c r="G80" s="49"/>
      <c r="H80" s="50"/>
    </row>
    <row r="81" spans="1:8" x14ac:dyDescent="0.2">
      <c r="A81" s="48"/>
      <c r="B81" s="49">
        <f>'Price List'!C632</f>
        <v>18.79</v>
      </c>
      <c r="C81" s="48"/>
      <c r="D81" s="49">
        <f>'Price List'!C618</f>
        <v>28.76</v>
      </c>
      <c r="F81" s="49">
        <f>SUM(B81:E81)</f>
        <v>47.55</v>
      </c>
      <c r="G81" s="49">
        <v>47.55</v>
      </c>
      <c r="H81" s="50">
        <f t="shared" si="3"/>
        <v>0</v>
      </c>
    </row>
    <row r="82" spans="1:8" x14ac:dyDescent="0.2">
      <c r="A82" s="48" t="s">
        <v>668</v>
      </c>
      <c r="B82" s="48" t="s">
        <v>141</v>
      </c>
      <c r="C82" s="48"/>
      <c r="D82" s="48" t="s">
        <v>37</v>
      </c>
      <c r="F82" s="49"/>
      <c r="G82" s="49"/>
      <c r="H82" s="50"/>
    </row>
    <row r="83" spans="1:8" x14ac:dyDescent="0.2">
      <c r="A83" s="48"/>
      <c r="B83" s="49">
        <f>'Price List'!C495</f>
        <v>15.056800000000001</v>
      </c>
      <c r="C83" s="48"/>
      <c r="D83" s="49">
        <f>'Price List'!C341</f>
        <v>18.4192</v>
      </c>
      <c r="F83" s="49">
        <f>SUM(B83:E83)</f>
        <v>33.475999999999999</v>
      </c>
      <c r="G83" s="49">
        <v>31.13</v>
      </c>
      <c r="H83" s="50">
        <f t="shared" si="3"/>
        <v>2.3460000000000001</v>
      </c>
    </row>
    <row r="84" spans="1:8" x14ac:dyDescent="0.2">
      <c r="A84" s="48" t="s">
        <v>669</v>
      </c>
      <c r="B84" s="48"/>
      <c r="C84" s="48"/>
      <c r="D84" s="48"/>
      <c r="E84" s="48"/>
      <c r="F84" s="49"/>
      <c r="G84" s="49"/>
      <c r="H84" s="50"/>
    </row>
    <row r="85" spans="1:8" x14ac:dyDescent="0.2">
      <c r="A85" s="48"/>
      <c r="B85" s="48"/>
      <c r="C85" s="48"/>
      <c r="D85" s="48"/>
      <c r="E85" s="48"/>
      <c r="F85" s="49"/>
      <c r="G85" s="49"/>
      <c r="H85" s="50"/>
    </row>
    <row r="86" spans="1:8" x14ac:dyDescent="0.2">
      <c r="A86" s="48" t="s">
        <v>670</v>
      </c>
      <c r="B86" s="48" t="s">
        <v>285</v>
      </c>
      <c r="C86" s="48"/>
      <c r="D86" s="48" t="s">
        <v>276</v>
      </c>
      <c r="E86" s="48"/>
      <c r="F86" s="49"/>
      <c r="G86" s="49"/>
      <c r="H86" s="50"/>
    </row>
    <row r="87" spans="1:8" x14ac:dyDescent="0.2">
      <c r="A87" s="48"/>
      <c r="B87" s="49">
        <f>'Price List'!C644</f>
        <v>37.840000000000003</v>
      </c>
      <c r="C87" s="48"/>
      <c r="D87" s="49">
        <f>'Price List'!C635</f>
        <v>35.4</v>
      </c>
      <c r="E87" s="48"/>
      <c r="F87" s="49">
        <f>SUM(B87:E87)</f>
        <v>73.240000000000009</v>
      </c>
      <c r="G87" s="49">
        <v>73.239999999999995</v>
      </c>
      <c r="H87" s="50">
        <f t="shared" si="3"/>
        <v>0</v>
      </c>
    </row>
    <row r="88" spans="1:8" x14ac:dyDescent="0.2">
      <c r="A88" s="48" t="s">
        <v>671</v>
      </c>
      <c r="B88" s="48" t="s">
        <v>1220</v>
      </c>
      <c r="C88" s="48"/>
      <c r="D88" s="49" t="s">
        <v>672</v>
      </c>
      <c r="E88" s="48"/>
      <c r="F88" s="49"/>
      <c r="G88" s="49"/>
      <c r="H88" s="50"/>
    </row>
    <row r="89" spans="1:8" x14ac:dyDescent="0.2">
      <c r="A89" s="48"/>
      <c r="B89" s="49">
        <f>'Price List'!C483</f>
        <v>30.048800000000004</v>
      </c>
      <c r="C89" s="48"/>
      <c r="D89" s="49">
        <f>'Price List'!C355</f>
        <v>23.8568</v>
      </c>
      <c r="E89" s="48"/>
      <c r="F89" s="49">
        <f>SUM(B89:E89)</f>
        <v>53.905600000000007</v>
      </c>
      <c r="G89" s="49"/>
      <c r="H89" s="50">
        <f t="shared" si="3"/>
        <v>53.905600000000007</v>
      </c>
    </row>
    <row r="90" spans="1:8" x14ac:dyDescent="0.2">
      <c r="A90" s="48" t="s">
        <v>673</v>
      </c>
      <c r="B90" s="48" t="s">
        <v>140</v>
      </c>
      <c r="C90" s="48"/>
      <c r="D90" s="48" t="s">
        <v>28</v>
      </c>
      <c r="E90" s="48"/>
      <c r="F90" s="49"/>
      <c r="G90" s="49"/>
      <c r="H90" s="50"/>
    </row>
    <row r="91" spans="1:8" x14ac:dyDescent="0.2">
      <c r="A91" s="48"/>
      <c r="B91" s="49">
        <f>'Price List'!C494</f>
        <v>24.4648</v>
      </c>
      <c r="C91" s="49"/>
      <c r="D91" s="49">
        <f>'Price List'!C332</f>
        <v>13.561600000000002</v>
      </c>
      <c r="E91" s="48"/>
      <c r="F91" s="49">
        <f>SUM(B91:E91)</f>
        <v>38.026400000000002</v>
      </c>
      <c r="G91" s="49">
        <v>35.6</v>
      </c>
      <c r="H91" s="50">
        <f t="shared" si="3"/>
        <v>2.426400000000001</v>
      </c>
    </row>
    <row r="92" spans="1:8" x14ac:dyDescent="0.2">
      <c r="A92" s="48" t="s">
        <v>428</v>
      </c>
      <c r="B92" s="48" t="s">
        <v>296</v>
      </c>
      <c r="C92" s="48"/>
      <c r="D92" s="48" t="s">
        <v>563</v>
      </c>
      <c r="E92" s="48"/>
      <c r="F92" s="49"/>
      <c r="G92" s="49"/>
      <c r="H92" s="50"/>
    </row>
    <row r="93" spans="1:8" x14ac:dyDescent="0.2">
      <c r="A93" s="48"/>
      <c r="B93" s="49">
        <f>'Price List'!C684</f>
        <v>69.06</v>
      </c>
      <c r="C93" s="48"/>
      <c r="D93" s="49">
        <f>'Price List'!C693</f>
        <v>92.99</v>
      </c>
      <c r="E93" s="48"/>
      <c r="F93" s="49">
        <f>SUM(B93:E93)</f>
        <v>162.05000000000001</v>
      </c>
      <c r="G93" s="49">
        <v>148.06</v>
      </c>
      <c r="H93" s="50">
        <f t="shared" si="3"/>
        <v>13.990000000000009</v>
      </c>
    </row>
    <row r="94" spans="1:8" x14ac:dyDescent="0.2">
      <c r="A94" s="48" t="s">
        <v>675</v>
      </c>
      <c r="B94" s="48" t="s">
        <v>111</v>
      </c>
      <c r="C94" s="48"/>
      <c r="D94" s="48" t="s">
        <v>19</v>
      </c>
      <c r="E94" s="48"/>
      <c r="F94" s="49"/>
      <c r="G94" s="49"/>
      <c r="H94" s="50"/>
    </row>
    <row r="95" spans="1:8" x14ac:dyDescent="0.2">
      <c r="A95" s="48"/>
      <c r="B95" s="49">
        <f>'Price List'!C455</f>
        <v>34.372</v>
      </c>
      <c r="C95" s="48"/>
      <c r="D95" s="49">
        <f>'Price List'!C319</f>
        <v>45.475200000000001</v>
      </c>
      <c r="E95" s="48"/>
      <c r="F95" s="49">
        <f>SUM(B95:E95)</f>
        <v>79.847200000000001</v>
      </c>
      <c r="G95" s="49">
        <v>75.400000000000006</v>
      </c>
      <c r="H95" s="50">
        <f t="shared" si="3"/>
        <v>4.4471999999999952</v>
      </c>
    </row>
    <row r="96" spans="1:8" x14ac:dyDescent="0.2">
      <c r="A96" s="48" t="s">
        <v>676</v>
      </c>
      <c r="B96" s="48" t="s">
        <v>144</v>
      </c>
      <c r="C96" s="48"/>
      <c r="D96" s="48" t="s">
        <v>45</v>
      </c>
      <c r="E96" s="48"/>
      <c r="F96" s="49"/>
      <c r="G96" s="49"/>
      <c r="H96" s="50"/>
    </row>
    <row r="97" spans="1:8" x14ac:dyDescent="0.2">
      <c r="A97" s="48"/>
      <c r="B97" s="49">
        <f>'Price List'!C498</f>
        <v>10.518400000000002</v>
      </c>
      <c r="C97" s="48"/>
      <c r="D97" s="49">
        <f>'Price List'!C350</f>
        <v>16.169599999999999</v>
      </c>
      <c r="E97" s="48"/>
      <c r="F97" s="49">
        <f>SUM(B97:E97)</f>
        <v>26.688000000000002</v>
      </c>
      <c r="G97" s="49">
        <v>25.3</v>
      </c>
      <c r="H97" s="50">
        <f t="shared" si="3"/>
        <v>1.3880000000000017</v>
      </c>
    </row>
    <row r="98" spans="1:8" x14ac:dyDescent="0.2">
      <c r="A98" s="48" t="s">
        <v>677</v>
      </c>
      <c r="B98" s="48" t="s">
        <v>852</v>
      </c>
      <c r="C98" s="48" t="s">
        <v>852</v>
      </c>
      <c r="D98" s="48" t="s">
        <v>114</v>
      </c>
      <c r="E98" s="48" t="s">
        <v>1188</v>
      </c>
      <c r="F98" s="49"/>
      <c r="G98" s="49"/>
      <c r="H98" s="50"/>
    </row>
    <row r="99" spans="1:8" x14ac:dyDescent="0.2">
      <c r="A99" s="48"/>
      <c r="B99" s="49">
        <f>'Price List'!C462</f>
        <v>18.023199999999999</v>
      </c>
      <c r="C99" s="49">
        <f>'Price List'!C462</f>
        <v>18.023199999999999</v>
      </c>
      <c r="D99" s="49">
        <f>'Price List'!C461</f>
        <v>20.896800000000002</v>
      </c>
      <c r="E99" s="49">
        <f>'Price List'!C322</f>
        <v>29.6616</v>
      </c>
      <c r="F99" s="49">
        <f>SUM(B99:E99)</f>
        <v>86.604800000000012</v>
      </c>
      <c r="G99" s="49">
        <v>81.93</v>
      </c>
      <c r="H99" s="50">
        <f t="shared" si="3"/>
        <v>4.6748000000000047</v>
      </c>
    </row>
    <row r="100" spans="1:8" ht="12.75" customHeight="1" x14ac:dyDescent="0.2">
      <c r="A100" s="48" t="s">
        <v>680</v>
      </c>
      <c r="B100" s="48">
        <v>23658092</v>
      </c>
      <c r="C100" s="48">
        <v>23658092</v>
      </c>
      <c r="D100" s="48">
        <v>21707132</v>
      </c>
      <c r="E100" s="48">
        <v>23920469</v>
      </c>
      <c r="F100" s="48"/>
      <c r="G100" s="48"/>
      <c r="H100" s="49"/>
    </row>
    <row r="101" spans="1:8" ht="12.75" customHeight="1" x14ac:dyDescent="0.2">
      <c r="B101" s="49">
        <f>'Price List'!C798</f>
        <v>29.24</v>
      </c>
      <c r="C101" s="49">
        <f>'Price List'!C798</f>
        <v>29.24</v>
      </c>
      <c r="D101" s="49">
        <f>'Price List'!C790</f>
        <v>45.24</v>
      </c>
      <c r="E101" s="49">
        <f>'Price List'!C800</f>
        <v>62.57</v>
      </c>
      <c r="F101" s="49">
        <f>SUM(B101:E101)</f>
        <v>166.29</v>
      </c>
      <c r="G101" s="48">
        <v>158.12</v>
      </c>
      <c r="H101" s="49">
        <f t="shared" si="3"/>
        <v>8.1699999999999875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4"/>
  <sheetViews>
    <sheetView zoomScale="120" zoomScaleNormal="120" workbookViewId="0">
      <pane ySplit="4" topLeftCell="A5" activePane="bottomLeft" state="frozen"/>
      <selection pane="bottomLeft" activeCell="D45" sqref="D45"/>
    </sheetView>
  </sheetViews>
  <sheetFormatPr defaultColWidth="9.140625" defaultRowHeight="12.75" customHeight="1" x14ac:dyDescent="0.2"/>
  <cols>
    <col min="1" max="1" width="34.28515625" style="46" customWidth="1"/>
    <col min="2" max="2" width="6.7109375" style="46" customWidth="1"/>
    <col min="3" max="4" width="6.28515625" style="46" customWidth="1"/>
    <col min="5" max="5" width="5.7109375" style="46" customWidth="1"/>
    <col min="6" max="6" width="4.140625" style="46" customWidth="1"/>
    <col min="7" max="7" width="6.5703125" style="46" customWidth="1"/>
    <col min="8" max="8" width="6.42578125" style="46" customWidth="1"/>
    <col min="9" max="9" width="6" style="46" customWidth="1"/>
    <col min="10" max="10" width="7.140625" style="46" customWidth="1"/>
    <col min="11" max="11" width="7" style="46" customWidth="1"/>
    <col min="12" max="12" width="8.28515625" style="46" customWidth="1"/>
    <col min="13" max="13" width="9.140625" style="46" customWidth="1"/>
    <col min="14" max="16384" width="9.140625" style="46"/>
  </cols>
  <sheetData>
    <row r="1" spans="1:19" ht="12.75" customHeight="1" x14ac:dyDescent="0.2">
      <c r="A1" s="46" t="s">
        <v>625</v>
      </c>
      <c r="B1" s="47" t="s">
        <v>683</v>
      </c>
      <c r="G1" s="50">
        <v>4.2</v>
      </c>
      <c r="H1" s="46">
        <v>0.05</v>
      </c>
    </row>
    <row r="2" spans="1:19" ht="12.75" customHeight="1" x14ac:dyDescent="0.2">
      <c r="B2" s="48" t="s">
        <v>684</v>
      </c>
      <c r="C2" s="48" t="s">
        <v>685</v>
      </c>
      <c r="E2" s="48" t="s">
        <v>626</v>
      </c>
      <c r="F2" s="48" t="s">
        <v>686</v>
      </c>
      <c r="G2" s="48" t="s">
        <v>630</v>
      </c>
      <c r="H2" s="48" t="s">
        <v>631</v>
      </c>
      <c r="I2" s="48" t="s">
        <v>687</v>
      </c>
      <c r="J2" s="48" t="s">
        <v>1253</v>
      </c>
      <c r="K2" s="48" t="s">
        <v>1252</v>
      </c>
      <c r="P2" s="54"/>
    </row>
    <row r="3" spans="1:19" ht="12.75" customHeight="1" x14ac:dyDescent="0.2">
      <c r="A3" s="46" t="s">
        <v>627</v>
      </c>
      <c r="B3" s="46">
        <v>39.99</v>
      </c>
      <c r="E3" s="48" t="s">
        <v>628</v>
      </c>
      <c r="F3" s="48"/>
      <c r="G3" s="48" t="s">
        <v>628</v>
      </c>
      <c r="H3" s="48" t="s">
        <v>688</v>
      </c>
      <c r="I3" s="48"/>
      <c r="L3" s="48" t="s">
        <v>1254</v>
      </c>
      <c r="M3" s="48" t="s">
        <v>1255</v>
      </c>
      <c r="N3" s="48" t="s">
        <v>1254</v>
      </c>
      <c r="O3" s="48" t="s">
        <v>1254</v>
      </c>
      <c r="P3" s="48"/>
    </row>
    <row r="4" spans="1:19" ht="12.75" customHeight="1" x14ac:dyDescent="0.2">
      <c r="A4" s="319" t="s">
        <v>1270</v>
      </c>
      <c r="G4" s="50">
        <f>G1+H1</f>
        <v>4.25</v>
      </c>
      <c r="H4" s="50"/>
      <c r="J4" s="46">
        <v>1</v>
      </c>
      <c r="L4" s="48" t="s">
        <v>687</v>
      </c>
      <c r="M4" s="48"/>
      <c r="N4" s="48" t="s">
        <v>707</v>
      </c>
      <c r="O4" s="48" t="s">
        <v>1250</v>
      </c>
      <c r="P4" s="48"/>
      <c r="Q4" s="54"/>
    </row>
    <row r="5" spans="1:19" ht="12.75" customHeight="1" x14ac:dyDescent="0.2">
      <c r="G5" s="50"/>
      <c r="H5" s="50"/>
    </row>
    <row r="6" spans="1:19" ht="12.75" customHeight="1" x14ac:dyDescent="0.2">
      <c r="A6" s="48" t="s">
        <v>632</v>
      </c>
      <c r="B6" s="48">
        <v>265.99</v>
      </c>
      <c r="C6" s="49">
        <f>E6+G6+H6</f>
        <v>167.54000000000002</v>
      </c>
      <c r="D6" s="48"/>
      <c r="E6" s="49">
        <f>'Filter Cost'!F7</f>
        <v>53.290000000000006</v>
      </c>
      <c r="F6" s="48">
        <v>25</v>
      </c>
      <c r="G6" s="49">
        <f>F6*G4</f>
        <v>106.25</v>
      </c>
      <c r="H6" s="49">
        <v>8</v>
      </c>
      <c r="I6" s="55">
        <f>B6-C6</f>
        <v>98.449999999999989</v>
      </c>
      <c r="J6" s="56">
        <f>C6/B6</f>
        <v>0.62987330350765069</v>
      </c>
      <c r="K6" s="56">
        <f>1-J6</f>
        <v>0.37012669649234931</v>
      </c>
      <c r="L6" s="49">
        <v>98.45</v>
      </c>
      <c r="M6" s="49">
        <f>I6-L6</f>
        <v>0</v>
      </c>
      <c r="N6" s="48">
        <v>265.99</v>
      </c>
      <c r="O6" s="48">
        <f>B6-N6</f>
        <v>0</v>
      </c>
      <c r="P6" s="49"/>
      <c r="Q6" s="49"/>
      <c r="R6" s="49"/>
      <c r="S6" s="50"/>
    </row>
    <row r="7" spans="1:19" ht="12.75" customHeight="1" x14ac:dyDescent="0.2">
      <c r="A7" s="48" t="s">
        <v>633</v>
      </c>
      <c r="B7" s="48">
        <v>243.99</v>
      </c>
      <c r="C7" s="49">
        <f>E7+G7+H7</f>
        <v>136.04919999999998</v>
      </c>
      <c r="D7" s="48"/>
      <c r="E7" s="49">
        <f>'Filter Cost'!F9</f>
        <v>21.799199999999999</v>
      </c>
      <c r="F7" s="48">
        <v>25</v>
      </c>
      <c r="G7" s="49">
        <f>F7*G4</f>
        <v>106.25</v>
      </c>
      <c r="H7" s="49">
        <v>8</v>
      </c>
      <c r="I7" s="55">
        <f>B7-C7</f>
        <v>107.94080000000002</v>
      </c>
      <c r="J7" s="56">
        <f>C7/B7</f>
        <v>0.55760154104676418</v>
      </c>
      <c r="K7" s="56">
        <f t="shared" ref="K7:K73" si="0">1-J7</f>
        <v>0.44239845895323582</v>
      </c>
      <c r="L7" s="49">
        <v>106.69</v>
      </c>
      <c r="M7" s="49">
        <f t="shared" ref="M7:M73" si="1">I7-L7</f>
        <v>1.2508000000000266</v>
      </c>
      <c r="N7" s="48">
        <v>243.99</v>
      </c>
      <c r="O7" s="48">
        <f>B7-N7</f>
        <v>0</v>
      </c>
      <c r="P7" s="49"/>
      <c r="Q7" s="49"/>
      <c r="R7" s="49"/>
      <c r="S7" s="50"/>
    </row>
    <row r="8" spans="1:19" ht="12.75" customHeight="1" x14ac:dyDescent="0.2">
      <c r="A8" s="48"/>
      <c r="B8" s="48"/>
      <c r="C8" s="49"/>
      <c r="D8" s="48"/>
      <c r="E8" s="48"/>
      <c r="F8" s="48"/>
      <c r="G8" s="49"/>
      <c r="H8" s="49"/>
      <c r="I8" s="55"/>
      <c r="J8" s="56"/>
      <c r="K8" s="56"/>
      <c r="L8" s="49"/>
      <c r="M8" s="49"/>
      <c r="N8" s="48"/>
      <c r="O8" s="48"/>
      <c r="P8" s="49"/>
      <c r="Q8" s="49"/>
      <c r="R8" s="49"/>
      <c r="S8" s="50"/>
    </row>
    <row r="9" spans="1:19" ht="12.75" customHeight="1" x14ac:dyDescent="0.2">
      <c r="A9" s="48" t="s">
        <v>634</v>
      </c>
      <c r="B9" s="48">
        <v>334.99</v>
      </c>
      <c r="C9" s="49">
        <f>E9+G9+H9</f>
        <v>240.07999999999998</v>
      </c>
      <c r="D9" s="48"/>
      <c r="E9" s="49">
        <f>'Filter Cost'!F11</f>
        <v>70.58</v>
      </c>
      <c r="F9" s="48">
        <v>38</v>
      </c>
      <c r="G9" s="49">
        <f>F9*G4</f>
        <v>161.5</v>
      </c>
      <c r="H9" s="49">
        <v>8</v>
      </c>
      <c r="I9" s="55">
        <f>B9-C9</f>
        <v>94.910000000000025</v>
      </c>
      <c r="J9" s="56">
        <f>C9/B9</f>
        <v>0.71667810979432212</v>
      </c>
      <c r="K9" s="56">
        <f t="shared" si="0"/>
        <v>0.28332189020567788</v>
      </c>
      <c r="L9" s="49">
        <v>94.91</v>
      </c>
      <c r="M9" s="49">
        <f t="shared" si="1"/>
        <v>0</v>
      </c>
      <c r="N9" s="48">
        <v>334.99</v>
      </c>
      <c r="O9" s="48">
        <f>B9-N9</f>
        <v>0</v>
      </c>
      <c r="P9" s="49"/>
      <c r="Q9" s="49"/>
      <c r="R9" s="49"/>
      <c r="S9" s="50"/>
    </row>
    <row r="10" spans="1:19" ht="12.75" customHeight="1" x14ac:dyDescent="0.2">
      <c r="A10" s="48" t="s">
        <v>635</v>
      </c>
      <c r="B10" s="48">
        <v>293.99</v>
      </c>
      <c r="C10" s="49">
        <f>E10+G10+H10</f>
        <v>200.54480000000001</v>
      </c>
      <c r="D10" s="48"/>
      <c r="E10" s="49">
        <f>'Filter Cost'!F13</f>
        <v>31.044799999999999</v>
      </c>
      <c r="F10" s="48">
        <v>38</v>
      </c>
      <c r="G10" s="49">
        <f>F10*G4</f>
        <v>161.5</v>
      </c>
      <c r="H10" s="49">
        <v>8</v>
      </c>
      <c r="I10" s="55">
        <f>B10-C10</f>
        <v>93.4452</v>
      </c>
      <c r="J10" s="56">
        <f>C10/B10</f>
        <v>0.68214837239361881</v>
      </c>
      <c r="K10" s="56">
        <f t="shared" si="0"/>
        <v>0.31785162760638119</v>
      </c>
      <c r="L10" s="49">
        <v>93.35</v>
      </c>
      <c r="M10" s="49">
        <f t="shared" si="1"/>
        <v>9.5200000000005502E-2</v>
      </c>
      <c r="N10" s="48">
        <v>293.99</v>
      </c>
      <c r="O10" s="48">
        <f>B10-N10</f>
        <v>0</v>
      </c>
      <c r="P10" s="49"/>
      <c r="Q10" s="49"/>
      <c r="R10" s="49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9"/>
      <c r="M11" s="49"/>
      <c r="N11" s="48"/>
      <c r="O11" s="48"/>
      <c r="P11" s="49"/>
      <c r="Q11" s="49"/>
      <c r="R11" s="49"/>
      <c r="S11" s="50"/>
    </row>
    <row r="12" spans="1:19" ht="12.75" customHeight="1" x14ac:dyDescent="0.2">
      <c r="A12" s="48" t="s">
        <v>637</v>
      </c>
      <c r="B12" s="48">
        <v>354.99</v>
      </c>
      <c r="C12" s="49">
        <f>E12+G12+H12</f>
        <v>261.33</v>
      </c>
      <c r="D12" s="48"/>
      <c r="E12" s="49">
        <f>'Filter Cost'!F15</f>
        <v>70.58</v>
      </c>
      <c r="F12" s="48">
        <v>43</v>
      </c>
      <c r="G12" s="49">
        <f>F12*G4</f>
        <v>182.75</v>
      </c>
      <c r="H12" s="49">
        <v>8</v>
      </c>
      <c r="I12" s="55">
        <f>B12-C12</f>
        <v>93.660000000000025</v>
      </c>
      <c r="J12" s="56">
        <f>C12/B12</f>
        <v>0.73616158201639481</v>
      </c>
      <c r="K12" s="56">
        <f t="shared" si="0"/>
        <v>0.26383841798360519</v>
      </c>
      <c r="L12" s="49">
        <v>93.66</v>
      </c>
      <c r="M12" s="49">
        <f t="shared" si="1"/>
        <v>0</v>
      </c>
      <c r="N12" s="48">
        <v>354.99</v>
      </c>
      <c r="O12" s="48">
        <f>B12-N12</f>
        <v>0</v>
      </c>
      <c r="P12" s="49"/>
      <c r="Q12" s="49"/>
      <c r="R12" s="49"/>
      <c r="S12" s="50"/>
    </row>
    <row r="13" spans="1:19" ht="12.75" customHeight="1" x14ac:dyDescent="0.2">
      <c r="A13" s="48" t="s">
        <v>638</v>
      </c>
      <c r="B13" s="48">
        <v>313.99</v>
      </c>
      <c r="C13" s="49">
        <f>E13+G13+H13</f>
        <v>221.79480000000001</v>
      </c>
      <c r="D13" s="48"/>
      <c r="E13" s="49">
        <f>'Filter Cost'!F17</f>
        <v>31.044799999999999</v>
      </c>
      <c r="F13" s="48">
        <v>43</v>
      </c>
      <c r="G13" s="49">
        <f>F13*G4</f>
        <v>182.75</v>
      </c>
      <c r="H13" s="49">
        <v>8</v>
      </c>
      <c r="I13" s="55">
        <f>B13-C13</f>
        <v>92.1952</v>
      </c>
      <c r="J13" s="56">
        <f>C13/B13</f>
        <v>0.70637536227268383</v>
      </c>
      <c r="K13" s="56">
        <f t="shared" si="0"/>
        <v>0.29362463772731617</v>
      </c>
      <c r="L13" s="49">
        <v>92.1</v>
      </c>
      <c r="M13" s="49">
        <f t="shared" si="1"/>
        <v>9.5200000000005502E-2</v>
      </c>
      <c r="N13" s="48">
        <v>313.99</v>
      </c>
      <c r="O13" s="48">
        <f>B13-N13</f>
        <v>0</v>
      </c>
      <c r="P13" s="49"/>
      <c r="Q13" s="49"/>
      <c r="R13" s="49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9"/>
      <c r="M14" s="49"/>
      <c r="N14" s="48"/>
      <c r="O14" s="48"/>
      <c r="P14" s="49"/>
      <c r="Q14" s="49"/>
      <c r="R14" s="49"/>
      <c r="S14" s="50"/>
    </row>
    <row r="15" spans="1:19" ht="12.75" customHeight="1" x14ac:dyDescent="0.2">
      <c r="A15" s="48" t="s">
        <v>639</v>
      </c>
      <c r="B15" s="48">
        <v>301.99</v>
      </c>
      <c r="C15" s="49">
        <f>E15+G15+H15</f>
        <v>209.43119999999999</v>
      </c>
      <c r="D15" s="48"/>
      <c r="E15" s="49">
        <f>'Filter Cost'!F19</f>
        <v>31.4312</v>
      </c>
      <c r="F15" s="48">
        <v>40</v>
      </c>
      <c r="G15" s="49">
        <f>F15*G4</f>
        <v>170</v>
      </c>
      <c r="H15" s="49">
        <v>8</v>
      </c>
      <c r="I15" s="55">
        <f>B15-C15</f>
        <v>92.558800000000019</v>
      </c>
      <c r="J15" s="56">
        <f>C15/B15</f>
        <v>0.69350375840259604</v>
      </c>
      <c r="K15" s="56">
        <f>1-J15</f>
        <v>0.30649624159740396</v>
      </c>
      <c r="L15" s="49">
        <v>92.46</v>
      </c>
      <c r="M15" s="49">
        <f>I15-L15</f>
        <v>9.8800000000025534E-2</v>
      </c>
      <c r="N15" s="48">
        <v>301.99</v>
      </c>
      <c r="O15" s="48">
        <f>B15-N15</f>
        <v>0</v>
      </c>
      <c r="P15" s="49"/>
      <c r="Q15" s="49"/>
      <c r="R15" s="49"/>
      <c r="S15" s="50"/>
    </row>
    <row r="16" spans="1:19" ht="12.75" customHeight="1" x14ac:dyDescent="0.2">
      <c r="A16" s="48" t="s">
        <v>640</v>
      </c>
      <c r="B16" s="48">
        <v>170.99</v>
      </c>
      <c r="C16" s="49">
        <f t="shared" ref="C16:C21" si="2">E16+G16+H16</f>
        <v>74.22</v>
      </c>
      <c r="D16" s="48"/>
      <c r="E16" s="49">
        <f>'Filter Cost'!F21</f>
        <v>6.7200000000000006</v>
      </c>
      <c r="F16" s="48">
        <v>14</v>
      </c>
      <c r="G16" s="49">
        <f>F16*G4</f>
        <v>59.5</v>
      </c>
      <c r="H16" s="49">
        <v>8</v>
      </c>
      <c r="I16" s="55">
        <f t="shared" ref="I16:I74" si="3">B16-C16</f>
        <v>96.77000000000001</v>
      </c>
      <c r="J16" s="56">
        <f t="shared" ref="J16:J28" si="4">C16/B16</f>
        <v>0.43406047137259485</v>
      </c>
      <c r="K16" s="56">
        <f t="shared" si="0"/>
        <v>0.56593952862740515</v>
      </c>
      <c r="L16" s="49">
        <v>96.81</v>
      </c>
      <c r="M16" s="49">
        <f t="shared" si="1"/>
        <v>-3.9999999999992042E-2</v>
      </c>
      <c r="N16" s="48">
        <v>170.99</v>
      </c>
      <c r="O16" s="48">
        <f t="shared" ref="O16:O21" si="5">B16-N16</f>
        <v>0</v>
      </c>
      <c r="P16" s="49"/>
      <c r="Q16" s="49"/>
      <c r="R16" s="49"/>
      <c r="S16" s="50"/>
    </row>
    <row r="17" spans="1:19" ht="12.75" customHeight="1" x14ac:dyDescent="0.2">
      <c r="A17" s="48" t="s">
        <v>641</v>
      </c>
      <c r="B17" s="48">
        <v>257.99</v>
      </c>
      <c r="C17" s="49">
        <f t="shared" si="2"/>
        <v>165.06040000000002</v>
      </c>
      <c r="D17" s="48"/>
      <c r="E17" s="49">
        <f>'Filter Cost'!F23</f>
        <v>50.810400000000001</v>
      </c>
      <c r="F17" s="48">
        <v>25</v>
      </c>
      <c r="G17" s="49">
        <f>F17*G4</f>
        <v>106.25</v>
      </c>
      <c r="H17" s="49">
        <v>8</v>
      </c>
      <c r="I17" s="55">
        <f t="shared" si="3"/>
        <v>92.929599999999994</v>
      </c>
      <c r="J17" s="56">
        <f t="shared" si="4"/>
        <v>0.63979379045699447</v>
      </c>
      <c r="K17" s="56">
        <f t="shared" si="0"/>
        <v>0.36020620954300553</v>
      </c>
      <c r="L17" s="49">
        <v>92.86</v>
      </c>
      <c r="M17" s="49">
        <f t="shared" si="1"/>
        <v>6.9599999999994111E-2</v>
      </c>
      <c r="N17" s="48">
        <v>257.99</v>
      </c>
      <c r="O17" s="48">
        <f t="shared" si="5"/>
        <v>0</v>
      </c>
      <c r="P17" s="49"/>
      <c r="Q17" s="49"/>
      <c r="R17" s="49"/>
      <c r="S17" s="50"/>
    </row>
    <row r="18" spans="1:19" ht="12.75" customHeight="1" x14ac:dyDescent="0.2">
      <c r="A18" s="48" t="s">
        <v>642</v>
      </c>
      <c r="B18" s="48">
        <v>255.99</v>
      </c>
      <c r="C18" s="49">
        <f t="shared" si="2"/>
        <v>140.93799999999999</v>
      </c>
      <c r="D18" s="48"/>
      <c r="E18" s="49">
        <f>'Filter Cost'!F25</f>
        <v>26.688000000000002</v>
      </c>
      <c r="F18" s="48">
        <v>25</v>
      </c>
      <c r="G18" s="49">
        <f>F18*G4</f>
        <v>106.25</v>
      </c>
      <c r="H18" s="49">
        <v>8</v>
      </c>
      <c r="I18" s="55">
        <f t="shared" si="3"/>
        <v>115.05200000000002</v>
      </c>
      <c r="J18" s="56">
        <f t="shared" si="4"/>
        <v>0.5505605687722176</v>
      </c>
      <c r="K18" s="56">
        <f t="shared" si="0"/>
        <v>0.4494394312277824</v>
      </c>
      <c r="L18" s="49">
        <v>115.07</v>
      </c>
      <c r="M18" s="49">
        <f t="shared" si="1"/>
        <v>-1.799999999997226E-2</v>
      </c>
      <c r="N18" s="48">
        <v>255.99</v>
      </c>
      <c r="O18" s="48">
        <f t="shared" si="5"/>
        <v>0</v>
      </c>
      <c r="P18" s="49"/>
      <c r="Q18" s="49"/>
      <c r="R18" s="49"/>
      <c r="S18" s="50"/>
    </row>
    <row r="19" spans="1:19" ht="12.75" customHeight="1" x14ac:dyDescent="0.2">
      <c r="A19" s="48" t="s">
        <v>643</v>
      </c>
      <c r="B19" s="48">
        <v>292.99</v>
      </c>
      <c r="C19" s="49">
        <f t="shared" si="2"/>
        <v>200.83440000000002</v>
      </c>
      <c r="D19" s="48"/>
      <c r="E19" s="49">
        <f>'Filter Cost'!F27</f>
        <v>39.834400000000002</v>
      </c>
      <c r="F19" s="48">
        <v>36</v>
      </c>
      <c r="G19" s="49">
        <f>F19*G4</f>
        <v>153</v>
      </c>
      <c r="H19" s="49">
        <v>8</v>
      </c>
      <c r="I19" s="55">
        <f t="shared" si="3"/>
        <v>92.155599999999993</v>
      </c>
      <c r="J19" s="56">
        <f t="shared" si="4"/>
        <v>0.6854650329362777</v>
      </c>
      <c r="K19" s="56">
        <f t="shared" si="0"/>
        <v>0.3145349670637223</v>
      </c>
      <c r="L19" s="49">
        <v>92.03</v>
      </c>
      <c r="M19" s="49">
        <f t="shared" si="1"/>
        <v>0.1255999999999915</v>
      </c>
      <c r="N19" s="48">
        <v>292.99</v>
      </c>
      <c r="O19" s="48">
        <f t="shared" si="5"/>
        <v>0</v>
      </c>
      <c r="P19" s="49"/>
      <c r="Q19" s="49"/>
      <c r="R19" s="49"/>
      <c r="S19" s="50"/>
    </row>
    <row r="20" spans="1:19" ht="12.75" customHeight="1" x14ac:dyDescent="0.2">
      <c r="A20" s="48" t="s">
        <v>906</v>
      </c>
      <c r="B20" s="48">
        <v>378.99</v>
      </c>
      <c r="C20" s="49">
        <f t="shared" si="2"/>
        <v>280.64960000000002</v>
      </c>
      <c r="D20" s="48"/>
      <c r="E20" s="49">
        <f>'Filter Cost'!F29</f>
        <v>85.649600000000007</v>
      </c>
      <c r="F20" s="48">
        <v>44</v>
      </c>
      <c r="G20" s="49">
        <f>F20*G4</f>
        <v>187</v>
      </c>
      <c r="H20" s="49">
        <v>8</v>
      </c>
      <c r="I20" s="55">
        <f t="shared" si="3"/>
        <v>98.340399999999988</v>
      </c>
      <c r="J20" s="56">
        <f t="shared" si="4"/>
        <v>0.74051980263331485</v>
      </c>
      <c r="K20" s="56">
        <f t="shared" si="0"/>
        <v>0.25948019736668515</v>
      </c>
      <c r="L20" s="49">
        <v>98.06</v>
      </c>
      <c r="M20" s="49">
        <f t="shared" si="1"/>
        <v>0.28039999999998599</v>
      </c>
      <c r="N20" s="48">
        <v>378.99</v>
      </c>
      <c r="O20" s="48">
        <f t="shared" si="5"/>
        <v>0</v>
      </c>
      <c r="P20" s="49"/>
      <c r="Q20" s="49"/>
      <c r="R20" s="49"/>
      <c r="S20" s="50"/>
    </row>
    <row r="21" spans="1:19" ht="12.75" customHeight="1" x14ac:dyDescent="0.2">
      <c r="A21" s="48" t="s">
        <v>646</v>
      </c>
      <c r="B21" s="48">
        <v>275.99</v>
      </c>
      <c r="C21" s="49">
        <f t="shared" si="2"/>
        <v>183.93119999999999</v>
      </c>
      <c r="D21" s="48"/>
      <c r="E21" s="49">
        <f>'Filter Cost'!F31</f>
        <v>31.4312</v>
      </c>
      <c r="F21" s="48">
        <v>34</v>
      </c>
      <c r="G21" s="49">
        <f>F21*G4</f>
        <v>144.5</v>
      </c>
      <c r="H21" s="49">
        <v>8</v>
      </c>
      <c r="I21" s="55">
        <f t="shared" si="3"/>
        <v>92.058800000000019</v>
      </c>
      <c r="J21" s="56">
        <f t="shared" si="4"/>
        <v>0.66644153773687442</v>
      </c>
      <c r="K21" s="56">
        <f t="shared" si="0"/>
        <v>0.33355846226312558</v>
      </c>
      <c r="L21" s="49">
        <v>91.96</v>
      </c>
      <c r="M21" s="49">
        <f t="shared" si="1"/>
        <v>9.8800000000025534E-2</v>
      </c>
      <c r="N21" s="48">
        <v>275.99</v>
      </c>
      <c r="O21" s="48">
        <f t="shared" si="5"/>
        <v>0</v>
      </c>
      <c r="P21" s="49"/>
      <c r="Q21" s="49"/>
      <c r="R21" s="49"/>
      <c r="S21" s="50"/>
    </row>
    <row r="22" spans="1:19" ht="12.75" customHeight="1" x14ac:dyDescent="0.2">
      <c r="A22" s="48"/>
      <c r="G22" s="49"/>
      <c r="H22" s="49"/>
      <c r="I22" s="55"/>
      <c r="J22" s="56"/>
      <c r="K22" s="56"/>
      <c r="L22" s="49"/>
      <c r="M22" s="49"/>
      <c r="N22" s="48"/>
      <c r="O22" s="48"/>
      <c r="P22" s="49"/>
      <c r="Q22" s="49"/>
      <c r="R22" s="49"/>
      <c r="S22" s="50"/>
    </row>
    <row r="23" spans="1:19" ht="12.75" customHeight="1" x14ac:dyDescent="0.2">
      <c r="A23" s="48" t="s">
        <v>647</v>
      </c>
      <c r="B23" s="48">
        <v>349.99</v>
      </c>
      <c r="C23" s="49">
        <f t="shared" ref="C23:C28" si="6">E23+G23+H23</f>
        <v>247.12</v>
      </c>
      <c r="D23" s="48"/>
      <c r="E23" s="49">
        <f>'Filter Cost'!F33</f>
        <v>77.62</v>
      </c>
      <c r="F23" s="48">
        <v>38</v>
      </c>
      <c r="G23" s="49">
        <f>F23*G4</f>
        <v>161.5</v>
      </c>
      <c r="H23" s="49">
        <v>8</v>
      </c>
      <c r="I23" s="55">
        <f t="shared" si="3"/>
        <v>102.87</v>
      </c>
      <c r="J23" s="56">
        <f t="shared" si="4"/>
        <v>0.70607731649475702</v>
      </c>
      <c r="K23" s="56">
        <f t="shared" si="0"/>
        <v>0.29392268350524298</v>
      </c>
      <c r="L23" s="49">
        <v>105.87</v>
      </c>
      <c r="M23" s="49">
        <f t="shared" si="1"/>
        <v>-3</v>
      </c>
      <c r="N23" s="48">
        <v>352.99</v>
      </c>
      <c r="O23" s="48">
        <f t="shared" ref="O23:O28" si="7">B23-N23</f>
        <v>-3</v>
      </c>
      <c r="P23" s="49"/>
      <c r="Q23" s="49"/>
      <c r="R23" s="49"/>
      <c r="S23" s="50"/>
    </row>
    <row r="24" spans="1:19" ht="12.75" customHeight="1" x14ac:dyDescent="0.2">
      <c r="A24" s="48" t="s">
        <v>648</v>
      </c>
      <c r="B24" s="48">
        <v>409.99</v>
      </c>
      <c r="C24" s="49">
        <f t="shared" si="6"/>
        <v>312.85000000000002</v>
      </c>
      <c r="D24" s="48"/>
      <c r="E24" s="49">
        <f>'Filter Cost'!F35</f>
        <v>168.85000000000002</v>
      </c>
      <c r="F24" s="48">
        <v>32</v>
      </c>
      <c r="G24" s="49">
        <f>F24*G4</f>
        <v>136</v>
      </c>
      <c r="H24" s="49">
        <v>8</v>
      </c>
      <c r="I24" s="55">
        <f t="shared" si="3"/>
        <v>97.139999999999986</v>
      </c>
      <c r="J24" s="56">
        <f t="shared" si="4"/>
        <v>0.76306739188760708</v>
      </c>
      <c r="K24" s="56">
        <f t="shared" si="0"/>
        <v>0.23693260811239292</v>
      </c>
      <c r="L24" s="49">
        <v>97.14</v>
      </c>
      <c r="M24" s="49">
        <f t="shared" si="1"/>
        <v>0</v>
      </c>
      <c r="N24" s="48">
        <v>409.99</v>
      </c>
      <c r="O24" s="48">
        <f t="shared" si="7"/>
        <v>0</v>
      </c>
      <c r="P24" s="49"/>
      <c r="Q24" s="49"/>
      <c r="R24" s="49"/>
      <c r="S24" s="50"/>
    </row>
    <row r="25" spans="1:19" ht="12.75" customHeight="1" x14ac:dyDescent="0.2">
      <c r="A25" s="48" t="s">
        <v>649</v>
      </c>
      <c r="B25" s="48">
        <v>415.99</v>
      </c>
      <c r="C25" s="49">
        <f t="shared" si="6"/>
        <v>324.29000000000002</v>
      </c>
      <c r="D25" s="48"/>
      <c r="E25" s="49">
        <f>'Filter Cost'!F37</f>
        <v>137.79000000000002</v>
      </c>
      <c r="F25" s="48">
        <v>42</v>
      </c>
      <c r="G25" s="49">
        <f>F25*G4</f>
        <v>178.5</v>
      </c>
      <c r="H25" s="49">
        <v>8</v>
      </c>
      <c r="I25" s="359">
        <f t="shared" si="3"/>
        <v>91.699999999999989</v>
      </c>
      <c r="J25" s="56">
        <f t="shared" si="4"/>
        <v>0.77956200870213233</v>
      </c>
      <c r="K25" s="56">
        <f t="shared" si="0"/>
        <v>0.22043799129786767</v>
      </c>
      <c r="L25" s="49">
        <v>90.84</v>
      </c>
      <c r="M25" s="49">
        <f t="shared" si="1"/>
        <v>0.85999999999998522</v>
      </c>
      <c r="N25" s="48">
        <v>415.99</v>
      </c>
      <c r="O25" s="48">
        <f t="shared" si="7"/>
        <v>0</v>
      </c>
      <c r="P25" s="49"/>
      <c r="Q25" s="49"/>
      <c r="R25" s="49"/>
      <c r="S25" s="50"/>
    </row>
    <row r="26" spans="1:19" ht="12.75" customHeight="1" x14ac:dyDescent="0.2">
      <c r="A26" s="48" t="s">
        <v>650</v>
      </c>
      <c r="B26" s="48">
        <v>393.99</v>
      </c>
      <c r="C26" s="49">
        <f t="shared" si="6"/>
        <v>300.55280000000005</v>
      </c>
      <c r="D26" s="48"/>
      <c r="E26" s="49">
        <f>'Filter Cost'!F39</f>
        <v>114.05280000000002</v>
      </c>
      <c r="F26" s="48">
        <v>42</v>
      </c>
      <c r="G26" s="49">
        <f>F26*G4</f>
        <v>178.5</v>
      </c>
      <c r="H26" s="49">
        <v>8</v>
      </c>
      <c r="I26" s="55">
        <f t="shared" si="3"/>
        <v>93.437199999999962</v>
      </c>
      <c r="J26" s="56">
        <f t="shared" si="4"/>
        <v>0.76284372699814729</v>
      </c>
      <c r="K26" s="56">
        <f t="shared" si="0"/>
        <v>0.23715627300185271</v>
      </c>
      <c r="L26" s="49">
        <v>92.77</v>
      </c>
      <c r="M26" s="49">
        <f t="shared" si="1"/>
        <v>0.6671999999999656</v>
      </c>
      <c r="N26" s="48">
        <v>393.99</v>
      </c>
      <c r="O26" s="48">
        <f t="shared" si="7"/>
        <v>0</v>
      </c>
      <c r="P26" s="49"/>
      <c r="Q26" s="49"/>
      <c r="R26" s="49"/>
      <c r="S26" s="50"/>
    </row>
    <row r="27" spans="1:19" ht="12.75" customHeight="1" x14ac:dyDescent="0.2">
      <c r="A27" s="48" t="s">
        <v>651</v>
      </c>
      <c r="B27" s="48">
        <v>302.99</v>
      </c>
      <c r="C27" s="49">
        <f t="shared" si="6"/>
        <v>214.8912</v>
      </c>
      <c r="D27" s="48"/>
      <c r="E27" s="49">
        <f>'Filter Cost'!F41</f>
        <v>45.391199999999998</v>
      </c>
      <c r="F27" s="48">
        <v>38</v>
      </c>
      <c r="G27" s="49">
        <f>F27*G4</f>
        <v>161.5</v>
      </c>
      <c r="H27" s="49">
        <v>8</v>
      </c>
      <c r="I27" s="359">
        <f t="shared" si="3"/>
        <v>88.098800000000011</v>
      </c>
      <c r="J27" s="56">
        <f t="shared" si="4"/>
        <v>0.70923528829334304</v>
      </c>
      <c r="K27" s="56">
        <f t="shared" si="0"/>
        <v>0.29076471170665696</v>
      </c>
      <c r="L27" s="49">
        <v>90.07</v>
      </c>
      <c r="M27" s="49">
        <f t="shared" si="1"/>
        <v>-1.9711999999999819</v>
      </c>
      <c r="N27" s="48">
        <v>304.99</v>
      </c>
      <c r="O27" s="48">
        <f t="shared" si="7"/>
        <v>-2</v>
      </c>
      <c r="P27" s="49"/>
      <c r="Q27" s="49"/>
      <c r="R27" s="49"/>
      <c r="S27" s="50"/>
    </row>
    <row r="28" spans="1:19" ht="12.75" customHeight="1" x14ac:dyDescent="0.2">
      <c r="A28" s="48" t="s">
        <v>652</v>
      </c>
      <c r="B28" s="48">
        <v>170.99</v>
      </c>
      <c r="C28" s="49">
        <f t="shared" si="6"/>
        <v>77.602400000000003</v>
      </c>
      <c r="D28" s="48"/>
      <c r="E28" s="49">
        <f>'Filter Cost'!F43</f>
        <v>10.102400000000001</v>
      </c>
      <c r="F28" s="48">
        <v>14</v>
      </c>
      <c r="G28" s="49">
        <f>F28*G4</f>
        <v>59.5</v>
      </c>
      <c r="H28" s="49">
        <v>8</v>
      </c>
      <c r="I28" s="55">
        <f t="shared" si="3"/>
        <v>93.387600000000006</v>
      </c>
      <c r="J28" s="56">
        <f t="shared" si="4"/>
        <v>0.45384174513129422</v>
      </c>
      <c r="K28" s="56">
        <f t="shared" si="0"/>
        <v>0.54615825486870584</v>
      </c>
      <c r="L28" s="49">
        <v>93.45</v>
      </c>
      <c r="M28" s="49">
        <f t="shared" si="1"/>
        <v>-6.239999999999668E-2</v>
      </c>
      <c r="N28" s="48">
        <v>170.99</v>
      </c>
      <c r="O28" s="48">
        <f t="shared" si="7"/>
        <v>0</v>
      </c>
      <c r="P28" s="49"/>
      <c r="Q28" s="49"/>
      <c r="R28" s="49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9"/>
      <c r="M29" s="49"/>
      <c r="N29" s="48"/>
      <c r="O29" s="48"/>
      <c r="P29" s="49"/>
      <c r="Q29" s="49"/>
      <c r="R29" s="49"/>
      <c r="S29" s="50"/>
    </row>
    <row r="30" spans="1:19" ht="12.75" customHeight="1" x14ac:dyDescent="0.2">
      <c r="A30" s="48" t="s">
        <v>653</v>
      </c>
      <c r="B30" s="48">
        <v>170.99</v>
      </c>
      <c r="C30" s="49">
        <f>E30+G30+H30</f>
        <v>81.916799999999995</v>
      </c>
      <c r="D30" s="48"/>
      <c r="E30" s="49">
        <f>'Filter Cost'!F45</f>
        <v>14.416800000000002</v>
      </c>
      <c r="F30" s="48">
        <v>14</v>
      </c>
      <c r="G30" s="49">
        <f>F30*G4</f>
        <v>59.5</v>
      </c>
      <c r="H30" s="49">
        <v>8</v>
      </c>
      <c r="I30" s="55">
        <f t="shared" si="3"/>
        <v>89.073200000000014</v>
      </c>
      <c r="J30" s="56">
        <f>C30/B30</f>
        <v>0.47907363003684422</v>
      </c>
      <c r="K30" s="56">
        <f t="shared" si="0"/>
        <v>0.52092636996315578</v>
      </c>
      <c r="L30" s="49">
        <v>89.16</v>
      </c>
      <c r="M30" s="49">
        <f t="shared" si="1"/>
        <v>-8.6799999999982447E-2</v>
      </c>
      <c r="N30" s="48">
        <v>170.99</v>
      </c>
      <c r="O30" s="48">
        <f>B30-N30</f>
        <v>0</v>
      </c>
      <c r="P30" s="49"/>
      <c r="Q30" s="49"/>
      <c r="R30" s="49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9"/>
      <c r="M31" s="49"/>
      <c r="N31" s="48"/>
      <c r="O31" s="48"/>
      <c r="P31" s="49"/>
      <c r="Q31" s="49"/>
      <c r="R31" s="49"/>
      <c r="S31" s="50"/>
    </row>
    <row r="32" spans="1:19" ht="12.75" customHeight="1" x14ac:dyDescent="0.2">
      <c r="A32" s="48" t="s">
        <v>423</v>
      </c>
      <c r="B32" s="48">
        <v>269.99</v>
      </c>
      <c r="C32" s="49">
        <f>E32+G32+H32</f>
        <v>163.5</v>
      </c>
      <c r="D32" s="48"/>
      <c r="E32" s="49">
        <f>'Filter Cost'!F47</f>
        <v>96</v>
      </c>
      <c r="F32" s="48">
        <v>14</v>
      </c>
      <c r="G32" s="49">
        <f>F32*G4</f>
        <v>59.5</v>
      </c>
      <c r="H32" s="49">
        <v>8</v>
      </c>
      <c r="I32" s="55">
        <f t="shared" si="3"/>
        <v>106.49000000000001</v>
      </c>
      <c r="J32" s="56">
        <f>C32/B32</f>
        <v>0.60557798436979149</v>
      </c>
      <c r="K32" s="56">
        <f t="shared" si="0"/>
        <v>0.39442201563020851</v>
      </c>
      <c r="L32" s="49">
        <v>106.49</v>
      </c>
      <c r="M32" s="49">
        <f t="shared" si="1"/>
        <v>0</v>
      </c>
      <c r="N32" s="48">
        <v>269.99</v>
      </c>
      <c r="O32" s="48">
        <f>B32-N32</f>
        <v>0</v>
      </c>
      <c r="P32" s="49"/>
      <c r="Q32" s="49"/>
      <c r="R32" s="49"/>
      <c r="S32" s="50"/>
    </row>
    <row r="33" spans="1:19" ht="12.75" customHeight="1" x14ac:dyDescent="0.2">
      <c r="A33" s="48" t="s">
        <v>654</v>
      </c>
      <c r="B33" s="48">
        <v>199.99</v>
      </c>
      <c r="C33" s="49">
        <f>E33+G33+H33</f>
        <v>94.921599999999998</v>
      </c>
      <c r="D33" s="48"/>
      <c r="E33" s="49">
        <f>'Filter Cost'!F49</f>
        <v>27.421599999999998</v>
      </c>
      <c r="F33" s="48">
        <v>14</v>
      </c>
      <c r="G33" s="49">
        <f>F33*G4</f>
        <v>59.5</v>
      </c>
      <c r="H33" s="49">
        <v>8</v>
      </c>
      <c r="I33" s="55">
        <f t="shared" si="3"/>
        <v>105.06840000000001</v>
      </c>
      <c r="J33" s="56">
        <f>C33/B33</f>
        <v>0.47463173158657929</v>
      </c>
      <c r="K33" s="56">
        <f t="shared" si="0"/>
        <v>0.52536826841342066</v>
      </c>
      <c r="L33" s="49">
        <v>105.24</v>
      </c>
      <c r="M33" s="49">
        <f t="shared" si="1"/>
        <v>-0.17159999999998377</v>
      </c>
      <c r="N33" s="48">
        <v>199.99</v>
      </c>
      <c r="O33" s="48">
        <f>B33-N33</f>
        <v>0</v>
      </c>
      <c r="P33" s="49"/>
      <c r="Q33" s="49"/>
      <c r="R33" s="49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9"/>
      <c r="M34" s="49"/>
      <c r="N34" s="48"/>
      <c r="O34" s="48"/>
      <c r="P34" s="49"/>
      <c r="Q34" s="49"/>
      <c r="R34" s="49"/>
      <c r="S34" s="50"/>
    </row>
    <row r="35" spans="1:19" ht="12.75" customHeight="1" x14ac:dyDescent="0.2">
      <c r="A35" s="48" t="s">
        <v>655</v>
      </c>
      <c r="B35" s="48">
        <v>265.99</v>
      </c>
      <c r="C35" s="49">
        <f>E35+G35+H35</f>
        <v>172.06880000000001</v>
      </c>
      <c r="D35" s="48"/>
      <c r="E35" s="49">
        <f>'Filter Cost'!F51</f>
        <v>53.56880000000001</v>
      </c>
      <c r="F35" s="48">
        <v>26</v>
      </c>
      <c r="G35" s="49">
        <f>F35*G4</f>
        <v>110.5</v>
      </c>
      <c r="H35" s="49">
        <v>8</v>
      </c>
      <c r="I35" s="55">
        <f t="shared" si="3"/>
        <v>93.921199999999999</v>
      </c>
      <c r="J35" s="56">
        <f>C35/B35</f>
        <v>0.64689950750028202</v>
      </c>
      <c r="K35" s="56">
        <f t="shared" si="0"/>
        <v>0.35310049249971798</v>
      </c>
      <c r="L35" s="49">
        <v>94.15</v>
      </c>
      <c r="M35" s="49">
        <f t="shared" si="1"/>
        <v>-0.22880000000000678</v>
      </c>
      <c r="N35" s="48">
        <v>265.99</v>
      </c>
      <c r="O35" s="48">
        <f>B35-N35</f>
        <v>0</v>
      </c>
      <c r="P35" s="49"/>
      <c r="Q35" s="49"/>
      <c r="R35" s="49"/>
      <c r="S35" s="50"/>
    </row>
    <row r="36" spans="1:19" ht="12.75" customHeight="1" x14ac:dyDescent="0.2">
      <c r="A36" s="48" t="s">
        <v>1245</v>
      </c>
      <c r="B36" s="48">
        <v>499.99</v>
      </c>
      <c r="C36" s="49">
        <f>E36+G36+H36</f>
        <v>382.3</v>
      </c>
      <c r="D36" s="48"/>
      <c r="E36" s="49">
        <f>'Filter Cost'!F53</f>
        <v>178.8</v>
      </c>
      <c r="F36" s="48">
        <v>46</v>
      </c>
      <c r="G36" s="49">
        <f>F36*G4</f>
        <v>195.5</v>
      </c>
      <c r="H36" s="49">
        <v>8</v>
      </c>
      <c r="I36" s="55">
        <f t="shared" si="3"/>
        <v>117.69</v>
      </c>
      <c r="J36" s="56">
        <f>C36/B36</f>
        <v>0.76461529230584613</v>
      </c>
      <c r="K36" s="56">
        <f t="shared" si="0"/>
        <v>0.23538470769415387</v>
      </c>
      <c r="L36" s="49">
        <v>117.69</v>
      </c>
      <c r="M36" s="49"/>
      <c r="N36" s="48"/>
      <c r="O36" s="48"/>
      <c r="P36" s="49"/>
      <c r="Q36" s="49"/>
      <c r="R36" s="49"/>
      <c r="S36" s="50"/>
    </row>
    <row r="37" spans="1:19" ht="12.75" customHeight="1" x14ac:dyDescent="0.2">
      <c r="A37" s="48" t="s">
        <v>1249</v>
      </c>
      <c r="B37" s="48">
        <v>249.99</v>
      </c>
      <c r="C37" s="49">
        <f>E37+G37+H37</f>
        <v>125.3728</v>
      </c>
      <c r="D37" s="48"/>
      <c r="E37" s="49">
        <f>'Filter Cost'!F55</f>
        <v>57.872799999999998</v>
      </c>
      <c r="F37" s="48">
        <v>14</v>
      </c>
      <c r="G37" s="49">
        <f>F37*G4</f>
        <v>59.5</v>
      </c>
      <c r="H37" s="49">
        <v>8</v>
      </c>
      <c r="I37" s="55">
        <f t="shared" si="3"/>
        <v>124.61720000000001</v>
      </c>
      <c r="J37" s="56">
        <f>C37/B37</f>
        <v>0.50151126045041794</v>
      </c>
      <c r="K37" s="56">
        <f t="shared" si="0"/>
        <v>0.49848873954958206</v>
      </c>
      <c r="L37" s="49"/>
      <c r="M37" s="49"/>
      <c r="N37" s="48"/>
      <c r="O37" s="48"/>
      <c r="P37" s="49"/>
      <c r="Q37" s="49"/>
      <c r="R37" s="49"/>
      <c r="S37" s="50"/>
    </row>
    <row r="38" spans="1:19" ht="12.75" customHeight="1" x14ac:dyDescent="0.2">
      <c r="A38" s="48" t="s">
        <v>1124</v>
      </c>
      <c r="B38" s="48">
        <v>215.99</v>
      </c>
      <c r="C38" s="49">
        <f t="shared" ref="C38:C53" si="8">E38+G38+H38</f>
        <v>111.6408</v>
      </c>
      <c r="D38" s="48"/>
      <c r="E38" s="49">
        <f>'Filter Cost'!F57</f>
        <v>44.140799999999999</v>
      </c>
      <c r="F38" s="48">
        <v>14</v>
      </c>
      <c r="G38" s="49">
        <f>F38*G4</f>
        <v>59.5</v>
      </c>
      <c r="H38" s="49">
        <v>8</v>
      </c>
      <c r="I38" s="55">
        <f t="shared" si="3"/>
        <v>104.34920000000001</v>
      </c>
      <c r="J38" s="56">
        <f>C38/B38</f>
        <v>0.51687948516135007</v>
      </c>
      <c r="K38" s="56">
        <f t="shared" si="0"/>
        <v>0.48312051483864993</v>
      </c>
      <c r="L38" s="49">
        <v>104.51</v>
      </c>
      <c r="M38" s="49">
        <f t="shared" si="1"/>
        <v>-0.16079999999999472</v>
      </c>
      <c r="N38" s="48">
        <v>215.99</v>
      </c>
      <c r="O38" s="48">
        <f>B38-N38</f>
        <v>0</v>
      </c>
      <c r="P38" s="49"/>
      <c r="Q38" s="49"/>
      <c r="R38" s="49"/>
      <c r="S38" s="50"/>
    </row>
    <row r="39" spans="1:19" ht="12.75" customHeight="1" x14ac:dyDescent="0.2">
      <c r="A39" s="48" t="s">
        <v>425</v>
      </c>
      <c r="B39" s="48">
        <v>275.99</v>
      </c>
      <c r="C39" s="49">
        <f t="shared" si="8"/>
        <v>136.47</v>
      </c>
      <c r="D39" s="48"/>
      <c r="E39" s="49">
        <f>'Filter Cost'!F59</f>
        <v>68.97</v>
      </c>
      <c r="F39" s="48">
        <v>14</v>
      </c>
      <c r="G39" s="49">
        <f>F39*G4</f>
        <v>59.5</v>
      </c>
      <c r="H39" s="49">
        <v>8</v>
      </c>
      <c r="I39" s="55">
        <f t="shared" si="3"/>
        <v>139.52000000000001</v>
      </c>
      <c r="J39" s="56">
        <f>C39/B39</f>
        <v>0.49447443747961883</v>
      </c>
      <c r="K39" s="56">
        <f t="shared" si="0"/>
        <v>0.50552556252038117</v>
      </c>
      <c r="L39" s="49">
        <v>139.52000000000001</v>
      </c>
      <c r="M39" s="49">
        <f t="shared" si="1"/>
        <v>0</v>
      </c>
      <c r="N39" s="48">
        <v>275.99</v>
      </c>
      <c r="O39" s="48">
        <f>B39-N39</f>
        <v>0</v>
      </c>
      <c r="P39" s="49"/>
      <c r="Q39" s="49"/>
      <c r="R39" s="49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9"/>
      <c r="M40" s="49"/>
      <c r="N40" s="48"/>
      <c r="O40" s="48"/>
      <c r="P40" s="49"/>
      <c r="Q40" s="49"/>
      <c r="R40" s="49"/>
      <c r="S40" s="50"/>
    </row>
    <row r="41" spans="1:19" ht="12.75" customHeight="1" x14ac:dyDescent="0.2">
      <c r="A41" s="48" t="s">
        <v>907</v>
      </c>
      <c r="B41" s="48">
        <v>363.99</v>
      </c>
      <c r="C41" s="49">
        <f t="shared" si="8"/>
        <v>256.10480000000001</v>
      </c>
      <c r="D41" s="48"/>
      <c r="E41" s="49">
        <f>'Filter Cost'!F61</f>
        <v>86.604800000000012</v>
      </c>
      <c r="F41" s="48">
        <v>38</v>
      </c>
      <c r="G41" s="49">
        <f>F41*G4</f>
        <v>161.5</v>
      </c>
      <c r="H41" s="49">
        <v>8</v>
      </c>
      <c r="I41" s="55">
        <f t="shared" si="3"/>
        <v>107.8852</v>
      </c>
      <c r="J41" s="56">
        <f t="shared" ref="J41:J74" si="9">C41/B41</f>
        <v>0.70360394516332869</v>
      </c>
      <c r="K41" s="56">
        <f t="shared" si="0"/>
        <v>0.29639605483667131</v>
      </c>
      <c r="L41" s="49">
        <v>108.06</v>
      </c>
      <c r="M41" s="49">
        <f t="shared" si="1"/>
        <v>-0.17480000000000473</v>
      </c>
      <c r="N41" s="48">
        <v>363.99</v>
      </c>
      <c r="O41" s="48">
        <f t="shared" ref="O41:O48" si="10">B41-N41</f>
        <v>0</v>
      </c>
      <c r="P41" s="49"/>
      <c r="Q41" s="49"/>
      <c r="R41" s="49"/>
      <c r="S41" s="50"/>
    </row>
    <row r="42" spans="1:19" ht="12.75" customHeight="1" x14ac:dyDescent="0.2">
      <c r="A42" s="48" t="s">
        <v>911</v>
      </c>
      <c r="B42" s="48">
        <v>434.99</v>
      </c>
      <c r="C42" s="49">
        <f t="shared" si="8"/>
        <v>343</v>
      </c>
      <c r="D42" s="48"/>
      <c r="E42" s="49">
        <f>'Filter Cost'!F63</f>
        <v>173.5</v>
      </c>
      <c r="F42" s="48">
        <v>38</v>
      </c>
      <c r="G42" s="49">
        <f>F42*G4</f>
        <v>161.5</v>
      </c>
      <c r="H42" s="49">
        <v>8</v>
      </c>
      <c r="I42" s="55">
        <f t="shared" si="3"/>
        <v>91.990000000000009</v>
      </c>
      <c r="J42" s="56">
        <f t="shared" si="9"/>
        <v>0.7885238741120485</v>
      </c>
      <c r="K42" s="56">
        <f t="shared" si="0"/>
        <v>0.2114761258879515</v>
      </c>
      <c r="L42" s="49">
        <v>84.75</v>
      </c>
      <c r="M42" s="49">
        <f t="shared" si="1"/>
        <v>7.2400000000000091</v>
      </c>
      <c r="N42" s="48">
        <v>419.99</v>
      </c>
      <c r="O42" s="48">
        <f t="shared" si="10"/>
        <v>15</v>
      </c>
      <c r="P42" s="49"/>
      <c r="Q42" s="49"/>
      <c r="R42" s="49"/>
      <c r="S42" s="50"/>
    </row>
    <row r="43" spans="1:19" ht="12.75" customHeight="1" x14ac:dyDescent="0.2">
      <c r="A43" s="48" t="s">
        <v>909</v>
      </c>
      <c r="B43" s="48">
        <v>436.99</v>
      </c>
      <c r="C43" s="49">
        <f t="shared" si="8"/>
        <v>328.35480000000001</v>
      </c>
      <c r="D43" s="48"/>
      <c r="E43" s="49">
        <f>'Filter Cost'!F61</f>
        <v>86.604800000000012</v>
      </c>
      <c r="F43" s="48">
        <v>55</v>
      </c>
      <c r="G43" s="49">
        <f>F43*G4</f>
        <v>233.75</v>
      </c>
      <c r="H43" s="49">
        <v>8</v>
      </c>
      <c r="I43" s="55">
        <f t="shared" si="3"/>
        <v>108.6352</v>
      </c>
      <c r="J43" s="56">
        <f t="shared" si="9"/>
        <v>0.75140117622828895</v>
      </c>
      <c r="K43" s="56">
        <f t="shared" si="0"/>
        <v>0.24859882377171105</v>
      </c>
      <c r="L43" s="49">
        <v>108.81</v>
      </c>
      <c r="M43" s="49">
        <f t="shared" si="1"/>
        <v>-0.17480000000000473</v>
      </c>
      <c r="N43" s="48">
        <v>436.99</v>
      </c>
      <c r="O43" s="48">
        <f t="shared" si="10"/>
        <v>0</v>
      </c>
      <c r="P43" s="49"/>
      <c r="Q43" s="49"/>
      <c r="R43" s="49"/>
      <c r="S43" s="50"/>
    </row>
    <row r="44" spans="1:19" ht="12.75" customHeight="1" x14ac:dyDescent="0.2">
      <c r="A44" s="48" t="s">
        <v>910</v>
      </c>
      <c r="B44" s="48">
        <v>509.99</v>
      </c>
      <c r="C44" s="49">
        <f t="shared" si="8"/>
        <v>415.25</v>
      </c>
      <c r="D44" s="48"/>
      <c r="E44" s="49">
        <f>'Filter Cost'!F63</f>
        <v>173.5</v>
      </c>
      <c r="F44" s="48">
        <v>55</v>
      </c>
      <c r="G44" s="49">
        <f>F44*G4</f>
        <v>233.75</v>
      </c>
      <c r="H44" s="49">
        <v>8</v>
      </c>
      <c r="I44" s="55">
        <f t="shared" si="3"/>
        <v>94.740000000000009</v>
      </c>
      <c r="J44" s="56">
        <f t="shared" si="9"/>
        <v>0.81423165160101174</v>
      </c>
      <c r="K44" s="56">
        <f t="shared" si="0"/>
        <v>0.18576834839898826</v>
      </c>
      <c r="L44" s="49">
        <v>87.5</v>
      </c>
      <c r="M44" s="49">
        <f t="shared" si="1"/>
        <v>7.2400000000000091</v>
      </c>
      <c r="N44" s="48">
        <v>494.99</v>
      </c>
      <c r="O44" s="48">
        <f t="shared" si="10"/>
        <v>15</v>
      </c>
      <c r="P44" s="49"/>
      <c r="Q44" s="49"/>
      <c r="R44" s="49"/>
      <c r="S44" s="50"/>
    </row>
    <row r="45" spans="1:19" ht="12.75" customHeight="1" x14ac:dyDescent="0.2">
      <c r="A45" s="48" t="s">
        <v>656</v>
      </c>
      <c r="B45" s="48">
        <v>317.99</v>
      </c>
      <c r="C45" s="49">
        <f t="shared" si="8"/>
        <v>219.88400000000001</v>
      </c>
      <c r="D45" s="48"/>
      <c r="E45" s="49">
        <f>'Filter Cost'!F65</f>
        <v>50.384</v>
      </c>
      <c r="F45" s="48">
        <v>38</v>
      </c>
      <c r="G45" s="49">
        <f>F45*G4</f>
        <v>161.5</v>
      </c>
      <c r="H45" s="49">
        <v>8</v>
      </c>
      <c r="I45" s="55">
        <f t="shared" si="3"/>
        <v>98.105999999999995</v>
      </c>
      <c r="J45" s="56">
        <f t="shared" si="9"/>
        <v>0.69148086417811883</v>
      </c>
      <c r="K45" s="56">
        <f t="shared" si="0"/>
        <v>0.30851913582188117</v>
      </c>
      <c r="L45" s="49">
        <v>98.22</v>
      </c>
      <c r="M45" s="49">
        <f t="shared" si="1"/>
        <v>-0.11400000000000432</v>
      </c>
      <c r="N45" s="48">
        <v>317.99</v>
      </c>
      <c r="O45" s="48">
        <f t="shared" si="10"/>
        <v>0</v>
      </c>
      <c r="P45" s="49"/>
      <c r="Q45" s="49"/>
      <c r="R45" s="49"/>
      <c r="S45" s="50"/>
    </row>
    <row r="46" spans="1:19" ht="12.75" customHeight="1" x14ac:dyDescent="0.2">
      <c r="A46" s="48" t="s">
        <v>657</v>
      </c>
      <c r="B46" s="48">
        <v>377.99</v>
      </c>
      <c r="C46" s="49">
        <f t="shared" si="8"/>
        <v>279.38400000000001</v>
      </c>
      <c r="D46" s="48"/>
      <c r="E46" s="49">
        <f>'Filter Cost'!F65</f>
        <v>50.384</v>
      </c>
      <c r="F46" s="48">
        <v>52</v>
      </c>
      <c r="G46" s="49">
        <f>F46*G4</f>
        <v>221</v>
      </c>
      <c r="H46" s="49">
        <v>8</v>
      </c>
      <c r="I46" s="55">
        <f t="shared" si="3"/>
        <v>98.605999999999995</v>
      </c>
      <c r="J46" s="56">
        <f t="shared" si="9"/>
        <v>0.73913066483240297</v>
      </c>
      <c r="K46" s="56">
        <f t="shared" si="0"/>
        <v>0.26086933516759703</v>
      </c>
      <c r="L46" s="49">
        <v>98.72</v>
      </c>
      <c r="M46" s="49">
        <f t="shared" si="1"/>
        <v>-0.11400000000000432</v>
      </c>
      <c r="N46" s="48">
        <v>377.99</v>
      </c>
      <c r="O46" s="48">
        <f t="shared" si="10"/>
        <v>0</v>
      </c>
      <c r="P46" s="49"/>
      <c r="Q46" s="49"/>
      <c r="R46" s="49"/>
      <c r="S46" s="50"/>
    </row>
    <row r="47" spans="1:19" ht="12.75" customHeight="1" x14ac:dyDescent="0.2">
      <c r="A47" s="48" t="s">
        <v>658</v>
      </c>
      <c r="B47" s="48">
        <v>426.99</v>
      </c>
      <c r="C47" s="49">
        <f t="shared" si="8"/>
        <v>330.89</v>
      </c>
      <c r="D47" s="48"/>
      <c r="E47" s="49">
        <f>'Filter Cost'!F67</f>
        <v>161.38999999999999</v>
      </c>
      <c r="F47" s="48">
        <v>38</v>
      </c>
      <c r="G47" s="49">
        <f>F47*G4</f>
        <v>161.5</v>
      </c>
      <c r="H47" s="49">
        <v>8</v>
      </c>
      <c r="I47" s="55">
        <f t="shared" si="3"/>
        <v>96.100000000000023</v>
      </c>
      <c r="J47" s="56">
        <f t="shared" si="9"/>
        <v>0.77493618117520313</v>
      </c>
      <c r="K47" s="56">
        <f t="shared" si="0"/>
        <v>0.22506381882479687</v>
      </c>
      <c r="L47" s="49">
        <v>96.1</v>
      </c>
      <c r="M47" s="49">
        <f t="shared" si="1"/>
        <v>0</v>
      </c>
      <c r="N47" s="48">
        <v>426.99</v>
      </c>
      <c r="O47" s="48">
        <f t="shared" si="10"/>
        <v>0</v>
      </c>
      <c r="P47" s="49"/>
      <c r="Q47" s="49"/>
      <c r="R47" s="49"/>
      <c r="S47" s="50"/>
    </row>
    <row r="48" spans="1:19" ht="12.75" customHeight="1" x14ac:dyDescent="0.2">
      <c r="A48" s="48" t="s">
        <v>659</v>
      </c>
      <c r="B48" s="48">
        <v>489.99</v>
      </c>
      <c r="C48" s="49">
        <f t="shared" si="8"/>
        <v>390.39</v>
      </c>
      <c r="D48" s="48"/>
      <c r="E48" s="49">
        <f>'Filter Cost'!F67</f>
        <v>161.38999999999999</v>
      </c>
      <c r="F48" s="48">
        <v>52</v>
      </c>
      <c r="G48" s="49">
        <f>F48*G4</f>
        <v>221</v>
      </c>
      <c r="H48" s="49">
        <v>8</v>
      </c>
      <c r="I48" s="55">
        <f t="shared" si="3"/>
        <v>99.600000000000023</v>
      </c>
      <c r="J48" s="56">
        <f t="shared" si="9"/>
        <v>0.79673054552133715</v>
      </c>
      <c r="K48" s="56">
        <f t="shared" si="0"/>
        <v>0.20326945447866285</v>
      </c>
      <c r="L48" s="49">
        <v>99.6</v>
      </c>
      <c r="M48" s="49">
        <f t="shared" si="1"/>
        <v>0</v>
      </c>
      <c r="N48" s="48">
        <v>489.99</v>
      </c>
      <c r="O48" s="48">
        <f t="shared" si="10"/>
        <v>0</v>
      </c>
      <c r="P48" s="49"/>
      <c r="Q48" s="49"/>
      <c r="R48" s="49"/>
      <c r="S48" s="50"/>
    </row>
    <row r="49" spans="1:19" ht="12.75" customHeight="1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9"/>
      <c r="M49" s="49"/>
      <c r="N49" s="48"/>
      <c r="O49" s="48"/>
      <c r="P49" s="49"/>
      <c r="Q49" s="49"/>
      <c r="R49" s="49"/>
      <c r="S49" s="50"/>
    </row>
    <row r="50" spans="1:19" ht="12.75" customHeight="1" x14ac:dyDescent="0.2">
      <c r="A50" s="48" t="s">
        <v>689</v>
      </c>
      <c r="B50" s="163">
        <v>435.99</v>
      </c>
      <c r="C50" s="52">
        <f t="shared" si="8"/>
        <v>341.18</v>
      </c>
      <c r="D50" s="48"/>
      <c r="E50" s="52">
        <f>'Filter Cost'!F69</f>
        <v>222.68</v>
      </c>
      <c r="F50" s="48">
        <v>26</v>
      </c>
      <c r="G50" s="49">
        <f>F50*G4</f>
        <v>110.5</v>
      </c>
      <c r="H50" s="49">
        <v>8</v>
      </c>
      <c r="I50" s="55">
        <f t="shared" si="3"/>
        <v>94.81</v>
      </c>
      <c r="J50" s="56">
        <f t="shared" si="9"/>
        <v>0.78254088396522858</v>
      </c>
      <c r="K50" s="56">
        <f t="shared" si="0"/>
        <v>0.21745911603477142</v>
      </c>
      <c r="L50" s="49">
        <v>95.31</v>
      </c>
      <c r="M50" s="49">
        <f t="shared" si="1"/>
        <v>-0.5</v>
      </c>
      <c r="N50" s="48">
        <v>352.99</v>
      </c>
      <c r="O50" s="48">
        <f>B50-N50</f>
        <v>83</v>
      </c>
      <c r="P50" s="52" t="s">
        <v>1271</v>
      </c>
      <c r="Q50" s="52"/>
      <c r="R50" s="49"/>
      <c r="S50" s="50"/>
    </row>
    <row r="51" spans="1:19" ht="12.75" customHeight="1" x14ac:dyDescent="0.2">
      <c r="A51" s="48" t="s">
        <v>690</v>
      </c>
      <c r="B51" s="163">
        <v>356.99</v>
      </c>
      <c r="C51" s="52">
        <f>E51+G51+H51</f>
        <v>263.67599999999999</v>
      </c>
      <c r="D51" s="48"/>
      <c r="E51" s="52">
        <f>'Filter Cost'!F71</f>
        <v>145.17599999999999</v>
      </c>
      <c r="F51" s="48">
        <v>26</v>
      </c>
      <c r="G51" s="49">
        <f>F51*G4</f>
        <v>110.5</v>
      </c>
      <c r="H51" s="49">
        <v>8</v>
      </c>
      <c r="I51" s="55">
        <f t="shared" si="3"/>
        <v>93.314000000000021</v>
      </c>
      <c r="J51" s="56">
        <f t="shared" si="9"/>
        <v>0.73860892461973715</v>
      </c>
      <c r="K51" s="56">
        <f t="shared" si="0"/>
        <v>0.26139107538026285</v>
      </c>
      <c r="L51" s="49">
        <v>94.25</v>
      </c>
      <c r="M51" s="49">
        <f t="shared" si="1"/>
        <v>-0.93599999999997863</v>
      </c>
      <c r="N51" s="48">
        <v>356.99</v>
      </c>
      <c r="O51" s="48">
        <f>B51-N51</f>
        <v>0</v>
      </c>
      <c r="P51" s="49"/>
      <c r="Q51" s="49"/>
      <c r="R51" s="49"/>
      <c r="S51" s="50"/>
    </row>
    <row r="52" spans="1:19" ht="12.75" customHeight="1" x14ac:dyDescent="0.2">
      <c r="A52" s="48" t="s">
        <v>662</v>
      </c>
      <c r="B52" s="48">
        <v>434.99</v>
      </c>
      <c r="C52" s="49">
        <f t="shared" si="8"/>
        <v>334.19</v>
      </c>
      <c r="D52" s="48"/>
      <c r="E52" s="49">
        <f>'Filter Cost'!F73</f>
        <v>164.69</v>
      </c>
      <c r="F52" s="48">
        <v>38</v>
      </c>
      <c r="G52" s="49">
        <f>F52*G4</f>
        <v>161.5</v>
      </c>
      <c r="H52" s="49">
        <v>8</v>
      </c>
      <c r="I52" s="55">
        <f t="shared" si="3"/>
        <v>100.80000000000001</v>
      </c>
      <c r="J52" s="56">
        <f t="shared" si="9"/>
        <v>0.76827053495482656</v>
      </c>
      <c r="K52" s="56">
        <f t="shared" si="0"/>
        <v>0.23172946504517344</v>
      </c>
      <c r="L52" s="49">
        <v>100.8</v>
      </c>
      <c r="M52" s="49">
        <f t="shared" si="1"/>
        <v>0</v>
      </c>
      <c r="N52" s="48">
        <v>434.99</v>
      </c>
      <c r="O52" s="48">
        <f>B52-N52</f>
        <v>0</v>
      </c>
      <c r="P52" s="49"/>
      <c r="Q52" s="49"/>
      <c r="R52" s="49"/>
      <c r="S52" s="50"/>
    </row>
    <row r="53" spans="1:19" ht="12.75" customHeight="1" x14ac:dyDescent="0.2">
      <c r="A53" s="48" t="s">
        <v>663</v>
      </c>
      <c r="B53" s="48">
        <v>356.99</v>
      </c>
      <c r="C53" s="49">
        <f t="shared" si="8"/>
        <v>258.3032</v>
      </c>
      <c r="D53" s="48"/>
      <c r="E53" s="49">
        <f>'Filter Cost'!F75</f>
        <v>88.80319999999999</v>
      </c>
      <c r="F53" s="48">
        <v>38</v>
      </c>
      <c r="G53" s="49">
        <f>F53*G4</f>
        <v>161.5</v>
      </c>
      <c r="H53" s="49">
        <v>8</v>
      </c>
      <c r="I53" s="55">
        <f t="shared" si="3"/>
        <v>98.686800000000005</v>
      </c>
      <c r="J53" s="56">
        <f t="shared" si="9"/>
        <v>0.72355864309924645</v>
      </c>
      <c r="K53" s="56">
        <f t="shared" si="0"/>
        <v>0.27644135690075355</v>
      </c>
      <c r="L53" s="49">
        <v>94.44</v>
      </c>
      <c r="M53" s="49">
        <f t="shared" si="1"/>
        <v>4.2468000000000075</v>
      </c>
      <c r="N53" s="48">
        <v>351.99</v>
      </c>
      <c r="O53" s="48">
        <f>B53-N53</f>
        <v>5</v>
      </c>
      <c r="P53" s="49"/>
      <c r="Q53" s="49"/>
      <c r="R53" s="49"/>
      <c r="S53" s="50"/>
    </row>
    <row r="54" spans="1:19" ht="12.75" customHeight="1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9"/>
      <c r="M54" s="49"/>
      <c r="N54" s="48"/>
      <c r="O54" s="48"/>
      <c r="P54" s="49"/>
      <c r="Q54" s="49"/>
      <c r="R54" s="49"/>
      <c r="S54" s="50"/>
    </row>
    <row r="55" spans="1:19" ht="12.75" customHeight="1" x14ac:dyDescent="0.2">
      <c r="A55" s="48" t="s">
        <v>665</v>
      </c>
      <c r="B55" s="48">
        <v>364.99</v>
      </c>
      <c r="C55" s="49">
        <f t="shared" ref="C55:C60" si="11">E55+G55+H55</f>
        <v>257.76</v>
      </c>
      <c r="D55" s="48"/>
      <c r="E55" s="49">
        <f>'Filter Cost'!F77</f>
        <v>50.010000000000005</v>
      </c>
      <c r="F55" s="48">
        <v>47</v>
      </c>
      <c r="G55" s="49">
        <f>F55*G4</f>
        <v>199.75</v>
      </c>
      <c r="H55" s="49">
        <v>8</v>
      </c>
      <c r="I55" s="55">
        <f t="shared" si="3"/>
        <v>107.23000000000002</v>
      </c>
      <c r="J55" s="56">
        <f t="shared" si="9"/>
        <v>0.70621112907202932</v>
      </c>
      <c r="K55" s="56">
        <f t="shared" si="0"/>
        <v>0.29378887092797068</v>
      </c>
      <c r="L55" s="49">
        <v>107.23</v>
      </c>
      <c r="M55" s="49">
        <f t="shared" si="1"/>
        <v>0</v>
      </c>
      <c r="N55" s="48">
        <v>364.99</v>
      </c>
      <c r="O55" s="48">
        <f t="shared" ref="O55:O60" si="12">B55-N55</f>
        <v>0</v>
      </c>
      <c r="P55" s="49"/>
      <c r="Q55" s="49"/>
      <c r="R55" s="49"/>
      <c r="S55" s="50"/>
    </row>
    <row r="56" spans="1:19" ht="12.75" customHeight="1" x14ac:dyDescent="0.2">
      <c r="A56" s="48" t="s">
        <v>666</v>
      </c>
      <c r="B56" s="48">
        <v>342.99</v>
      </c>
      <c r="C56" s="49">
        <f t="shared" si="11"/>
        <v>249.19159999999999</v>
      </c>
      <c r="D56" s="48"/>
      <c r="E56" s="49">
        <f>'Filter Cost'!F79</f>
        <v>41.441600000000001</v>
      </c>
      <c r="F56" s="48">
        <v>47</v>
      </c>
      <c r="G56" s="49">
        <f>F56*G4</f>
        <v>199.75</v>
      </c>
      <c r="H56" s="49">
        <v>8</v>
      </c>
      <c r="I56" s="55">
        <f t="shared" si="3"/>
        <v>93.798400000000015</v>
      </c>
      <c r="J56" s="56">
        <f t="shared" si="9"/>
        <v>0.72652730400303211</v>
      </c>
      <c r="K56" s="56">
        <f t="shared" si="0"/>
        <v>0.27347269599696789</v>
      </c>
      <c r="L56" s="49">
        <v>94.06</v>
      </c>
      <c r="M56" s="49">
        <f t="shared" si="1"/>
        <v>-0.26159999999998718</v>
      </c>
      <c r="N56" s="48">
        <v>342.99</v>
      </c>
      <c r="O56" s="48">
        <f t="shared" si="12"/>
        <v>0</v>
      </c>
      <c r="P56" s="49"/>
      <c r="Q56" s="49"/>
      <c r="R56" s="49"/>
      <c r="S56" s="50"/>
    </row>
    <row r="57" spans="1:19" ht="12.75" customHeight="1" x14ac:dyDescent="0.2">
      <c r="A57" s="48" t="s">
        <v>667</v>
      </c>
      <c r="B57" s="48">
        <v>279.99</v>
      </c>
      <c r="C57" s="49">
        <f t="shared" si="11"/>
        <v>166.05</v>
      </c>
      <c r="D57" s="48"/>
      <c r="E57" s="49">
        <f>'Filter Cost'!F81</f>
        <v>47.55</v>
      </c>
      <c r="F57" s="48">
        <v>26</v>
      </c>
      <c r="G57" s="49">
        <f>F57*G4</f>
        <v>110.5</v>
      </c>
      <c r="H57" s="49">
        <v>8</v>
      </c>
      <c r="I57" s="55">
        <f t="shared" si="3"/>
        <v>113.94</v>
      </c>
      <c r="J57" s="56">
        <f t="shared" si="9"/>
        <v>0.59305689488910318</v>
      </c>
      <c r="K57" s="56">
        <f t="shared" si="0"/>
        <v>0.40694310511089682</v>
      </c>
      <c r="L57" s="49">
        <v>113.94</v>
      </c>
      <c r="M57" s="49">
        <f t="shared" si="1"/>
        <v>0</v>
      </c>
      <c r="N57" s="48">
        <v>279.99</v>
      </c>
      <c r="O57" s="48">
        <f t="shared" si="12"/>
        <v>0</v>
      </c>
      <c r="P57" s="49"/>
      <c r="Q57" s="49"/>
      <c r="R57" s="49"/>
      <c r="S57" s="50"/>
    </row>
    <row r="58" spans="1:19" ht="12.75" customHeight="1" x14ac:dyDescent="0.2">
      <c r="A58" s="48" t="s">
        <v>668</v>
      </c>
      <c r="B58" s="48">
        <v>241.99</v>
      </c>
      <c r="C58" s="49">
        <f t="shared" si="11"/>
        <v>151.976</v>
      </c>
      <c r="D58" s="48"/>
      <c r="E58" s="49">
        <f>'Filter Cost'!F83</f>
        <v>33.475999999999999</v>
      </c>
      <c r="F58" s="48">
        <v>26</v>
      </c>
      <c r="G58" s="49">
        <f>F58*G4</f>
        <v>110.5</v>
      </c>
      <c r="H58" s="49">
        <v>8</v>
      </c>
      <c r="I58" s="55">
        <f t="shared" si="3"/>
        <v>90.01400000000001</v>
      </c>
      <c r="J58" s="56">
        <f t="shared" si="9"/>
        <v>0.62802595148559859</v>
      </c>
      <c r="K58" s="56">
        <f t="shared" si="0"/>
        <v>0.37197404851440141</v>
      </c>
      <c r="L58" s="49">
        <v>90.22</v>
      </c>
      <c r="M58" s="49">
        <f t="shared" si="1"/>
        <v>-0.20599999999998886</v>
      </c>
      <c r="N58" s="48">
        <v>241.99</v>
      </c>
      <c r="O58" s="48">
        <f t="shared" si="12"/>
        <v>0</v>
      </c>
      <c r="P58" s="49"/>
      <c r="Q58" s="49"/>
      <c r="R58" s="49"/>
      <c r="S58" s="50"/>
    </row>
    <row r="59" spans="1:19" ht="12.75" customHeight="1" x14ac:dyDescent="0.2">
      <c r="A59" s="48" t="s">
        <v>669</v>
      </c>
      <c r="B59" s="48">
        <v>219.99</v>
      </c>
      <c r="C59" s="49">
        <f t="shared" si="11"/>
        <v>110</v>
      </c>
      <c r="D59" s="48"/>
      <c r="E59" s="49">
        <f>'Filter Cost'!F85</f>
        <v>0</v>
      </c>
      <c r="F59" s="48">
        <v>24</v>
      </c>
      <c r="G59" s="49">
        <f>F59*G4</f>
        <v>102</v>
      </c>
      <c r="H59" s="49">
        <v>8</v>
      </c>
      <c r="I59" s="55">
        <f t="shared" si="3"/>
        <v>109.99000000000001</v>
      </c>
      <c r="J59" s="56">
        <f t="shared" si="9"/>
        <v>0.50002272830583205</v>
      </c>
      <c r="K59" s="56">
        <f t="shared" si="0"/>
        <v>0.49997727169416795</v>
      </c>
      <c r="L59" s="49">
        <v>211.99</v>
      </c>
      <c r="M59" s="49">
        <f t="shared" si="1"/>
        <v>-102</v>
      </c>
      <c r="N59" s="48">
        <v>219.99</v>
      </c>
      <c r="O59" s="48">
        <f t="shared" si="12"/>
        <v>0</v>
      </c>
      <c r="P59" s="49"/>
      <c r="Q59" s="49"/>
      <c r="R59" s="49"/>
      <c r="S59" s="50"/>
    </row>
    <row r="60" spans="1:19" ht="12.75" customHeight="1" x14ac:dyDescent="0.2">
      <c r="A60" s="48" t="s">
        <v>691</v>
      </c>
      <c r="B60" s="48">
        <v>229.99</v>
      </c>
      <c r="C60" s="49">
        <f t="shared" si="11"/>
        <v>136.49</v>
      </c>
      <c r="D60" s="48"/>
      <c r="E60" s="49">
        <f>'Filter Cost'!F87</f>
        <v>73.240000000000009</v>
      </c>
      <c r="F60" s="48">
        <v>13</v>
      </c>
      <c r="G60" s="49">
        <f>F60*G4</f>
        <v>55.25</v>
      </c>
      <c r="H60" s="49">
        <v>8</v>
      </c>
      <c r="I60" s="55">
        <f t="shared" si="3"/>
        <v>93.5</v>
      </c>
      <c r="J60" s="56">
        <f t="shared" si="9"/>
        <v>0.59346058524283662</v>
      </c>
      <c r="K60" s="56">
        <f t="shared" si="0"/>
        <v>0.40653941475716338</v>
      </c>
      <c r="L60" s="49">
        <v>93.5</v>
      </c>
      <c r="M60" s="49">
        <f t="shared" si="1"/>
        <v>0</v>
      </c>
      <c r="N60" s="48">
        <v>229.99</v>
      </c>
      <c r="O60" s="48">
        <f t="shared" si="12"/>
        <v>0</v>
      </c>
      <c r="P60" s="49"/>
      <c r="Q60" s="49"/>
      <c r="R60" s="49"/>
      <c r="S60" s="50"/>
    </row>
    <row r="61" spans="1:19" ht="12.75" customHeight="1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9"/>
      <c r="M61" s="49"/>
      <c r="N61" s="48"/>
      <c r="O61" s="48"/>
      <c r="P61" s="49"/>
      <c r="Q61" s="49"/>
      <c r="R61" s="49"/>
      <c r="S61" s="50"/>
    </row>
    <row r="62" spans="1:19" ht="12.75" customHeight="1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9"/>
      <c r="M62" s="49"/>
      <c r="N62" s="48"/>
      <c r="O62" s="48"/>
      <c r="P62" s="49"/>
      <c r="Q62" s="49"/>
      <c r="R62" s="49"/>
      <c r="S62" s="50"/>
    </row>
    <row r="63" spans="1:19" ht="12.75" customHeight="1" x14ac:dyDescent="0.2">
      <c r="A63" s="48" t="s">
        <v>673</v>
      </c>
      <c r="B63" s="48">
        <v>246.99</v>
      </c>
      <c r="C63" s="49">
        <f>E63+G63+H63</f>
        <v>156.5264</v>
      </c>
      <c r="D63" s="48"/>
      <c r="E63" s="49">
        <f>'Filter Cost'!F91</f>
        <v>38.026400000000002</v>
      </c>
      <c r="F63" s="48">
        <v>26</v>
      </c>
      <c r="G63" s="49">
        <f>F63*G4</f>
        <v>110.5</v>
      </c>
      <c r="H63" s="49">
        <v>8</v>
      </c>
      <c r="I63" s="55">
        <f t="shared" si="3"/>
        <v>90.463600000000014</v>
      </c>
      <c r="J63" s="56">
        <f t="shared" si="9"/>
        <v>0.63373577877646869</v>
      </c>
      <c r="K63" s="56">
        <f t="shared" si="0"/>
        <v>0.36626422122353131</v>
      </c>
      <c r="L63" s="49">
        <v>90.63</v>
      </c>
      <c r="M63" s="49">
        <f t="shared" si="1"/>
        <v>-0.16639999999998167</v>
      </c>
      <c r="N63" s="48">
        <v>246.99</v>
      </c>
      <c r="O63" s="48">
        <f>B63-N63</f>
        <v>0</v>
      </c>
      <c r="P63" s="49"/>
      <c r="Q63" s="49"/>
      <c r="R63" s="49"/>
      <c r="S63" s="50"/>
    </row>
    <row r="64" spans="1:19" ht="12.75" customHeight="1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9"/>
      <c r="M64" s="49"/>
      <c r="N64" s="48"/>
      <c r="O64" s="48"/>
      <c r="P64" s="49"/>
      <c r="Q64" s="49"/>
      <c r="R64" s="49"/>
      <c r="S64" s="50"/>
    </row>
    <row r="65" spans="1:19" ht="12.75" customHeight="1" x14ac:dyDescent="0.2">
      <c r="A65" s="48" t="s">
        <v>674</v>
      </c>
      <c r="B65" s="466">
        <v>458.99</v>
      </c>
      <c r="C65" s="52">
        <f>E65+G65+H65</f>
        <v>365.55</v>
      </c>
      <c r="D65" s="48"/>
      <c r="E65" s="49">
        <f>'Filter Cost'!F93</f>
        <v>162.05000000000001</v>
      </c>
      <c r="F65" s="48">
        <v>46</v>
      </c>
      <c r="G65" s="49">
        <f>F65*G4</f>
        <v>195.5</v>
      </c>
      <c r="H65" s="49">
        <v>8</v>
      </c>
      <c r="I65" s="55">
        <f t="shared" si="3"/>
        <v>93.44</v>
      </c>
      <c r="J65" s="56">
        <f t="shared" si="9"/>
        <v>0.79642258001263644</v>
      </c>
      <c r="K65" s="56">
        <f t="shared" si="0"/>
        <v>0.20357741998736356</v>
      </c>
      <c r="L65" s="49">
        <v>83.44</v>
      </c>
      <c r="M65" s="49">
        <f t="shared" si="1"/>
        <v>10</v>
      </c>
      <c r="N65" s="48">
        <v>448.99</v>
      </c>
      <c r="O65" s="48">
        <f>B65-N65</f>
        <v>10</v>
      </c>
      <c r="P65" s="49"/>
      <c r="Q65" s="49"/>
      <c r="R65" s="49"/>
      <c r="S65" s="50"/>
    </row>
    <row r="66" spans="1:19" ht="12.75" customHeight="1" x14ac:dyDescent="0.2">
      <c r="A66" s="48" t="s">
        <v>675</v>
      </c>
      <c r="B66" s="48">
        <v>379.99</v>
      </c>
      <c r="C66" s="49">
        <f>E66+G66+H66</f>
        <v>283.34719999999999</v>
      </c>
      <c r="D66" s="48"/>
      <c r="E66" s="49">
        <f>'Filter Cost'!F95</f>
        <v>79.847200000000001</v>
      </c>
      <c r="F66" s="48">
        <v>46</v>
      </c>
      <c r="G66" s="49">
        <f>F66*G4</f>
        <v>195.5</v>
      </c>
      <c r="H66" s="49">
        <v>8</v>
      </c>
      <c r="I66" s="55">
        <f t="shared" si="3"/>
        <v>96.642800000000022</v>
      </c>
      <c r="J66" s="56">
        <f t="shared" si="9"/>
        <v>0.74567014921445296</v>
      </c>
      <c r="K66" s="56">
        <f t="shared" si="0"/>
        <v>0.25432985078554704</v>
      </c>
      <c r="L66" s="49">
        <v>97.06</v>
      </c>
      <c r="M66" s="49">
        <f t="shared" si="1"/>
        <v>-0.41719999999997981</v>
      </c>
      <c r="N66" s="48">
        <v>379.99</v>
      </c>
      <c r="O66" s="48">
        <f>B66-N66</f>
        <v>0</v>
      </c>
      <c r="P66" s="49"/>
      <c r="Q66" s="49"/>
      <c r="R66" s="49"/>
      <c r="S66" s="50"/>
    </row>
    <row r="67" spans="1:19" ht="12.75" customHeight="1" x14ac:dyDescent="0.2">
      <c r="A67" s="48" t="s">
        <v>676</v>
      </c>
      <c r="B67" s="48">
        <v>229.99</v>
      </c>
      <c r="C67" s="49">
        <f>E67+G67+H67</f>
        <v>136.68799999999999</v>
      </c>
      <c r="D67" s="48"/>
      <c r="E67" s="49">
        <f>'Filter Cost'!F97</f>
        <v>26.688000000000002</v>
      </c>
      <c r="F67" s="48">
        <v>24</v>
      </c>
      <c r="G67" s="49">
        <f>F67*G4</f>
        <v>102</v>
      </c>
      <c r="H67" s="49">
        <v>8</v>
      </c>
      <c r="I67" s="55">
        <f t="shared" si="3"/>
        <v>93.302000000000021</v>
      </c>
      <c r="J67" s="56">
        <f t="shared" si="9"/>
        <v>0.59432149223879294</v>
      </c>
      <c r="K67" s="56">
        <f t="shared" si="0"/>
        <v>0.40567850776120706</v>
      </c>
      <c r="L67" s="49">
        <v>93.32</v>
      </c>
      <c r="M67" s="49">
        <f t="shared" si="1"/>
        <v>-1.799999999997226E-2</v>
      </c>
      <c r="N67" s="48">
        <v>229.99</v>
      </c>
      <c r="O67" s="48">
        <f>B67-N67</f>
        <v>0</v>
      </c>
      <c r="P67" s="49"/>
      <c r="Q67" s="49"/>
      <c r="R67" s="49"/>
      <c r="S67" s="50"/>
    </row>
    <row r="68" spans="1:19" ht="12.75" customHeight="1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9"/>
      <c r="M68" s="49"/>
      <c r="N68" s="48"/>
      <c r="O68" s="48"/>
      <c r="P68" s="49"/>
      <c r="Q68" s="49"/>
      <c r="R68" s="49"/>
      <c r="S68" s="50"/>
    </row>
    <row r="69" spans="1:19" ht="12.75" customHeight="1" x14ac:dyDescent="0.2">
      <c r="A69" s="48" t="s">
        <v>677</v>
      </c>
      <c r="B69" s="48">
        <v>345.99</v>
      </c>
      <c r="C69" s="49">
        <f t="shared" ref="C69:C74" si="13">E69+G69+H69</f>
        <v>239.10480000000001</v>
      </c>
      <c r="D69" s="48"/>
      <c r="E69" s="49">
        <f>'Filter Cost'!F99</f>
        <v>86.604800000000012</v>
      </c>
      <c r="F69" s="48">
        <v>34</v>
      </c>
      <c r="G69" s="49">
        <f>F69*G4</f>
        <v>144.5</v>
      </c>
      <c r="H69" s="49">
        <v>8</v>
      </c>
      <c r="I69" s="55">
        <f t="shared" si="3"/>
        <v>106.8852</v>
      </c>
      <c r="J69" s="56">
        <f t="shared" si="9"/>
        <v>0.69107430850602625</v>
      </c>
      <c r="K69" s="56">
        <f t="shared" si="0"/>
        <v>0.30892569149397375</v>
      </c>
      <c r="L69" s="49">
        <v>107.06</v>
      </c>
      <c r="M69" s="49">
        <f t="shared" si="1"/>
        <v>-0.17480000000000473</v>
      </c>
      <c r="N69" s="48">
        <v>345.99</v>
      </c>
      <c r="O69" s="48">
        <f>B69-N69</f>
        <v>0</v>
      </c>
      <c r="P69" s="49"/>
      <c r="Q69" s="49"/>
      <c r="R69" s="49"/>
      <c r="S69" s="50"/>
    </row>
    <row r="70" spans="1:19" ht="12.75" customHeight="1" x14ac:dyDescent="0.2">
      <c r="A70" s="48" t="s">
        <v>678</v>
      </c>
      <c r="B70" s="48">
        <v>379.99</v>
      </c>
      <c r="C70" s="49">
        <f t="shared" si="13"/>
        <v>273.10480000000001</v>
      </c>
      <c r="D70" s="48"/>
      <c r="E70" s="49">
        <f>'Filter Cost'!F99</f>
        <v>86.604800000000012</v>
      </c>
      <c r="F70" s="48">
        <v>42</v>
      </c>
      <c r="G70" s="49">
        <f>F70*G4</f>
        <v>178.5</v>
      </c>
      <c r="H70" s="49">
        <v>8</v>
      </c>
      <c r="I70" s="55">
        <f t="shared" si="3"/>
        <v>106.8852</v>
      </c>
      <c r="J70" s="56">
        <f t="shared" si="9"/>
        <v>0.71871575567778101</v>
      </c>
      <c r="K70" s="56">
        <f t="shared" si="0"/>
        <v>0.28128424432221899</v>
      </c>
      <c r="L70" s="49">
        <v>107.06</v>
      </c>
      <c r="M70" s="49">
        <f t="shared" si="1"/>
        <v>-0.17480000000000473</v>
      </c>
      <c r="N70" s="48">
        <v>379.99</v>
      </c>
      <c r="O70" s="48">
        <f>B70-N70</f>
        <v>0</v>
      </c>
      <c r="P70" s="49"/>
      <c r="Q70" s="49"/>
      <c r="R70" s="49"/>
      <c r="S70" s="50"/>
    </row>
    <row r="71" spans="1:19" ht="12.75" customHeight="1" x14ac:dyDescent="0.2">
      <c r="A71" s="48" t="s">
        <v>679</v>
      </c>
      <c r="B71" s="48">
        <v>424.99</v>
      </c>
      <c r="C71" s="49">
        <f t="shared" si="13"/>
        <v>315.60480000000001</v>
      </c>
      <c r="D71" s="48"/>
      <c r="E71" s="49">
        <f>'Filter Cost'!F99</f>
        <v>86.604800000000012</v>
      </c>
      <c r="F71" s="48">
        <v>52</v>
      </c>
      <c r="G71" s="49">
        <f>F71*G4</f>
        <v>221</v>
      </c>
      <c r="H71" s="49">
        <v>8</v>
      </c>
      <c r="I71" s="55">
        <f t="shared" si="3"/>
        <v>109.3852</v>
      </c>
      <c r="J71" s="56">
        <f t="shared" si="9"/>
        <v>0.74261700275300602</v>
      </c>
      <c r="K71" s="56">
        <f t="shared" si="0"/>
        <v>0.25738299724699398</v>
      </c>
      <c r="L71" s="49">
        <v>109.56</v>
      </c>
      <c r="M71" s="49">
        <f t="shared" si="1"/>
        <v>-0.17480000000000473</v>
      </c>
      <c r="N71" s="48">
        <v>424.99</v>
      </c>
      <c r="O71" s="48">
        <f>B71-N71</f>
        <v>0</v>
      </c>
      <c r="P71" s="49"/>
      <c r="Q71" s="49"/>
      <c r="R71" s="49"/>
      <c r="S71" s="50"/>
    </row>
    <row r="72" spans="1:19" ht="12.75" customHeight="1" x14ac:dyDescent="0.2">
      <c r="A72" s="48" t="s">
        <v>680</v>
      </c>
      <c r="B72" s="48">
        <v>414.99</v>
      </c>
      <c r="C72" s="49">
        <f t="shared" si="13"/>
        <v>318.78999999999996</v>
      </c>
      <c r="D72" s="48"/>
      <c r="E72" s="49">
        <f>'Filter Cost'!F101</f>
        <v>166.29</v>
      </c>
      <c r="F72" s="48">
        <v>34</v>
      </c>
      <c r="G72" s="49">
        <f>F72*G4</f>
        <v>144.5</v>
      </c>
      <c r="H72" s="49">
        <v>8</v>
      </c>
      <c r="I72" s="55">
        <f t="shared" si="3"/>
        <v>96.200000000000045</v>
      </c>
      <c r="J72" s="56">
        <f t="shared" si="9"/>
        <v>0.76818718523337903</v>
      </c>
      <c r="K72" s="56">
        <f t="shared" si="0"/>
        <v>0.23181281476662097</v>
      </c>
      <c r="L72" s="49">
        <v>106.65</v>
      </c>
      <c r="M72" s="49">
        <f t="shared" si="1"/>
        <v>-10.44999999999996</v>
      </c>
      <c r="N72" s="48">
        <v>414.99</v>
      </c>
      <c r="O72" s="48">
        <f>B72-N72</f>
        <v>0</v>
      </c>
      <c r="P72" s="49"/>
      <c r="Q72" s="49"/>
      <c r="R72" s="49"/>
      <c r="S72" s="50"/>
    </row>
    <row r="73" spans="1:19" ht="12.75" customHeight="1" x14ac:dyDescent="0.2">
      <c r="A73" s="48" t="s">
        <v>681</v>
      </c>
      <c r="B73" s="48">
        <v>449.99</v>
      </c>
      <c r="C73" s="49">
        <f t="shared" si="13"/>
        <v>352.78999999999996</v>
      </c>
      <c r="D73" s="48"/>
      <c r="E73" s="49">
        <f>'Filter Cost'!F101</f>
        <v>166.29</v>
      </c>
      <c r="F73" s="48">
        <v>42</v>
      </c>
      <c r="G73" s="49">
        <f>F73*G4</f>
        <v>178.5</v>
      </c>
      <c r="H73" s="49">
        <v>8</v>
      </c>
      <c r="I73" s="55">
        <f t="shared" si="3"/>
        <v>97.200000000000045</v>
      </c>
      <c r="J73" s="56">
        <f t="shared" si="9"/>
        <v>0.78399519989333089</v>
      </c>
      <c r="K73" s="56">
        <f t="shared" si="0"/>
        <v>0.21600480010666911</v>
      </c>
      <c r="L73" s="49">
        <v>107.65</v>
      </c>
      <c r="M73" s="49">
        <f t="shared" si="1"/>
        <v>-10.44999999999996</v>
      </c>
      <c r="N73" s="48">
        <v>449.99</v>
      </c>
      <c r="O73" s="48">
        <f>B73-N73</f>
        <v>0</v>
      </c>
      <c r="P73" s="49"/>
      <c r="Q73" s="49"/>
      <c r="R73" s="49"/>
      <c r="S73" s="50"/>
    </row>
    <row r="74" spans="1:19" ht="12.75" customHeight="1" x14ac:dyDescent="0.2">
      <c r="A74" s="48" t="s">
        <v>682</v>
      </c>
      <c r="B74" s="48">
        <v>492.99</v>
      </c>
      <c r="C74" s="49">
        <f t="shared" si="13"/>
        <v>395.28999999999996</v>
      </c>
      <c r="D74" s="48"/>
      <c r="E74" s="49">
        <f>'Filter Cost'!F101</f>
        <v>166.29</v>
      </c>
      <c r="F74" s="48">
        <v>52</v>
      </c>
      <c r="G74" s="49">
        <f>F74*G4</f>
        <v>221</v>
      </c>
      <c r="H74" s="49">
        <v>8</v>
      </c>
      <c r="I74" s="55">
        <f t="shared" si="3"/>
        <v>97.700000000000045</v>
      </c>
      <c r="J74" s="56">
        <f t="shared" si="9"/>
        <v>0.80182153796223044</v>
      </c>
      <c r="K74" s="56">
        <f t="shared" ref="K74" si="14">1-J74</f>
        <v>0.19817846203776956</v>
      </c>
      <c r="L74" s="49">
        <v>108.15</v>
      </c>
      <c r="M74" s="49">
        <f t="shared" ref="M74" si="15">I74-L74</f>
        <v>-10.44999999999996</v>
      </c>
      <c r="N74" s="48">
        <v>492.99</v>
      </c>
      <c r="O74" s="48">
        <f t="shared" ref="O74" si="16">B74-N74</f>
        <v>0</v>
      </c>
      <c r="P74" s="49"/>
      <c r="Q74" s="49"/>
      <c r="R74" s="49"/>
      <c r="S74" s="50"/>
    </row>
    <row r="75" spans="1:19" ht="12.75" customHeight="1" x14ac:dyDescent="0.2">
      <c r="O75" s="48"/>
      <c r="Q75" s="48"/>
      <c r="R75" s="48"/>
    </row>
    <row r="76" spans="1:19" ht="12.75" customHeight="1" x14ac:dyDescent="0.2">
      <c r="K76" s="56">
        <f>SUM(K6:K74)/53</f>
        <v>0.33595551863287493</v>
      </c>
      <c r="O76" s="48"/>
      <c r="R76" s="48"/>
    </row>
    <row r="77" spans="1:19" x14ac:dyDescent="0.2">
      <c r="O77" s="48"/>
      <c r="R77" s="48"/>
    </row>
    <row r="78" spans="1:19" x14ac:dyDescent="0.2">
      <c r="A78" s="48" t="s">
        <v>1161</v>
      </c>
      <c r="B78" s="48">
        <f>B27-75</f>
        <v>227.99</v>
      </c>
      <c r="C78" s="49">
        <v>229.99</v>
      </c>
      <c r="D78" s="50"/>
      <c r="E78" s="48"/>
      <c r="F78" s="50"/>
      <c r="O78" s="48"/>
    </row>
    <row r="79" spans="1:19" x14ac:dyDescent="0.2">
      <c r="A79" s="48" t="s">
        <v>1162</v>
      </c>
      <c r="B79" s="48">
        <f>'T6'!B25-95</f>
        <v>458.27</v>
      </c>
      <c r="C79" s="48">
        <v>485.99</v>
      </c>
      <c r="D79" s="50"/>
      <c r="E79" s="48"/>
      <c r="F79" s="50"/>
      <c r="O79" s="48"/>
    </row>
    <row r="80" spans="1:19" x14ac:dyDescent="0.2">
      <c r="A80" s="48" t="s">
        <v>1163</v>
      </c>
      <c r="B80" s="48">
        <f>B20-70</f>
        <v>308.99</v>
      </c>
      <c r="C80" s="48">
        <v>274.99</v>
      </c>
      <c r="D80" s="50"/>
      <c r="E80" s="48"/>
      <c r="F80" s="50"/>
      <c r="O80" s="48"/>
    </row>
    <row r="81" spans="1:15" x14ac:dyDescent="0.2">
      <c r="A81" s="48"/>
      <c r="B81" s="48"/>
      <c r="C81" s="48"/>
      <c r="D81" s="50"/>
      <c r="E81" s="48"/>
      <c r="F81" s="50"/>
      <c r="O81" s="48"/>
    </row>
    <row r="82" spans="1:15" x14ac:dyDescent="0.2">
      <c r="A82" s="48"/>
      <c r="B82" s="48"/>
      <c r="C82" s="48"/>
      <c r="D82" s="50"/>
      <c r="E82" s="48"/>
      <c r="F82" s="50"/>
      <c r="O82" s="48"/>
    </row>
    <row r="83" spans="1:15" x14ac:dyDescent="0.2">
      <c r="A83" s="48"/>
      <c r="B83" s="48"/>
      <c r="C83" s="48"/>
      <c r="D83" s="50"/>
      <c r="E83" s="48"/>
      <c r="F83" s="50"/>
      <c r="O83" s="48"/>
    </row>
    <row r="84" spans="1:15" x14ac:dyDescent="0.2">
      <c r="A84" s="48"/>
      <c r="B84" s="48"/>
      <c r="C84" s="48"/>
      <c r="D84" s="50"/>
      <c r="E84" s="48"/>
      <c r="F84" s="50"/>
      <c r="O84" s="48"/>
    </row>
    <row r="85" spans="1:15" x14ac:dyDescent="0.2">
      <c r="A85" s="48" t="s">
        <v>1182</v>
      </c>
      <c r="B85" s="48"/>
      <c r="C85" s="48"/>
      <c r="D85" s="50"/>
      <c r="E85" s="48"/>
      <c r="F85" s="50"/>
    </row>
    <row r="86" spans="1:15" x14ac:dyDescent="0.2">
      <c r="A86" s="48" t="s">
        <v>1183</v>
      </c>
      <c r="B86" s="48">
        <v>38.06</v>
      </c>
      <c r="C86" s="49">
        <v>37</v>
      </c>
      <c r="D86" s="50"/>
      <c r="E86" s="48"/>
      <c r="F86" s="50"/>
    </row>
    <row r="87" spans="1:15" x14ac:dyDescent="0.2">
      <c r="A87" s="48" t="s">
        <v>49</v>
      </c>
      <c r="B87" s="48">
        <v>43.12</v>
      </c>
      <c r="C87" s="49">
        <v>19.36</v>
      </c>
      <c r="D87" s="50"/>
      <c r="E87" s="48"/>
      <c r="F87" s="50"/>
    </row>
    <row r="88" spans="1:15" x14ac:dyDescent="0.2">
      <c r="A88" s="48" t="s">
        <v>1186</v>
      </c>
      <c r="B88" s="48">
        <v>50.18</v>
      </c>
      <c r="C88" s="49"/>
      <c r="D88" s="50"/>
      <c r="E88" s="48"/>
      <c r="F88" s="50"/>
    </row>
    <row r="89" spans="1:15" x14ac:dyDescent="0.2">
      <c r="A89" s="48" t="s">
        <v>1187</v>
      </c>
      <c r="B89" s="48">
        <v>62.82</v>
      </c>
      <c r="C89" s="49"/>
      <c r="D89" s="50"/>
      <c r="E89" s="48"/>
      <c r="F89" s="50"/>
    </row>
    <row r="90" spans="1:15" x14ac:dyDescent="0.2">
      <c r="A90" s="48" t="s">
        <v>1184</v>
      </c>
      <c r="B90" s="48">
        <v>3</v>
      </c>
      <c r="C90" s="49">
        <v>3</v>
      </c>
      <c r="D90" s="50"/>
      <c r="E90" s="48"/>
      <c r="F90" s="50"/>
    </row>
    <row r="91" spans="1:15" x14ac:dyDescent="0.2">
      <c r="A91" s="48" t="s">
        <v>1185</v>
      </c>
      <c r="B91" s="48">
        <v>2.64</v>
      </c>
      <c r="C91" s="49">
        <v>2.64</v>
      </c>
      <c r="D91" s="50"/>
      <c r="E91" s="48"/>
      <c r="F91" s="50"/>
    </row>
    <row r="92" spans="1:15" x14ac:dyDescent="0.2">
      <c r="A92" s="48" t="s">
        <v>688</v>
      </c>
      <c r="B92" s="48">
        <v>8</v>
      </c>
      <c r="C92" s="49">
        <v>8</v>
      </c>
      <c r="D92" s="50"/>
      <c r="E92" s="48"/>
      <c r="F92" s="50"/>
    </row>
    <row r="93" spans="1:15" x14ac:dyDescent="0.2">
      <c r="A93" s="48" t="s">
        <v>630</v>
      </c>
      <c r="B93" s="48">
        <v>4.25</v>
      </c>
      <c r="C93" s="49">
        <v>187</v>
      </c>
      <c r="D93" s="50"/>
      <c r="E93" s="48"/>
      <c r="F93" s="50"/>
    </row>
    <row r="94" spans="1:15" x14ac:dyDescent="0.2">
      <c r="A94" s="48"/>
      <c r="B94" s="48"/>
      <c r="C94" s="49"/>
      <c r="D94" s="50"/>
      <c r="E94" s="48"/>
      <c r="F94" s="50"/>
    </row>
    <row r="95" spans="1:15" x14ac:dyDescent="0.2">
      <c r="A95" s="48"/>
      <c r="B95" s="48"/>
      <c r="C95" s="49">
        <f>SUM(C86:C93)</f>
        <v>257</v>
      </c>
      <c r="D95" s="50"/>
      <c r="E95" s="48"/>
      <c r="F95" s="50"/>
    </row>
    <row r="96" spans="1:15" x14ac:dyDescent="0.2">
      <c r="A96" s="48"/>
      <c r="B96" s="48"/>
      <c r="C96" s="48"/>
      <c r="D96" s="50"/>
      <c r="E96" s="48"/>
      <c r="F96" s="50"/>
    </row>
    <row r="97" spans="1:6" x14ac:dyDescent="0.2">
      <c r="A97" s="48" t="s">
        <v>15</v>
      </c>
      <c r="B97" s="48">
        <v>19.59</v>
      </c>
      <c r="C97" s="48"/>
      <c r="D97" s="50"/>
      <c r="E97" s="48"/>
      <c r="F97" s="50"/>
    </row>
    <row r="98" spans="1:6" x14ac:dyDescent="0.2">
      <c r="A98" s="48"/>
      <c r="B98" s="48"/>
      <c r="C98" s="48"/>
      <c r="D98" s="50"/>
      <c r="E98" s="48"/>
      <c r="F98" s="50"/>
    </row>
    <row r="99" spans="1:6" x14ac:dyDescent="0.2">
      <c r="A99" s="48"/>
      <c r="B99" s="48"/>
      <c r="C99" s="48"/>
      <c r="D99" s="50"/>
      <c r="E99" s="48"/>
      <c r="F99" s="50"/>
    </row>
    <row r="100" spans="1:6" x14ac:dyDescent="0.2">
      <c r="A100" s="48"/>
      <c r="B100" s="48"/>
      <c r="C100" s="48"/>
      <c r="D100" s="50"/>
      <c r="E100" s="48"/>
      <c r="F100" s="50"/>
    </row>
    <row r="101" spans="1:6" x14ac:dyDescent="0.2">
      <c r="A101" s="48">
        <v>23658092</v>
      </c>
      <c r="B101" s="48">
        <v>27.93</v>
      </c>
      <c r="C101" s="48"/>
      <c r="D101" s="50"/>
      <c r="E101" s="48"/>
      <c r="F101" s="50"/>
    </row>
    <row r="102" spans="1:6" x14ac:dyDescent="0.2">
      <c r="A102" s="48">
        <v>23658092</v>
      </c>
      <c r="B102" s="48">
        <v>27.93</v>
      </c>
      <c r="C102" s="48"/>
      <c r="D102" s="50"/>
      <c r="E102" s="48"/>
      <c r="F102" s="50"/>
    </row>
    <row r="103" spans="1:6" x14ac:dyDescent="0.2">
      <c r="A103" s="48">
        <v>21707132</v>
      </c>
      <c r="B103" s="48">
        <v>45.24</v>
      </c>
      <c r="C103" s="48"/>
      <c r="D103" s="50"/>
      <c r="E103" s="48"/>
      <c r="F103" s="50"/>
    </row>
    <row r="104" spans="1:6" x14ac:dyDescent="0.2">
      <c r="A104" s="48">
        <v>22480372</v>
      </c>
      <c r="B104" s="48">
        <v>36.57</v>
      </c>
      <c r="C104" s="48"/>
      <c r="D104" s="50"/>
      <c r="E104" s="48"/>
      <c r="F104" s="50"/>
    </row>
    <row r="105" spans="1:6" x14ac:dyDescent="0.2">
      <c r="A105" s="48">
        <v>23920469</v>
      </c>
      <c r="B105" s="48">
        <v>59.23</v>
      </c>
      <c r="C105" s="48"/>
      <c r="D105" s="50"/>
      <c r="E105" s="48"/>
      <c r="F105" s="50"/>
    </row>
    <row r="106" spans="1:6" x14ac:dyDescent="0.2">
      <c r="A106" s="48">
        <v>23151592</v>
      </c>
      <c r="B106" s="48">
        <v>27.58</v>
      </c>
      <c r="C106" s="48"/>
      <c r="D106" s="50"/>
      <c r="F106" s="50"/>
    </row>
    <row r="107" spans="1:6" x14ac:dyDescent="0.2">
      <c r="A107" s="48">
        <v>23151592</v>
      </c>
      <c r="B107" s="48">
        <v>27.58</v>
      </c>
      <c r="C107" s="48"/>
      <c r="D107" s="50"/>
      <c r="F107" s="50"/>
    </row>
    <row r="108" spans="1:6" x14ac:dyDescent="0.2">
      <c r="A108" s="362" t="s">
        <v>1202</v>
      </c>
      <c r="B108" s="49">
        <f>4.3*34</f>
        <v>146.19999999999999</v>
      </c>
      <c r="C108" s="48"/>
      <c r="D108" s="50"/>
      <c r="E108" s="48"/>
      <c r="F108" s="50"/>
    </row>
    <row r="109" spans="1:6" x14ac:dyDescent="0.2">
      <c r="A109" s="362" t="s">
        <v>631</v>
      </c>
      <c r="B109" s="48">
        <v>1.78</v>
      </c>
      <c r="C109" s="48"/>
      <c r="D109" s="50"/>
      <c r="E109" s="48"/>
      <c r="F109" s="50"/>
    </row>
    <row r="110" spans="1:6" x14ac:dyDescent="0.2">
      <c r="A110" s="362" t="s">
        <v>1203</v>
      </c>
      <c r="B110" s="49">
        <v>6</v>
      </c>
      <c r="D110" s="50"/>
      <c r="E110" s="48"/>
      <c r="F110" s="50"/>
    </row>
    <row r="111" spans="1:6" x14ac:dyDescent="0.2">
      <c r="A111" s="362" t="s">
        <v>1204</v>
      </c>
      <c r="B111" s="49">
        <v>4.5</v>
      </c>
      <c r="D111" s="50"/>
      <c r="E111" s="48"/>
      <c r="F111" s="50"/>
    </row>
    <row r="112" spans="1:6" x14ac:dyDescent="0.2">
      <c r="A112" s="362"/>
      <c r="D112" s="50"/>
      <c r="E112" s="48"/>
      <c r="F112" s="50"/>
    </row>
    <row r="113" spans="1:7" x14ac:dyDescent="0.2">
      <c r="A113" s="362" t="s">
        <v>1201</v>
      </c>
      <c r="B113" s="48">
        <v>2.04</v>
      </c>
      <c r="C113" s="48"/>
      <c r="D113" s="50"/>
      <c r="E113" s="48"/>
      <c r="F113" s="50"/>
    </row>
    <row r="114" spans="1:7" x14ac:dyDescent="0.2">
      <c r="A114" s="362" t="s">
        <v>688</v>
      </c>
      <c r="B114" s="49">
        <v>8</v>
      </c>
      <c r="C114" s="48"/>
      <c r="D114" s="50"/>
      <c r="E114" s="48"/>
      <c r="F114" s="50"/>
    </row>
    <row r="115" spans="1:7" x14ac:dyDescent="0.2">
      <c r="A115" s="48"/>
      <c r="B115" s="48"/>
      <c r="C115" s="48"/>
      <c r="D115" s="50"/>
      <c r="E115" s="48"/>
      <c r="F115" s="50"/>
      <c r="G115" s="48">
        <v>439.99</v>
      </c>
    </row>
    <row r="116" spans="1:7" x14ac:dyDescent="0.2">
      <c r="A116" s="48"/>
      <c r="B116" s="48" t="s">
        <v>628</v>
      </c>
      <c r="C116" s="48"/>
      <c r="D116" s="49" t="s">
        <v>1208</v>
      </c>
      <c r="E116" s="48"/>
      <c r="F116" s="50"/>
      <c r="G116" s="49"/>
    </row>
    <row r="117" spans="1:7" x14ac:dyDescent="0.2">
      <c r="A117" s="48" t="s">
        <v>1205</v>
      </c>
      <c r="B117" s="49">
        <f>B101+B102+B103+B104+B108+B109+B110+B113+B114</f>
        <v>301.69</v>
      </c>
      <c r="C117" s="48">
        <v>20</v>
      </c>
      <c r="D117" s="49">
        <f>G115-B117-C117</f>
        <v>118.30000000000001</v>
      </c>
      <c r="E117" s="48"/>
      <c r="F117" s="50"/>
    </row>
    <row r="118" spans="1:7" x14ac:dyDescent="0.2">
      <c r="A118" s="48" t="s">
        <v>1206</v>
      </c>
      <c r="B118" s="49">
        <f>B101+B102+B103+B105+B108+B109+B110+B113+B114</f>
        <v>324.34999999999997</v>
      </c>
      <c r="C118" s="48"/>
      <c r="D118" s="49">
        <f>G115-B118-C118</f>
        <v>115.64000000000004</v>
      </c>
      <c r="E118" s="48"/>
      <c r="F118" s="50"/>
    </row>
    <row r="119" spans="1:7" x14ac:dyDescent="0.2">
      <c r="A119" s="48"/>
      <c r="B119" s="48"/>
      <c r="C119" s="48"/>
      <c r="D119" s="49"/>
      <c r="E119" s="48"/>
      <c r="F119" s="50"/>
    </row>
    <row r="120" spans="1:7" x14ac:dyDescent="0.2">
      <c r="A120" s="48" t="s">
        <v>1207</v>
      </c>
      <c r="B120" s="49">
        <f>B106+B107+B105+B108+B109+B111+B113+B114</f>
        <v>276.90999999999997</v>
      </c>
      <c r="C120" s="48"/>
      <c r="D120" s="49">
        <f>G115-B120-C120</f>
        <v>163.08000000000004</v>
      </c>
      <c r="E120" s="48"/>
      <c r="F120" s="50"/>
    </row>
    <row r="121" spans="1:7" x14ac:dyDescent="0.2">
      <c r="A121" s="48"/>
      <c r="B121" s="48"/>
      <c r="C121" s="48"/>
      <c r="D121" s="49"/>
      <c r="E121" s="48"/>
      <c r="F121" s="50"/>
    </row>
    <row r="122" spans="1:7" x14ac:dyDescent="0.2">
      <c r="A122" s="48"/>
      <c r="B122" s="48"/>
      <c r="C122" s="48"/>
      <c r="D122" s="50"/>
      <c r="E122" s="48"/>
      <c r="F122" s="50"/>
    </row>
    <row r="123" spans="1:7" x14ac:dyDescent="0.2">
      <c r="A123" s="48"/>
      <c r="B123" s="48"/>
      <c r="C123" s="48"/>
      <c r="D123" s="50"/>
      <c r="E123" s="48"/>
      <c r="F123" s="50"/>
    </row>
    <row r="124" spans="1:7" x14ac:dyDescent="0.2">
      <c r="A124" s="48"/>
      <c r="B124" s="48"/>
      <c r="C124" s="48"/>
      <c r="D124" s="50"/>
      <c r="E124" s="48"/>
      <c r="F124" s="50"/>
    </row>
    <row r="125" spans="1:7" x14ac:dyDescent="0.2">
      <c r="A125" s="48"/>
      <c r="B125" s="48"/>
      <c r="C125" s="48"/>
      <c r="D125" s="50"/>
      <c r="E125" s="48"/>
      <c r="F125" s="50"/>
    </row>
    <row r="126" spans="1:7" x14ac:dyDescent="0.2">
      <c r="A126" s="48"/>
      <c r="B126" s="48"/>
      <c r="C126" s="48"/>
      <c r="D126" s="50"/>
      <c r="E126" s="48"/>
      <c r="F126" s="50"/>
    </row>
    <row r="127" spans="1:7" x14ac:dyDescent="0.2">
      <c r="A127" s="48"/>
      <c r="B127" s="48"/>
      <c r="C127" s="48"/>
      <c r="D127" s="50"/>
      <c r="E127" s="48"/>
      <c r="F127" s="50"/>
    </row>
    <row r="128" spans="1:7" x14ac:dyDescent="0.2">
      <c r="A128" s="48"/>
      <c r="B128" s="48"/>
      <c r="C128" s="48"/>
      <c r="D128" s="50"/>
      <c r="E128" s="48"/>
      <c r="F128" s="50"/>
    </row>
    <row r="129" spans="1:6" x14ac:dyDescent="0.2">
      <c r="A129" s="48"/>
      <c r="B129" s="48"/>
      <c r="C129" s="48"/>
      <c r="D129" s="50"/>
      <c r="E129" s="48"/>
      <c r="F129" s="50"/>
    </row>
    <row r="130" spans="1:6" x14ac:dyDescent="0.2">
      <c r="A130" s="48"/>
      <c r="B130" s="48"/>
      <c r="C130" s="48"/>
      <c r="D130" s="50"/>
      <c r="E130" s="48"/>
      <c r="F130" s="50"/>
    </row>
    <row r="131" spans="1:6" x14ac:dyDescent="0.2">
      <c r="A131" s="48"/>
      <c r="B131" s="48"/>
      <c r="C131" s="48"/>
      <c r="D131" s="50"/>
      <c r="E131" s="48"/>
      <c r="F131" s="50"/>
    </row>
    <row r="132" spans="1:6" x14ac:dyDescent="0.2">
      <c r="A132" s="48"/>
      <c r="B132" s="48"/>
      <c r="C132" s="48"/>
      <c r="D132" s="50"/>
      <c r="E132" s="48"/>
      <c r="F132" s="50"/>
    </row>
    <row r="133" spans="1:6" x14ac:dyDescent="0.2">
      <c r="A133" s="48"/>
      <c r="B133" s="48"/>
      <c r="C133" s="48"/>
      <c r="D133" s="50"/>
      <c r="E133" s="48"/>
      <c r="F133" s="50"/>
    </row>
    <row r="134" spans="1:6" x14ac:dyDescent="0.2">
      <c r="A134" s="48"/>
      <c r="B134" s="48"/>
      <c r="C134" s="48"/>
      <c r="D134" s="50"/>
      <c r="E134" s="48"/>
      <c r="F134" s="50"/>
    </row>
    <row r="135" spans="1:6" x14ac:dyDescent="0.2">
      <c r="A135" s="48"/>
      <c r="B135" s="48"/>
      <c r="C135" s="48"/>
      <c r="D135" s="50"/>
      <c r="E135" s="48"/>
      <c r="F135" s="50"/>
    </row>
    <row r="136" spans="1:6" x14ac:dyDescent="0.2">
      <c r="A136" s="48"/>
      <c r="B136" s="48"/>
      <c r="C136" s="48"/>
      <c r="D136" s="50"/>
      <c r="E136" s="48"/>
      <c r="F136" s="50"/>
    </row>
    <row r="137" spans="1:6" x14ac:dyDescent="0.2">
      <c r="A137" s="48"/>
      <c r="B137" s="48"/>
      <c r="C137" s="48"/>
      <c r="D137" s="50"/>
      <c r="E137" s="48"/>
      <c r="F137" s="50"/>
    </row>
    <row r="138" spans="1:6" x14ac:dyDescent="0.2">
      <c r="A138" s="48"/>
      <c r="B138" s="48"/>
      <c r="C138" s="48"/>
      <c r="D138" s="50"/>
      <c r="E138" s="48"/>
      <c r="F138" s="50"/>
    </row>
    <row r="139" spans="1:6" x14ac:dyDescent="0.2">
      <c r="A139" s="48"/>
      <c r="B139" s="48"/>
      <c r="C139" s="48"/>
      <c r="D139" s="50"/>
      <c r="E139" s="48"/>
      <c r="F139" s="50"/>
    </row>
    <row r="140" spans="1:6" x14ac:dyDescent="0.2">
      <c r="A140" s="48"/>
      <c r="B140" s="48"/>
      <c r="C140" s="48"/>
      <c r="D140" s="50"/>
      <c r="E140" s="48"/>
      <c r="F140" s="50"/>
    </row>
    <row r="141" spans="1:6" x14ac:dyDescent="0.2">
      <c r="A141" s="48"/>
      <c r="B141" s="48"/>
      <c r="C141" s="48"/>
      <c r="D141" s="50"/>
      <c r="E141" s="48"/>
      <c r="F141" s="50"/>
    </row>
    <row r="142" spans="1:6" x14ac:dyDescent="0.2">
      <c r="A142" s="48"/>
      <c r="B142" s="48"/>
      <c r="C142" s="48"/>
      <c r="D142" s="50"/>
      <c r="E142" s="48"/>
      <c r="F142" s="50"/>
    </row>
    <row r="143" spans="1:6" x14ac:dyDescent="0.2">
      <c r="A143" s="48"/>
      <c r="B143" s="48"/>
      <c r="C143" s="48"/>
      <c r="D143" s="50"/>
      <c r="E143" s="48"/>
      <c r="F143" s="50"/>
    </row>
    <row r="144" spans="1:6" x14ac:dyDescent="0.2">
      <c r="A144" s="48"/>
      <c r="B144" s="48"/>
      <c r="C144" s="48"/>
      <c r="D144" s="50"/>
      <c r="E144" s="48"/>
      <c r="F144" s="50"/>
    </row>
    <row r="145" spans="1:6" x14ac:dyDescent="0.2">
      <c r="A145" s="48"/>
      <c r="B145" s="48"/>
      <c r="C145" s="48"/>
      <c r="D145" s="50"/>
      <c r="E145" s="48"/>
      <c r="F145" s="50"/>
    </row>
    <row r="146" spans="1:6" x14ac:dyDescent="0.2">
      <c r="A146" s="48"/>
      <c r="B146" s="48"/>
      <c r="C146" s="48"/>
      <c r="D146" s="50"/>
      <c r="E146" s="48"/>
      <c r="F146" s="50"/>
    </row>
    <row r="147" spans="1:6" x14ac:dyDescent="0.2">
      <c r="A147" s="48"/>
      <c r="B147" s="48"/>
      <c r="C147" s="48"/>
      <c r="D147" s="50"/>
      <c r="E147" s="48"/>
      <c r="F147" s="50"/>
    </row>
    <row r="148" spans="1:6" x14ac:dyDescent="0.2">
      <c r="A148" s="48"/>
      <c r="B148" s="48"/>
      <c r="C148" s="48"/>
      <c r="D148" s="50"/>
      <c r="E148" s="48"/>
      <c r="F148" s="50"/>
    </row>
    <row r="149" spans="1:6" x14ac:dyDescent="0.2">
      <c r="A149" s="48"/>
      <c r="B149" s="48"/>
      <c r="C149" s="48"/>
      <c r="D149" s="50"/>
      <c r="E149" s="48"/>
      <c r="F149" s="50"/>
    </row>
    <row r="150" spans="1:6" x14ac:dyDescent="0.2">
      <c r="A150" s="48"/>
      <c r="B150" s="48"/>
      <c r="C150" s="48"/>
      <c r="D150" s="50"/>
      <c r="E150" s="48"/>
      <c r="F150" s="50"/>
    </row>
    <row r="151" spans="1:6" x14ac:dyDescent="0.2">
      <c r="A151" s="48"/>
      <c r="B151" s="48"/>
      <c r="C151" s="48"/>
      <c r="D151" s="50"/>
      <c r="E151" s="48"/>
      <c r="F151" s="50"/>
    </row>
    <row r="152" spans="1:6" x14ac:dyDescent="0.2">
      <c r="A152" s="48"/>
      <c r="B152" s="48"/>
      <c r="C152" s="48"/>
      <c r="D152" s="50"/>
      <c r="E152" s="48"/>
      <c r="F152" s="50"/>
    </row>
    <row r="153" spans="1:6" x14ac:dyDescent="0.2">
      <c r="A153" s="48"/>
      <c r="B153" s="48"/>
      <c r="C153" s="48"/>
      <c r="D153" s="50"/>
      <c r="E153" s="48"/>
      <c r="F153" s="50"/>
    </row>
    <row r="154" spans="1:6" x14ac:dyDescent="0.2">
      <c r="A154" s="48"/>
      <c r="B154" s="48"/>
      <c r="C154" s="48"/>
      <c r="D154" s="50"/>
      <c r="E154" s="48"/>
      <c r="F154" s="50"/>
    </row>
    <row r="155" spans="1:6" x14ac:dyDescent="0.2">
      <c r="A155" s="48"/>
      <c r="B155" s="48"/>
      <c r="C155" s="48"/>
      <c r="D155" s="50"/>
      <c r="E155" s="48"/>
      <c r="F155" s="50"/>
    </row>
    <row r="156" spans="1:6" x14ac:dyDescent="0.2">
      <c r="A156" s="48"/>
      <c r="B156" s="48"/>
      <c r="C156" s="48"/>
      <c r="D156" s="50"/>
    </row>
    <row r="157" spans="1:6" x14ac:dyDescent="0.2">
      <c r="A157" s="48"/>
      <c r="B157" s="48"/>
      <c r="C157" s="48"/>
      <c r="D157" s="50"/>
    </row>
    <row r="158" spans="1:6" x14ac:dyDescent="0.2">
      <c r="A158" s="48"/>
      <c r="B158" s="48"/>
      <c r="C158" s="48"/>
      <c r="D158" s="50"/>
    </row>
    <row r="159" spans="1:6" x14ac:dyDescent="0.2">
      <c r="C159" s="50"/>
    </row>
    <row r="160" spans="1:6" x14ac:dyDescent="0.2">
      <c r="C160" s="50"/>
    </row>
    <row r="161" spans="3:3" x14ac:dyDescent="0.2">
      <c r="C161" s="50"/>
    </row>
    <row r="162" spans="3:3" x14ac:dyDescent="0.2">
      <c r="C162" s="50"/>
    </row>
    <row r="163" spans="3:3" x14ac:dyDescent="0.2">
      <c r="C163" s="50"/>
    </row>
    <row r="164" spans="3:3" x14ac:dyDescent="0.2">
      <c r="C164" s="50"/>
    </row>
  </sheetData>
  <pageMargins left="0.7" right="0.7" top="0.75" bottom="0.75" header="0.3" footer="0.3"/>
  <pageSetup orientation="portrait" r:id="rId1"/>
  <ignoredErrors>
    <ignoredError sqref="E42:E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4"/>
  <sheetViews>
    <sheetView zoomScale="120" zoomScaleNormal="120" workbookViewId="0">
      <pane ySplit="4" topLeftCell="A5" activePane="bottomLeft" state="frozen"/>
      <selection pane="bottomLeft" activeCell="B76" sqref="B76"/>
    </sheetView>
  </sheetViews>
  <sheetFormatPr defaultColWidth="9.140625" defaultRowHeight="12.75" customHeight="1" x14ac:dyDescent="0.2"/>
  <cols>
    <col min="1" max="1" width="33.7109375" style="46" customWidth="1"/>
    <col min="2" max="2" width="7.7109375" style="46" customWidth="1"/>
    <col min="3" max="3" width="7.85546875" style="46" customWidth="1"/>
    <col min="4" max="4" width="5.7109375" style="46" customWidth="1"/>
    <col min="5" max="5" width="8.5703125" style="46" customWidth="1"/>
    <col min="6" max="6" width="4.5703125" style="46" customWidth="1"/>
    <col min="7" max="7" width="8.140625" style="46" customWidth="1"/>
    <col min="8" max="9" width="6.5703125" style="46" customWidth="1"/>
    <col min="10" max="10" width="7.140625" style="46" customWidth="1"/>
    <col min="11" max="11" width="7.7109375" style="46" customWidth="1"/>
    <col min="12" max="12" width="7.140625" style="46" customWidth="1"/>
    <col min="13" max="13" width="6.85546875" style="46" customWidth="1"/>
    <col min="14" max="14" width="6.7109375" style="46" customWidth="1"/>
    <col min="15" max="16384" width="9.140625" style="46"/>
  </cols>
  <sheetData>
    <row r="1" spans="1:15" ht="12.75" customHeight="1" x14ac:dyDescent="0.2">
      <c r="A1" s="46" t="s">
        <v>625</v>
      </c>
      <c r="B1" s="47" t="s">
        <v>683</v>
      </c>
      <c r="G1" s="50">
        <v>5.67</v>
      </c>
      <c r="H1" s="46">
        <v>0.05</v>
      </c>
      <c r="L1" s="48" t="s">
        <v>693</v>
      </c>
      <c r="M1" s="48">
        <v>10</v>
      </c>
    </row>
    <row r="2" spans="1:15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5" ht="12.75" customHeight="1" x14ac:dyDescent="0.2">
      <c r="A3" s="46" t="s">
        <v>627</v>
      </c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</row>
    <row r="4" spans="1:15" ht="12.75" customHeight="1" x14ac:dyDescent="0.2">
      <c r="G4" s="50">
        <f>G1+H1</f>
        <v>5.72</v>
      </c>
      <c r="H4" s="50"/>
      <c r="J4" s="46">
        <v>1</v>
      </c>
      <c r="L4" s="48" t="s">
        <v>696</v>
      </c>
      <c r="M4" s="48">
        <v>25</v>
      </c>
    </row>
    <row r="5" spans="1:15" ht="12.75" customHeight="1" x14ac:dyDescent="0.2">
      <c r="G5" s="50"/>
      <c r="H5" s="50"/>
      <c r="M5" s="48" t="s">
        <v>1250</v>
      </c>
      <c r="N5" s="48" t="s">
        <v>1251</v>
      </c>
    </row>
    <row r="6" spans="1:15" ht="12.75" customHeight="1" x14ac:dyDescent="0.2">
      <c r="A6" s="48" t="s">
        <v>632</v>
      </c>
      <c r="B6" s="48">
        <f>'15W40'!B6+('15W40 Gallon'!G4-'15W40'!G4)*'15W40 Gallon'!F6+'15W40 Gallon'!M2</f>
        <v>317.74</v>
      </c>
      <c r="C6" s="49">
        <f>E6+G6+H6</f>
        <v>204.29000000000002</v>
      </c>
      <c r="D6" s="48"/>
      <c r="E6" s="49">
        <f>'15W40'!E6</f>
        <v>53.290000000000006</v>
      </c>
      <c r="F6" s="48">
        <f>'15W40'!F6</f>
        <v>25</v>
      </c>
      <c r="G6" s="49">
        <f>F6*G4</f>
        <v>143</v>
      </c>
      <c r="H6" s="49">
        <v>8</v>
      </c>
      <c r="I6" s="55">
        <f>B6-C6</f>
        <v>113.44999999999999</v>
      </c>
      <c r="J6" s="56">
        <f>C6/B6</f>
        <v>0.64294706363693588</v>
      </c>
      <c r="K6" s="56">
        <f>1-J6</f>
        <v>0.35705293636306412</v>
      </c>
      <c r="M6" s="389">
        <f>B6-'15W40'!B6</f>
        <v>51.75</v>
      </c>
      <c r="N6" s="49">
        <f>C6-'15W40'!C6</f>
        <v>36.75</v>
      </c>
      <c r="O6" s="49"/>
    </row>
    <row r="7" spans="1:15" ht="12.75" customHeight="1" x14ac:dyDescent="0.2">
      <c r="A7" s="48" t="s">
        <v>633</v>
      </c>
      <c r="B7" s="48">
        <f>'15W40'!B7+('15W40 Gallon'!G4-'15W40'!G4)*'15W40 Gallon'!F7+'15W40 Gallon'!M2</f>
        <v>295.74</v>
      </c>
      <c r="C7" s="49">
        <f>E7+G7+H7</f>
        <v>172.79919999999998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143</v>
      </c>
      <c r="H7" s="49">
        <v>8</v>
      </c>
      <c r="I7" s="55">
        <f>B7-C7</f>
        <v>122.94080000000002</v>
      </c>
      <c r="J7" s="56">
        <f>C7/B7</f>
        <v>0.5842943125718536</v>
      </c>
      <c r="K7" s="56">
        <f t="shared" ref="K7:K73" si="0">1-J7</f>
        <v>0.4157056874281464</v>
      </c>
      <c r="M7" s="389">
        <f>B7-'15W40'!B7</f>
        <v>51.75</v>
      </c>
      <c r="N7" s="49">
        <f>C7-'15W40'!C7</f>
        <v>36.75</v>
      </c>
      <c r="O7" s="49"/>
    </row>
    <row r="8" spans="1:15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M8" s="389"/>
      <c r="N8" s="48"/>
      <c r="O8" s="49"/>
    </row>
    <row r="9" spans="1:15" ht="12.75" customHeight="1" x14ac:dyDescent="0.2">
      <c r="A9" s="48" t="s">
        <v>634</v>
      </c>
      <c r="B9" s="48">
        <f>'15W40'!B9+('15W40 Gallon'!G4-'15W40'!G4)*'15W40 Gallon'!F9+'15W40 Gallon'!M2</f>
        <v>405.85</v>
      </c>
      <c r="C9" s="49">
        <f>E9+G9+H9</f>
        <v>295.94</v>
      </c>
      <c r="D9" s="48"/>
      <c r="E9" s="49">
        <f>'15W40'!E9</f>
        <v>70.58</v>
      </c>
      <c r="F9" s="48">
        <f>'15W40'!F9</f>
        <v>38</v>
      </c>
      <c r="G9" s="49">
        <f>F9*G4</f>
        <v>217.35999999999999</v>
      </c>
      <c r="H9" s="49">
        <v>8</v>
      </c>
      <c r="I9" s="55">
        <f>B9-C9</f>
        <v>109.91000000000003</v>
      </c>
      <c r="J9" s="56">
        <f>C9/B9</f>
        <v>0.72918565972649985</v>
      </c>
      <c r="K9" s="56">
        <f t="shared" si="0"/>
        <v>0.27081434027350015</v>
      </c>
      <c r="M9" s="390">
        <f>B9-'15W40'!B9</f>
        <v>70.860000000000014</v>
      </c>
      <c r="N9" s="49">
        <f>C9-'15W40'!C9</f>
        <v>55.860000000000014</v>
      </c>
      <c r="O9" s="49"/>
    </row>
    <row r="10" spans="1:15" ht="12.75" customHeight="1" x14ac:dyDescent="0.2">
      <c r="A10" s="48" t="s">
        <v>635</v>
      </c>
      <c r="B10" s="48">
        <f>'15W40'!B10+('15W40 Gallon'!G4-'15W40'!G4)*'15W40 Gallon'!F10+'15W40 Gallon'!M2</f>
        <v>364.85</v>
      </c>
      <c r="C10" s="49">
        <f>E10+G10+H10</f>
        <v>256.40480000000002</v>
      </c>
      <c r="D10" s="48"/>
      <c r="E10" s="49">
        <f>'15W40'!E10</f>
        <v>31.044799999999999</v>
      </c>
      <c r="F10" s="48">
        <f>'15W40'!F10</f>
        <v>38</v>
      </c>
      <c r="G10" s="49">
        <f>F10*G4</f>
        <v>217.35999999999999</v>
      </c>
      <c r="H10" s="49">
        <v>8</v>
      </c>
      <c r="I10" s="55">
        <f>B10-C10</f>
        <v>108.4452</v>
      </c>
      <c r="J10" s="56">
        <f>C10/B10</f>
        <v>0.70276771275866801</v>
      </c>
      <c r="K10" s="56">
        <f t="shared" si="0"/>
        <v>0.29723228724133199</v>
      </c>
      <c r="M10" s="390">
        <f>B10-'15W40'!B10</f>
        <v>70.860000000000014</v>
      </c>
      <c r="N10" s="49">
        <f>C10-'15W40'!C10</f>
        <v>55.860000000000014</v>
      </c>
      <c r="O10" s="49"/>
    </row>
    <row r="11" spans="1:15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M11" s="390"/>
      <c r="N11" s="49"/>
      <c r="O11" s="49"/>
    </row>
    <row r="12" spans="1:15" ht="12.75" customHeight="1" x14ac:dyDescent="0.2">
      <c r="A12" s="48" t="s">
        <v>637</v>
      </c>
      <c r="B12" s="49">
        <f>'15W40'!B12+('15W40 Gallon'!G4-'15W40'!G4)*'15W40 Gallon'!F12+'15W40 Gallon'!M3</f>
        <v>438.2</v>
      </c>
      <c r="C12" s="49">
        <f>E12+G12+H12</f>
        <v>324.53999999999996</v>
      </c>
      <c r="D12" s="48"/>
      <c r="E12" s="49">
        <f>'15W40'!E12</f>
        <v>70.58</v>
      </c>
      <c r="F12" s="48">
        <f>'15W40'!F12</f>
        <v>43</v>
      </c>
      <c r="G12" s="49">
        <f>F12*G4</f>
        <v>245.95999999999998</v>
      </c>
      <c r="H12" s="49">
        <v>8</v>
      </c>
      <c r="I12" s="55">
        <f>B12-C12</f>
        <v>113.66000000000003</v>
      </c>
      <c r="J12" s="56">
        <f>C12/B12</f>
        <v>0.74062072113190314</v>
      </c>
      <c r="K12" s="56">
        <f t="shared" si="0"/>
        <v>0.25937927886809686</v>
      </c>
      <c r="M12" s="390">
        <f>B12-'15W40'!B12</f>
        <v>83.20999999999998</v>
      </c>
      <c r="N12" s="49">
        <f>C12-'15W40'!C12</f>
        <v>63.20999999999998</v>
      </c>
      <c r="O12" s="49"/>
    </row>
    <row r="13" spans="1:15" ht="12.75" customHeight="1" x14ac:dyDescent="0.2">
      <c r="A13" s="48" t="s">
        <v>638</v>
      </c>
      <c r="B13" s="49">
        <f>'15W40'!B13+('15W40 Gallon'!G4-'15W40'!G4)*'15W40 Gallon'!F13+'15W40 Gallon'!M3</f>
        <v>397.2</v>
      </c>
      <c r="C13" s="49">
        <f>E13+G13+H13</f>
        <v>285.00479999999999</v>
      </c>
      <c r="D13" s="48"/>
      <c r="E13" s="49">
        <f>'15W40'!E13</f>
        <v>31.044799999999999</v>
      </c>
      <c r="F13" s="48">
        <f>'15W40'!F13</f>
        <v>43</v>
      </c>
      <c r="G13" s="49">
        <f>F13*G4</f>
        <v>245.95999999999998</v>
      </c>
      <c r="H13" s="49">
        <v>8</v>
      </c>
      <c r="I13" s="55">
        <f>B13-C13</f>
        <v>112.1952</v>
      </c>
      <c r="J13" s="56">
        <f>C13/B13</f>
        <v>0.71753474320241695</v>
      </c>
      <c r="K13" s="56">
        <f t="shared" si="0"/>
        <v>0.28246525679758305</v>
      </c>
      <c r="M13" s="390">
        <f>B13-'15W40'!B13</f>
        <v>83.20999999999998</v>
      </c>
      <c r="N13" s="49">
        <f>C13-'15W40'!C13</f>
        <v>63.20999999999998</v>
      </c>
      <c r="O13" s="49"/>
    </row>
    <row r="14" spans="1:15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M14" s="390"/>
      <c r="N14" s="49"/>
      <c r="O14" s="49"/>
    </row>
    <row r="15" spans="1:15" ht="12.75" customHeight="1" x14ac:dyDescent="0.2">
      <c r="A15" s="48" t="s">
        <v>639</v>
      </c>
      <c r="B15" s="48">
        <f>'15W40'!B15+('15W40 Gallon'!G4-'15W40'!G4)*'15W40 Gallon'!F15+'15W40 Gallon'!M3</f>
        <v>380.79</v>
      </c>
      <c r="C15" s="49">
        <f t="shared" ref="C15:C21" si="1">E15+G15+H15</f>
        <v>268.2312</v>
      </c>
      <c r="D15" s="48"/>
      <c r="E15" s="49">
        <f>'15W40'!E15</f>
        <v>31.4312</v>
      </c>
      <c r="F15" s="48">
        <f>'15W40'!F15</f>
        <v>40</v>
      </c>
      <c r="G15" s="49">
        <f>F15*G4</f>
        <v>228.79999999999998</v>
      </c>
      <c r="H15" s="49">
        <v>8</v>
      </c>
      <c r="I15" s="55">
        <f t="shared" ref="I15:I74" si="2">B15-C15</f>
        <v>112.55880000000002</v>
      </c>
      <c r="J15" s="56">
        <f t="shared" ref="J15:J74" si="3">C15/B15</f>
        <v>0.70440715354920036</v>
      </c>
      <c r="K15" s="56">
        <f t="shared" si="0"/>
        <v>0.29559284645079964</v>
      </c>
      <c r="M15" s="390">
        <f>B15-'15W40'!B15</f>
        <v>78.800000000000011</v>
      </c>
      <c r="N15" s="49">
        <f>C15-'15W40'!C15</f>
        <v>58.800000000000011</v>
      </c>
      <c r="O15" s="49"/>
    </row>
    <row r="16" spans="1:15" ht="12.75" customHeight="1" x14ac:dyDescent="0.2">
      <c r="A16" s="48" t="s">
        <v>640</v>
      </c>
      <c r="B16" s="48">
        <f>'15W40'!B16+('15W40 Gallon'!G4-'15W40'!G4)*'15W40 Gallon'!F16+'15W40 Gallon'!M1</f>
        <v>201.57</v>
      </c>
      <c r="C16" s="49">
        <f t="shared" si="1"/>
        <v>94.8</v>
      </c>
      <c r="D16" s="48"/>
      <c r="E16" s="49">
        <f>'15W40'!E16</f>
        <v>6.7200000000000006</v>
      </c>
      <c r="F16" s="48">
        <f>'15W40'!F16</f>
        <v>14</v>
      </c>
      <c r="G16" s="49">
        <f>F16*G4</f>
        <v>80.08</v>
      </c>
      <c r="H16" s="49">
        <v>8</v>
      </c>
      <c r="I16" s="55">
        <f t="shared" si="2"/>
        <v>106.77</v>
      </c>
      <c r="J16" s="56">
        <f t="shared" si="3"/>
        <v>0.4703080815597559</v>
      </c>
      <c r="K16" s="56">
        <f t="shared" si="0"/>
        <v>0.5296919184402441</v>
      </c>
      <c r="M16" s="390">
        <f>B16-'15W40'!B16</f>
        <v>30.579999999999984</v>
      </c>
      <c r="N16" s="49">
        <f>C16-'15W40'!C16</f>
        <v>20.58</v>
      </c>
      <c r="O16" s="49"/>
    </row>
    <row r="17" spans="1:15" ht="12.75" customHeight="1" x14ac:dyDescent="0.2">
      <c r="A17" s="48" t="s">
        <v>641</v>
      </c>
      <c r="B17" s="48">
        <f>'15W40'!B17+('15W40 Gallon'!G4-'15W40'!G4)*'15W40 Gallon'!F17+'15W40 Gallon'!M2</f>
        <v>309.74</v>
      </c>
      <c r="C17" s="49">
        <f t="shared" si="1"/>
        <v>201.81040000000002</v>
      </c>
      <c r="D17" s="48"/>
      <c r="E17" s="49">
        <f>'15W40'!E17</f>
        <v>50.810400000000001</v>
      </c>
      <c r="F17" s="48">
        <f>'15W40'!F17</f>
        <v>25</v>
      </c>
      <c r="G17" s="49">
        <f>F17*G4</f>
        <v>143</v>
      </c>
      <c r="H17" s="49">
        <v>8</v>
      </c>
      <c r="I17" s="55">
        <f t="shared" si="2"/>
        <v>107.92959999999999</v>
      </c>
      <c r="J17" s="56">
        <f t="shared" si="3"/>
        <v>0.65154774972557628</v>
      </c>
      <c r="K17" s="56">
        <f t="shared" si="0"/>
        <v>0.34845225027442372</v>
      </c>
      <c r="M17" s="390">
        <f>B17-'15W40'!B17</f>
        <v>51.75</v>
      </c>
      <c r="N17" s="49">
        <f>C17-'15W40'!C17</f>
        <v>36.75</v>
      </c>
      <c r="O17" s="49"/>
    </row>
    <row r="18" spans="1:15" ht="12.75" customHeight="1" x14ac:dyDescent="0.2">
      <c r="A18" s="48" t="s">
        <v>642</v>
      </c>
      <c r="B18" s="48">
        <f>'15W40'!B18+('15W40 Gallon'!G4-'15W40'!G4)*'15W40 Gallon'!F18+'15W40 Gallon'!M2</f>
        <v>307.74</v>
      </c>
      <c r="C18" s="49">
        <f t="shared" si="1"/>
        <v>177.68799999999999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143</v>
      </c>
      <c r="H18" s="49">
        <v>8</v>
      </c>
      <c r="I18" s="55">
        <f t="shared" si="2"/>
        <v>130.05200000000002</v>
      </c>
      <c r="J18" s="56">
        <f t="shared" si="3"/>
        <v>0.57739650354195093</v>
      </c>
      <c r="K18" s="56">
        <f t="shared" si="0"/>
        <v>0.42260349645804907</v>
      </c>
      <c r="M18" s="390">
        <f>B18-'15W40'!B18</f>
        <v>51.75</v>
      </c>
      <c r="N18" s="49">
        <f>C18-'15W40'!C18</f>
        <v>36.75</v>
      </c>
      <c r="O18" s="49"/>
    </row>
    <row r="19" spans="1:15" ht="12.75" customHeight="1" x14ac:dyDescent="0.2">
      <c r="A19" s="48" t="s">
        <v>643</v>
      </c>
      <c r="B19" s="48">
        <f>'15W40'!B19+('15W40 Gallon'!G4-'15W40'!G4)*'15W40 Gallon'!F19+'15W40 Gallon'!M2</f>
        <v>360.90999999999997</v>
      </c>
      <c r="C19" s="49">
        <f t="shared" si="1"/>
        <v>253.75439999999998</v>
      </c>
      <c r="D19" s="48"/>
      <c r="E19" s="49">
        <f>'15W40'!E19</f>
        <v>39.834400000000002</v>
      </c>
      <c r="F19" s="48">
        <f>'15W40'!F19</f>
        <v>36</v>
      </c>
      <c r="G19" s="49">
        <f>F19*G4</f>
        <v>205.92</v>
      </c>
      <c r="H19" s="49">
        <v>8</v>
      </c>
      <c r="I19" s="55">
        <f t="shared" si="2"/>
        <v>107.15559999999999</v>
      </c>
      <c r="J19" s="56">
        <f t="shared" si="3"/>
        <v>0.70309606273032055</v>
      </c>
      <c r="K19" s="56">
        <f t="shared" si="0"/>
        <v>0.29690393726967945</v>
      </c>
      <c r="M19" s="390">
        <f>B19-'15W40'!B19</f>
        <v>67.919999999999959</v>
      </c>
      <c r="N19" s="49">
        <f>C19-'15W40'!C19</f>
        <v>52.919999999999959</v>
      </c>
      <c r="O19" s="49"/>
    </row>
    <row r="20" spans="1:15" ht="12.75" customHeight="1" x14ac:dyDescent="0.2">
      <c r="A20" s="48" t="s">
        <v>645</v>
      </c>
      <c r="B20" s="48">
        <f>'15W40'!B20+('15W40 Gallon'!G4-'15W40'!G4)*'15W40 Gallon'!F20+'15W40 Gallon'!M3</f>
        <v>463.67</v>
      </c>
      <c r="C20" s="49">
        <f t="shared" si="1"/>
        <v>345.32959999999997</v>
      </c>
      <c r="D20" s="48"/>
      <c r="E20" s="49">
        <f>'15W40'!E20</f>
        <v>85.649600000000007</v>
      </c>
      <c r="F20" s="48">
        <f>'15W40'!F20</f>
        <v>44</v>
      </c>
      <c r="G20" s="49">
        <f>F20*G4</f>
        <v>251.67999999999998</v>
      </c>
      <c r="H20" s="49">
        <v>8</v>
      </c>
      <c r="I20" s="55">
        <f t="shared" si="2"/>
        <v>118.34040000000005</v>
      </c>
      <c r="J20" s="56">
        <f t="shared" si="3"/>
        <v>0.74477451635861702</v>
      </c>
      <c r="K20" s="56">
        <f t="shared" si="0"/>
        <v>0.25522548364138298</v>
      </c>
      <c r="M20" s="390">
        <f>B20-'15W40'!B20</f>
        <v>84.68</v>
      </c>
      <c r="N20" s="49">
        <f>C20-'15W40'!C20</f>
        <v>64.67999999999995</v>
      </c>
      <c r="O20" s="49"/>
    </row>
    <row r="21" spans="1:15" ht="12.75" customHeight="1" x14ac:dyDescent="0.2">
      <c r="A21" s="48" t="s">
        <v>646</v>
      </c>
      <c r="B21" s="48">
        <f>'15W40'!B21+('15W40 Gallon'!G4-'15W40'!G4)*'15W40 Gallon'!F21+'15W40 Gallon'!M2</f>
        <v>340.97</v>
      </c>
      <c r="C21" s="49">
        <f t="shared" si="1"/>
        <v>233.91119999999998</v>
      </c>
      <c r="D21" s="48"/>
      <c r="E21" s="49">
        <f>'15W40'!E21</f>
        <v>31.4312</v>
      </c>
      <c r="F21" s="48">
        <f>'15W40'!F21</f>
        <v>34</v>
      </c>
      <c r="G21" s="49">
        <f>F21*G4</f>
        <v>194.48</v>
      </c>
      <c r="H21" s="49">
        <v>8</v>
      </c>
      <c r="I21" s="55">
        <f t="shared" si="2"/>
        <v>107.05880000000005</v>
      </c>
      <c r="J21" s="56">
        <f t="shared" si="3"/>
        <v>0.68601695163797394</v>
      </c>
      <c r="K21" s="56">
        <f t="shared" si="0"/>
        <v>0.31398304836202606</v>
      </c>
      <c r="M21" s="390">
        <f>B21-'15W40'!B21</f>
        <v>64.980000000000018</v>
      </c>
      <c r="N21" s="49">
        <f>C21-'15W40'!C21</f>
        <v>49.97999999999999</v>
      </c>
      <c r="O21" s="49"/>
    </row>
    <row r="22" spans="1:15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M22" s="390"/>
      <c r="N22" s="49"/>
      <c r="O22" s="49"/>
    </row>
    <row r="23" spans="1:15" ht="12.75" customHeight="1" x14ac:dyDescent="0.2">
      <c r="A23" s="48" t="s">
        <v>647</v>
      </c>
      <c r="B23" s="48">
        <f>'15W40'!B23+('15W40 Gallon'!G4-'15W40'!G4)*'15W40 Gallon'!F23+'15W40 Gallon'!M2</f>
        <v>420.85</v>
      </c>
      <c r="C23" s="49">
        <f t="shared" ref="C23:C28" si="4">E23+G23+H23</f>
        <v>302.98</v>
      </c>
      <c r="D23" s="48"/>
      <c r="E23" s="49">
        <f>'15W40'!E23</f>
        <v>77.62</v>
      </c>
      <c r="F23" s="48">
        <f>'15W40'!F23</f>
        <v>38</v>
      </c>
      <c r="G23" s="49">
        <f>F23*G4</f>
        <v>217.35999999999999</v>
      </c>
      <c r="H23" s="49">
        <v>8</v>
      </c>
      <c r="I23" s="55">
        <f t="shared" si="2"/>
        <v>117.87</v>
      </c>
      <c r="J23" s="56">
        <f t="shared" si="3"/>
        <v>0.71992396340738984</v>
      </c>
      <c r="K23" s="56">
        <f t="shared" si="0"/>
        <v>0.28007603659261016</v>
      </c>
      <c r="M23" s="390">
        <f>B23-'15W40'!B23</f>
        <v>70.860000000000014</v>
      </c>
      <c r="N23" s="49">
        <f>C23-'15W40'!C23</f>
        <v>55.860000000000014</v>
      </c>
      <c r="O23" s="49"/>
    </row>
    <row r="24" spans="1:15" ht="12.75" customHeight="1" x14ac:dyDescent="0.2">
      <c r="A24" s="48" t="s">
        <v>648</v>
      </c>
      <c r="B24" s="48">
        <f>'15W40'!B24+('15W40 Gallon'!G4-'15W40'!G4)*'15W40 Gallon'!F24+'15W40 Gallon'!M2</f>
        <v>472.03</v>
      </c>
      <c r="C24" s="49">
        <f t="shared" si="4"/>
        <v>359.89</v>
      </c>
      <c r="D24" s="48"/>
      <c r="E24" s="49">
        <f>'15W40'!E24</f>
        <v>168.85000000000002</v>
      </c>
      <c r="F24" s="48">
        <f>'15W40'!F24</f>
        <v>32</v>
      </c>
      <c r="G24" s="49">
        <f>F24*G4</f>
        <v>183.04</v>
      </c>
      <c r="H24" s="49">
        <v>8</v>
      </c>
      <c r="I24" s="55">
        <f t="shared" si="2"/>
        <v>112.13999999999999</v>
      </c>
      <c r="J24" s="56">
        <f t="shared" si="3"/>
        <v>0.76243035400292358</v>
      </c>
      <c r="K24" s="56">
        <f t="shared" si="0"/>
        <v>0.23756964599707642</v>
      </c>
      <c r="M24" s="390">
        <f>B24-'15W40'!B24</f>
        <v>62.039999999999964</v>
      </c>
      <c r="N24" s="49">
        <f>C24-'15W40'!C24</f>
        <v>47.039999999999964</v>
      </c>
      <c r="O24" s="49"/>
    </row>
    <row r="25" spans="1:15" ht="12.75" customHeight="1" x14ac:dyDescent="0.2">
      <c r="A25" s="48" t="s">
        <v>649</v>
      </c>
      <c r="B25" s="48">
        <f>'15W40'!B25+('15W40 Gallon'!G4-'15W40'!G4)*'15W40 Gallon'!F25+'15W40 Gallon'!M3</f>
        <v>497.73</v>
      </c>
      <c r="C25" s="49">
        <f t="shared" si="4"/>
        <v>386.03</v>
      </c>
      <c r="D25" s="48"/>
      <c r="E25" s="49">
        <f>'15W40'!E25</f>
        <v>137.79000000000002</v>
      </c>
      <c r="F25" s="48">
        <f>'15W40'!F25</f>
        <v>42</v>
      </c>
      <c r="G25" s="49">
        <f>F25*G4</f>
        <v>240.23999999999998</v>
      </c>
      <c r="H25" s="49">
        <v>8</v>
      </c>
      <c r="I25" s="55">
        <f t="shared" si="2"/>
        <v>111.70000000000005</v>
      </c>
      <c r="J25" s="56">
        <f t="shared" si="3"/>
        <v>0.77558113836819154</v>
      </c>
      <c r="K25" s="56">
        <f t="shared" si="0"/>
        <v>0.22441886163180846</v>
      </c>
      <c r="M25" s="390">
        <f>B25-'15W40'!B25</f>
        <v>81.740000000000009</v>
      </c>
      <c r="N25" s="49">
        <f>C25-'15W40'!C25</f>
        <v>61.739999999999952</v>
      </c>
      <c r="O25" s="49"/>
    </row>
    <row r="26" spans="1:15" ht="12.75" customHeight="1" x14ac:dyDescent="0.2">
      <c r="A26" s="48" t="s">
        <v>650</v>
      </c>
      <c r="B26" s="48">
        <f>'15W40'!B26+('15W40 Gallon'!G4-'15W40'!G4)*'15W40 Gallon'!F26+'15W40 Gallon'!M3</f>
        <v>475.73</v>
      </c>
      <c r="C26" s="49">
        <f t="shared" si="4"/>
        <v>362.2928</v>
      </c>
      <c r="D26" s="48"/>
      <c r="E26" s="49">
        <f>'15W40'!E26</f>
        <v>114.05280000000002</v>
      </c>
      <c r="F26" s="48">
        <f>'15W40'!F26</f>
        <v>42</v>
      </c>
      <c r="G26" s="49">
        <f>F26*G4</f>
        <v>240.23999999999998</v>
      </c>
      <c r="H26" s="49">
        <v>8</v>
      </c>
      <c r="I26" s="55">
        <f t="shared" si="2"/>
        <v>113.43720000000002</v>
      </c>
      <c r="J26" s="56">
        <f t="shared" si="3"/>
        <v>0.76155130010720362</v>
      </c>
      <c r="K26" s="56">
        <f t="shared" si="0"/>
        <v>0.23844869989279638</v>
      </c>
      <c r="M26" s="390">
        <f>B26-'15W40'!B26</f>
        <v>81.740000000000009</v>
      </c>
      <c r="N26" s="49">
        <f>C26-'15W40'!C26</f>
        <v>61.739999999999952</v>
      </c>
      <c r="O26" s="49"/>
    </row>
    <row r="27" spans="1:15" ht="12.75" customHeight="1" x14ac:dyDescent="0.2">
      <c r="A27" s="48" t="s">
        <v>651</v>
      </c>
      <c r="B27" s="48">
        <f>'15W40'!B27+('15W40 Gallon'!G4-'15W40'!G4)*'15W40 Gallon'!F27+'15W40 Gallon'!M2</f>
        <v>373.85</v>
      </c>
      <c r="C27" s="49">
        <f t="shared" si="4"/>
        <v>270.75119999999998</v>
      </c>
      <c r="D27" s="48"/>
      <c r="E27" s="49">
        <f>'15W40'!E27</f>
        <v>45.391199999999998</v>
      </c>
      <c r="F27" s="48">
        <f>'15W40'!F27</f>
        <v>38</v>
      </c>
      <c r="G27" s="49">
        <f>F27*G4</f>
        <v>217.35999999999999</v>
      </c>
      <c r="H27" s="49">
        <v>8</v>
      </c>
      <c r="I27" s="55">
        <f t="shared" si="2"/>
        <v>103.09880000000004</v>
      </c>
      <c r="J27" s="56">
        <f t="shared" si="3"/>
        <v>0.72422415407248886</v>
      </c>
      <c r="K27" s="56">
        <f t="shared" si="0"/>
        <v>0.27577584592751114</v>
      </c>
      <c r="M27" s="390">
        <f>B27-'15W40'!B27</f>
        <v>70.860000000000014</v>
      </c>
      <c r="N27" s="49">
        <f>C27-'15W40'!C27</f>
        <v>55.859999999999985</v>
      </c>
      <c r="O27" s="49"/>
    </row>
    <row r="28" spans="1:15" ht="12.75" customHeight="1" x14ac:dyDescent="0.2">
      <c r="A28" s="48" t="s">
        <v>652</v>
      </c>
      <c r="B28" s="48">
        <f>'15W40'!B28+('15W40 Gallon'!G4-'15W40'!G4)*'15W40 Gallon'!F28+'15W40 Gallon'!M1</f>
        <v>201.57</v>
      </c>
      <c r="C28" s="49">
        <f t="shared" si="4"/>
        <v>98.182400000000001</v>
      </c>
      <c r="D28" s="48"/>
      <c r="E28" s="49">
        <f>'15W40'!E28</f>
        <v>10.102400000000001</v>
      </c>
      <c r="F28" s="48">
        <f>'15W40'!F28</f>
        <v>14</v>
      </c>
      <c r="G28" s="49">
        <f>F28*G4</f>
        <v>80.08</v>
      </c>
      <c r="H28" s="49">
        <v>8</v>
      </c>
      <c r="I28" s="55">
        <f t="shared" si="2"/>
        <v>103.38759999999999</v>
      </c>
      <c r="J28" s="56">
        <f t="shared" si="3"/>
        <v>0.48708835640224241</v>
      </c>
      <c r="K28" s="56">
        <f t="shared" si="0"/>
        <v>0.51291164359775765</v>
      </c>
      <c r="M28" s="390">
        <f>B28-'15W40'!B28</f>
        <v>30.579999999999984</v>
      </c>
      <c r="N28" s="49">
        <f>C28-'15W40'!C28</f>
        <v>20.58</v>
      </c>
      <c r="O28" s="49"/>
    </row>
    <row r="29" spans="1:15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M29" s="390"/>
      <c r="N29" s="49"/>
      <c r="O29" s="49"/>
    </row>
    <row r="30" spans="1:15" ht="12.75" customHeight="1" x14ac:dyDescent="0.2">
      <c r="A30" s="48" t="s">
        <v>653</v>
      </c>
      <c r="B30" s="48">
        <f>'15W40'!B30+('15W40 Gallon'!G4-'15W40'!G4)*'15W40 Gallon'!F30+'15W40 Gallon'!M1</f>
        <v>201.57</v>
      </c>
      <c r="C30" s="49">
        <f>E30+G30+H30</f>
        <v>102.49680000000001</v>
      </c>
      <c r="D30" s="48"/>
      <c r="E30" s="49">
        <f>'15W40'!E30</f>
        <v>14.416800000000002</v>
      </c>
      <c r="F30" s="48">
        <f>'15W40'!F30</f>
        <v>14</v>
      </c>
      <c r="G30" s="49">
        <f>F30*G4</f>
        <v>80.08</v>
      </c>
      <c r="H30" s="49">
        <v>8</v>
      </c>
      <c r="I30" s="55">
        <f t="shared" si="2"/>
        <v>99.073199999999986</v>
      </c>
      <c r="J30" s="56">
        <f t="shared" si="3"/>
        <v>0.508492335168924</v>
      </c>
      <c r="K30" s="56">
        <f t="shared" si="0"/>
        <v>0.491507664831076</v>
      </c>
      <c r="M30" s="390">
        <f>B30-'15W40'!B30</f>
        <v>30.579999999999984</v>
      </c>
      <c r="N30" s="49">
        <f>C30-'15W40'!C30</f>
        <v>20.580000000000013</v>
      </c>
      <c r="O30" s="49"/>
    </row>
    <row r="31" spans="1:15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M31" s="390"/>
      <c r="N31" s="49"/>
      <c r="O31" s="49"/>
    </row>
    <row r="32" spans="1:15" ht="12.75" customHeight="1" x14ac:dyDescent="0.2">
      <c r="A32" s="48" t="s">
        <v>423</v>
      </c>
      <c r="B32" s="48">
        <f>'15W40'!B32+('15W40 Gallon'!G4-'15W40'!G4)*'15W40 Gallon'!F32+'15W40 Gallon'!M1</f>
        <v>300.57</v>
      </c>
      <c r="C32" s="49">
        <f>E32+G32+H32</f>
        <v>184.07999999999998</v>
      </c>
      <c r="D32" s="48"/>
      <c r="E32" s="49">
        <f>'15W40'!E32</f>
        <v>96</v>
      </c>
      <c r="F32" s="48">
        <f>'15W40'!F32</f>
        <v>14</v>
      </c>
      <c r="G32" s="49">
        <f>F32*G4</f>
        <v>80.08</v>
      </c>
      <c r="H32" s="49">
        <v>8</v>
      </c>
      <c r="I32" s="55">
        <f t="shared" si="2"/>
        <v>116.49000000000001</v>
      </c>
      <c r="J32" s="56">
        <f t="shared" si="3"/>
        <v>0.6124363708952989</v>
      </c>
      <c r="K32" s="56">
        <f t="shared" si="0"/>
        <v>0.3875636291047011</v>
      </c>
      <c r="M32" s="390">
        <f>B32-'15W40'!B32</f>
        <v>30.579999999999984</v>
      </c>
      <c r="N32" s="49">
        <f>C32-'15W40'!C32</f>
        <v>20.579999999999984</v>
      </c>
      <c r="O32" s="49"/>
    </row>
    <row r="33" spans="1:15" ht="12.75" customHeight="1" x14ac:dyDescent="0.2">
      <c r="A33" s="48" t="s">
        <v>654</v>
      </c>
      <c r="B33" s="48">
        <f>'15W40'!B33+('15W40 Gallon'!G4-'15W40'!G4)*'15W40 Gallon'!F33+'15W40 Gallon'!M1</f>
        <v>230.57</v>
      </c>
      <c r="C33" s="49">
        <f>E33+G33+H33</f>
        <v>115.5016</v>
      </c>
      <c r="D33" s="48"/>
      <c r="E33" s="49">
        <f>'15W40'!E33</f>
        <v>27.421599999999998</v>
      </c>
      <c r="F33" s="48">
        <f>'15W40'!F33</f>
        <v>14</v>
      </c>
      <c r="G33" s="49">
        <f>F33*G4</f>
        <v>80.08</v>
      </c>
      <c r="H33" s="49">
        <v>8</v>
      </c>
      <c r="I33" s="55">
        <f t="shared" si="2"/>
        <v>115.0684</v>
      </c>
      <c r="J33" s="56">
        <f t="shared" si="3"/>
        <v>0.5009394110248514</v>
      </c>
      <c r="K33" s="56">
        <f t="shared" si="0"/>
        <v>0.4990605889751486</v>
      </c>
      <c r="M33" s="390">
        <f>B33-'15W40'!B33</f>
        <v>30.579999999999984</v>
      </c>
      <c r="N33" s="49">
        <f>C33-'15W40'!C33</f>
        <v>20.58</v>
      </c>
      <c r="O33" s="49"/>
    </row>
    <row r="34" spans="1:15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M34" s="390"/>
      <c r="N34" s="49"/>
      <c r="O34" s="49"/>
    </row>
    <row r="35" spans="1:15" ht="12.75" customHeight="1" x14ac:dyDescent="0.2">
      <c r="A35" s="48" t="s">
        <v>655</v>
      </c>
      <c r="B35" s="48">
        <f>'15W40'!B35+('15W40 Gallon'!G4-'15W40'!G4)*'15W40 Gallon'!F35+'15W40 Gallon'!M2</f>
        <v>319.20999999999998</v>
      </c>
      <c r="C35" s="49">
        <f>E35+G35+H35</f>
        <v>210.28880000000001</v>
      </c>
      <c r="D35" s="48"/>
      <c r="E35" s="49">
        <f>'15W40'!E35</f>
        <v>53.56880000000001</v>
      </c>
      <c r="F35" s="48">
        <f>'15W40'!F35</f>
        <v>26</v>
      </c>
      <c r="G35" s="49">
        <f>F35*G4</f>
        <v>148.72</v>
      </c>
      <c r="H35" s="49">
        <v>8</v>
      </c>
      <c r="I35" s="55">
        <f t="shared" si="2"/>
        <v>108.92119999999997</v>
      </c>
      <c r="J35" s="56">
        <f t="shared" si="3"/>
        <v>0.65877886031139388</v>
      </c>
      <c r="K35" s="56">
        <f t="shared" si="0"/>
        <v>0.34122113968860612</v>
      </c>
      <c r="M35" s="390">
        <f>B35-'15W40'!B35</f>
        <v>53.21999999999997</v>
      </c>
      <c r="N35" s="49">
        <f>C35-'15W40'!C35</f>
        <v>38.22</v>
      </c>
      <c r="O35" s="49"/>
    </row>
    <row r="36" spans="1:15" ht="12.75" customHeight="1" x14ac:dyDescent="0.2">
      <c r="A36" s="48" t="s">
        <v>1245</v>
      </c>
      <c r="B36" s="48">
        <f>'15W40'!B36+('15W40 Gallon'!G4-'15W40'!G4)*'15W40 Gallon'!F36+'15W40 Gallon'!M3</f>
        <v>587.61</v>
      </c>
      <c r="C36" s="49">
        <f>E36+G36+H36</f>
        <v>449.92</v>
      </c>
      <c r="D36" s="48"/>
      <c r="E36" s="49">
        <f>'15W40'!E36</f>
        <v>178.8</v>
      </c>
      <c r="F36" s="48">
        <f>'15W40'!F36</f>
        <v>46</v>
      </c>
      <c r="G36" s="49">
        <f>F36*G4</f>
        <v>263.12</v>
      </c>
      <c r="H36" s="49">
        <v>8</v>
      </c>
      <c r="I36" s="55">
        <f t="shared" si="2"/>
        <v>137.69</v>
      </c>
      <c r="J36" s="56">
        <f t="shared" si="3"/>
        <v>0.76567791562430865</v>
      </c>
      <c r="K36" s="56">
        <f t="shared" si="0"/>
        <v>0.23432208437569135</v>
      </c>
      <c r="M36" s="390"/>
      <c r="N36" s="49">
        <f>C36-'15W40'!C36</f>
        <v>67.62</v>
      </c>
      <c r="O36" s="49"/>
    </row>
    <row r="37" spans="1:15" ht="12.75" customHeight="1" x14ac:dyDescent="0.2">
      <c r="A37" s="48" t="s">
        <v>1249</v>
      </c>
      <c r="B37" s="48">
        <f>'15W40'!B37+('15W40 Gallon'!G4-'15W40'!G4)*'15W40 Gallon'!F37+'15W40 Gallon'!M4</f>
        <v>295.57</v>
      </c>
      <c r="C37" s="49">
        <f>E37+G37+H37</f>
        <v>145.9528</v>
      </c>
      <c r="D37" s="48"/>
      <c r="E37" s="49">
        <f>'15W40'!E37</f>
        <v>57.872799999999998</v>
      </c>
      <c r="F37" s="48">
        <f>'15W40'!F37</f>
        <v>14</v>
      </c>
      <c r="G37" s="49">
        <f>F37*G4</f>
        <v>80.08</v>
      </c>
      <c r="H37" s="49">
        <v>8</v>
      </c>
      <c r="I37" s="55">
        <f t="shared" si="2"/>
        <v>149.6172</v>
      </c>
      <c r="J37" s="56">
        <f t="shared" si="3"/>
        <v>0.49380113001996145</v>
      </c>
      <c r="K37" s="56">
        <f t="shared" si="0"/>
        <v>0.5061988699800386</v>
      </c>
      <c r="M37" s="390"/>
      <c r="N37" s="49"/>
      <c r="O37" s="49"/>
    </row>
    <row r="38" spans="1:15" ht="12.75" customHeight="1" x14ac:dyDescent="0.2">
      <c r="A38" s="48" t="s">
        <v>1124</v>
      </c>
      <c r="B38" s="48">
        <f>'15W40'!B38+('15W40 Gallon'!G4-'15W40'!G4)*'15W40 Gallon'!F38+'15W40 Gallon'!M1</f>
        <v>246.57</v>
      </c>
      <c r="C38" s="49">
        <f t="shared" ref="C38:C53" si="5">E38+G38+H38</f>
        <v>132.2208</v>
      </c>
      <c r="D38" s="48"/>
      <c r="E38" s="49">
        <f>'15W40'!E38</f>
        <v>44.140799999999999</v>
      </c>
      <c r="F38" s="48">
        <f>'15W40'!F38</f>
        <v>14</v>
      </c>
      <c r="G38" s="49">
        <f>F38*G4</f>
        <v>80.08</v>
      </c>
      <c r="H38" s="49">
        <v>8</v>
      </c>
      <c r="I38" s="55">
        <f t="shared" si="2"/>
        <v>114.3492</v>
      </c>
      <c r="J38" s="56">
        <f t="shared" si="3"/>
        <v>0.53624041854240179</v>
      </c>
      <c r="K38" s="56">
        <f t="shared" si="0"/>
        <v>0.46375958145759821</v>
      </c>
      <c r="M38" s="390">
        <f>B38-'15W40'!B38</f>
        <v>30.579999999999984</v>
      </c>
      <c r="N38" s="49">
        <f>C38-'15W40'!C38</f>
        <v>20.58</v>
      </c>
      <c r="O38" s="49"/>
    </row>
    <row r="39" spans="1:15" ht="12.75" customHeight="1" x14ac:dyDescent="0.2">
      <c r="A39" s="48" t="s">
        <v>425</v>
      </c>
      <c r="B39" s="48">
        <f>'15W40'!B39+('15W40 Gallon'!G4-'15W40'!G4)*'15W40 Gallon'!F39+'15W40 Gallon'!M1</f>
        <v>306.57</v>
      </c>
      <c r="C39" s="49">
        <f t="shared" si="5"/>
        <v>157.05000000000001</v>
      </c>
      <c r="D39" s="48"/>
      <c r="E39" s="49">
        <f>'15W40'!E39</f>
        <v>68.97</v>
      </c>
      <c r="F39" s="48">
        <f>'15W40'!F39</f>
        <v>14</v>
      </c>
      <c r="G39" s="49">
        <f>F39*G4</f>
        <v>80.08</v>
      </c>
      <c r="H39" s="49">
        <v>8</v>
      </c>
      <c r="I39" s="55">
        <f t="shared" si="2"/>
        <v>149.51999999999998</v>
      </c>
      <c r="J39" s="56">
        <f t="shared" si="3"/>
        <v>0.5122810451120462</v>
      </c>
      <c r="K39" s="56">
        <f t="shared" si="0"/>
        <v>0.4877189548879538</v>
      </c>
      <c r="M39" s="390"/>
      <c r="N39" s="49">
        <f>C39-'15W40'!C39</f>
        <v>20.580000000000013</v>
      </c>
      <c r="O39" s="49"/>
    </row>
    <row r="40" spans="1:15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M40" s="390"/>
      <c r="N40" s="49"/>
      <c r="O40" s="49"/>
    </row>
    <row r="41" spans="1:15" ht="12.75" customHeight="1" x14ac:dyDescent="0.2">
      <c r="A41" s="48" t="s">
        <v>913</v>
      </c>
      <c r="B41" s="48">
        <f>'15W40'!B41+('15W40 Gallon'!G4-'15W40'!G4)*'15W40 Gallon'!F41+'15W40 Gallon'!M2</f>
        <v>434.85</v>
      </c>
      <c r="C41" s="49">
        <f t="shared" si="5"/>
        <v>311.96479999999997</v>
      </c>
      <c r="D41" s="48"/>
      <c r="E41" s="49">
        <f>'15W40'!E41</f>
        <v>86.604800000000012</v>
      </c>
      <c r="F41" s="48">
        <f>'15W40'!F41</f>
        <v>38</v>
      </c>
      <c r="G41" s="49">
        <f>F41*G4</f>
        <v>217.35999999999999</v>
      </c>
      <c r="H41" s="49">
        <v>8</v>
      </c>
      <c r="I41" s="55">
        <f t="shared" si="2"/>
        <v>122.88520000000005</v>
      </c>
      <c r="J41" s="56">
        <f t="shared" si="3"/>
        <v>0.71740784178452333</v>
      </c>
      <c r="K41" s="56">
        <f t="shared" si="0"/>
        <v>0.28259215821547667</v>
      </c>
      <c r="M41" s="390">
        <f>B41-'15W40'!B41</f>
        <v>70.860000000000014</v>
      </c>
      <c r="N41" s="49">
        <f>C41-'15W40'!C41</f>
        <v>55.859999999999957</v>
      </c>
      <c r="O41" s="49"/>
    </row>
    <row r="42" spans="1:15" ht="12.75" customHeight="1" x14ac:dyDescent="0.2">
      <c r="A42" s="48" t="s">
        <v>912</v>
      </c>
      <c r="B42" s="48">
        <f>'15W40'!B42+('15W40 Gallon'!G4-'15W40'!G4)*'15W40 Gallon'!F42+'15W40 Gallon'!M2</f>
        <v>505.85</v>
      </c>
      <c r="C42" s="49">
        <f t="shared" si="5"/>
        <v>398.86</v>
      </c>
      <c r="D42" s="48"/>
      <c r="E42" s="49">
        <f>'15W40'!E42</f>
        <v>173.5</v>
      </c>
      <c r="F42" s="48">
        <f>'15W40'!F42</f>
        <v>38</v>
      </c>
      <c r="G42" s="49">
        <f>F42*G4</f>
        <v>217.35999999999999</v>
      </c>
      <c r="H42" s="49">
        <v>8</v>
      </c>
      <c r="I42" s="55">
        <f t="shared" si="2"/>
        <v>106.99000000000001</v>
      </c>
      <c r="J42" s="56">
        <f t="shared" si="3"/>
        <v>0.78849461302757728</v>
      </c>
      <c r="K42" s="56">
        <f t="shared" si="0"/>
        <v>0.21150538697242272</v>
      </c>
      <c r="M42" s="390">
        <f>B42-'15W40'!B42</f>
        <v>70.860000000000014</v>
      </c>
      <c r="N42" s="49">
        <f>C42-'15W40'!C42</f>
        <v>55.860000000000014</v>
      </c>
      <c r="O42" s="49"/>
    </row>
    <row r="43" spans="1:15" ht="12.75" customHeight="1" x14ac:dyDescent="0.2">
      <c r="A43" s="48" t="s">
        <v>909</v>
      </c>
      <c r="B43" s="48">
        <f>'15W40'!B43+('15W40 Gallon'!G4-'15W40'!G4)*'15W40 Gallon'!F43+'15W40 Gallon'!M4</f>
        <v>542.84</v>
      </c>
      <c r="C43" s="49">
        <f t="shared" si="5"/>
        <v>409.20479999999998</v>
      </c>
      <c r="D43" s="48"/>
      <c r="E43" s="49">
        <f>'15W40'!E41</f>
        <v>86.604800000000012</v>
      </c>
      <c r="F43" s="48">
        <f>'15W40'!F43</f>
        <v>55</v>
      </c>
      <c r="G43" s="49">
        <f>F43*G4</f>
        <v>314.59999999999997</v>
      </c>
      <c r="H43" s="49">
        <v>8</v>
      </c>
      <c r="I43" s="55">
        <f t="shared" si="2"/>
        <v>133.63520000000005</v>
      </c>
      <c r="J43" s="56">
        <f t="shared" si="3"/>
        <v>0.75382212069854826</v>
      </c>
      <c r="K43" s="56">
        <f t="shared" si="0"/>
        <v>0.24617787930145174</v>
      </c>
      <c r="M43" s="390">
        <f>B43-'15W40'!B43</f>
        <v>105.85000000000002</v>
      </c>
      <c r="N43" s="49">
        <f>C43-'15W40'!C43</f>
        <v>80.849999999999966</v>
      </c>
      <c r="O43" s="49"/>
    </row>
    <row r="44" spans="1:15" ht="12.75" customHeight="1" x14ac:dyDescent="0.2">
      <c r="A44" s="48" t="s">
        <v>910</v>
      </c>
      <c r="B44" s="48">
        <f>'15W40'!B44+('15W40 Gallon'!G4-'15W40'!G4)*'15W40 Gallon'!F44+'15W40 Gallon'!M4</f>
        <v>615.84</v>
      </c>
      <c r="C44" s="49">
        <f t="shared" si="5"/>
        <v>496.09999999999997</v>
      </c>
      <c r="D44" s="48"/>
      <c r="E44" s="49">
        <f>'15W40'!E44</f>
        <v>173.5</v>
      </c>
      <c r="F44" s="48">
        <f>'15W40'!F44</f>
        <v>55</v>
      </c>
      <c r="G44" s="49">
        <f>F44*G4</f>
        <v>314.59999999999997</v>
      </c>
      <c r="H44" s="49">
        <v>8</v>
      </c>
      <c r="I44" s="55">
        <f t="shared" si="2"/>
        <v>119.74000000000007</v>
      </c>
      <c r="J44" s="56">
        <f t="shared" si="3"/>
        <v>0.80556638087815002</v>
      </c>
      <c r="K44" s="56">
        <f t="shared" si="0"/>
        <v>0.19443361912184998</v>
      </c>
      <c r="M44" s="390">
        <f>B44-'15W40'!B44</f>
        <v>105.85000000000002</v>
      </c>
      <c r="N44" s="49">
        <f>C44-'15W40'!C44</f>
        <v>80.849999999999966</v>
      </c>
      <c r="O44" s="49"/>
    </row>
    <row r="45" spans="1:15" ht="12.75" customHeight="1" x14ac:dyDescent="0.2">
      <c r="A45" s="48" t="s">
        <v>656</v>
      </c>
      <c r="B45" s="48">
        <f>'15W40'!B45+('15W40 Gallon'!G4-'15W40'!G4)*'15W40 Gallon'!F45+'15W40 Gallon'!M2</f>
        <v>388.85</v>
      </c>
      <c r="C45" s="49">
        <f t="shared" si="5"/>
        <v>275.74399999999997</v>
      </c>
      <c r="D45" s="48"/>
      <c r="E45" s="49">
        <f>'15W40'!E45</f>
        <v>50.384</v>
      </c>
      <c r="F45" s="48">
        <f>'15W40'!F45</f>
        <v>38</v>
      </c>
      <c r="G45" s="49">
        <f>F45*G4</f>
        <v>217.35999999999999</v>
      </c>
      <c r="H45" s="49">
        <v>8</v>
      </c>
      <c r="I45" s="55">
        <f t="shared" si="2"/>
        <v>113.10600000000005</v>
      </c>
      <c r="J45" s="56">
        <f t="shared" si="3"/>
        <v>0.70912691269126904</v>
      </c>
      <c r="K45" s="56">
        <f t="shared" si="0"/>
        <v>0.29087308730873096</v>
      </c>
      <c r="M45" s="390">
        <f>B45-'15W40'!B45</f>
        <v>70.860000000000014</v>
      </c>
      <c r="N45" s="49">
        <f>C45-'15W40'!C45</f>
        <v>55.859999999999957</v>
      </c>
      <c r="O45" s="49"/>
    </row>
    <row r="46" spans="1:15" ht="12.75" customHeight="1" x14ac:dyDescent="0.2">
      <c r="A46" s="48" t="s">
        <v>657</v>
      </c>
      <c r="B46" s="48">
        <f>'15W40'!B46+('15W40 Gallon'!G4-'15W40'!G4)*'15W40 Gallon'!F46+'15W40 Gallon'!M4</f>
        <v>479.43</v>
      </c>
      <c r="C46" s="49">
        <f t="shared" si="5"/>
        <v>355.82400000000001</v>
      </c>
      <c r="D46" s="48"/>
      <c r="E46" s="49">
        <f>'15W40'!E46</f>
        <v>50.384</v>
      </c>
      <c r="F46" s="48">
        <f>'15W40'!F46</f>
        <v>52</v>
      </c>
      <c r="G46" s="49">
        <f>F46*G4</f>
        <v>297.44</v>
      </c>
      <c r="H46" s="49">
        <v>8</v>
      </c>
      <c r="I46" s="55">
        <f t="shared" si="2"/>
        <v>123.60599999999999</v>
      </c>
      <c r="J46" s="56">
        <f t="shared" si="3"/>
        <v>0.74218134034165573</v>
      </c>
      <c r="K46" s="56">
        <f t="shared" si="0"/>
        <v>0.25781865965834427</v>
      </c>
      <c r="M46" s="390">
        <f>B46-'15W40'!B46</f>
        <v>101.44</v>
      </c>
      <c r="N46" s="49">
        <f>C46-'15W40'!C46</f>
        <v>76.44</v>
      </c>
      <c r="O46" s="49"/>
    </row>
    <row r="47" spans="1:15" ht="12.75" customHeight="1" x14ac:dyDescent="0.2">
      <c r="A47" s="48" t="s">
        <v>658</v>
      </c>
      <c r="B47" s="48">
        <f>'15W40'!B47+('15W40 Gallon'!G4-'15W40'!G4)*'15W40 Gallon'!F47+'15W40 Gallon'!M2</f>
        <v>497.85</v>
      </c>
      <c r="C47" s="49">
        <f t="shared" si="5"/>
        <v>386.75</v>
      </c>
      <c r="D47" s="48"/>
      <c r="E47" s="49">
        <f>'15W40'!E47</f>
        <v>161.38999999999999</v>
      </c>
      <c r="F47" s="48">
        <f>'15W40'!F47</f>
        <v>38</v>
      </c>
      <c r="G47" s="49">
        <f>F47*G4</f>
        <v>217.35999999999999</v>
      </c>
      <c r="H47" s="49">
        <v>8</v>
      </c>
      <c r="I47" s="55">
        <f t="shared" si="2"/>
        <v>111.10000000000002</v>
      </c>
      <c r="J47" s="56">
        <f t="shared" si="3"/>
        <v>0.77684041377925073</v>
      </c>
      <c r="K47" s="56">
        <f t="shared" si="0"/>
        <v>0.22315958622074927</v>
      </c>
      <c r="M47" s="390">
        <f>B47-'15W40'!B47</f>
        <v>70.860000000000014</v>
      </c>
      <c r="N47" s="49">
        <f>C47-'15W40'!C47</f>
        <v>55.860000000000014</v>
      </c>
      <c r="O47" s="49"/>
    </row>
    <row r="48" spans="1:15" ht="12.75" customHeight="1" x14ac:dyDescent="0.2">
      <c r="A48" s="48" t="s">
        <v>659</v>
      </c>
      <c r="B48" s="48">
        <f>'15W40'!B48+('15W40 Gallon'!G4-'15W40'!G4)*'15W40 Gallon'!F48+'15W40 Gallon'!M4</f>
        <v>591.42999999999995</v>
      </c>
      <c r="C48" s="49">
        <f t="shared" si="5"/>
        <v>466.83</v>
      </c>
      <c r="D48" s="48"/>
      <c r="E48" s="49">
        <f>'15W40'!E48</f>
        <v>161.38999999999999</v>
      </c>
      <c r="F48" s="48">
        <f>'15W40'!F48</f>
        <v>52</v>
      </c>
      <c r="G48" s="49">
        <f>F48*G4</f>
        <v>297.44</v>
      </c>
      <c r="H48" s="49">
        <v>8</v>
      </c>
      <c r="I48" s="55">
        <f t="shared" si="2"/>
        <v>124.59999999999997</v>
      </c>
      <c r="J48" s="56">
        <f t="shared" si="3"/>
        <v>0.78932418037637597</v>
      </c>
      <c r="K48" s="56">
        <f t="shared" si="0"/>
        <v>0.21067581962362403</v>
      </c>
      <c r="M48" s="390">
        <f>B48-'15W40'!B48</f>
        <v>101.43999999999994</v>
      </c>
      <c r="N48" s="49">
        <f>C48-'15W40'!C48</f>
        <v>76.44</v>
      </c>
      <c r="O48" s="49"/>
    </row>
    <row r="49" spans="1:15" ht="12.75" customHeight="1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M49" s="390"/>
      <c r="N49" s="49"/>
      <c r="O49" s="49"/>
    </row>
    <row r="50" spans="1:15" ht="12.75" customHeight="1" x14ac:dyDescent="0.2">
      <c r="A50" s="48" t="s">
        <v>660</v>
      </c>
      <c r="B50" s="48">
        <f>'15W40'!B50+('15W40 Gallon'!G4-'15W40'!G4)*'15W40 Gallon'!F50+'15W40 Gallon'!M2</f>
        <v>489.21</v>
      </c>
      <c r="C50" s="49">
        <f t="shared" si="5"/>
        <v>379.4</v>
      </c>
      <c r="D50" s="48"/>
      <c r="E50" s="49">
        <f>'15W40'!E50</f>
        <v>222.68</v>
      </c>
      <c r="F50" s="48">
        <f>'15W40'!F50</f>
        <v>26</v>
      </c>
      <c r="G50" s="49">
        <f>F50*G4</f>
        <v>148.72</v>
      </c>
      <c r="H50" s="49">
        <v>8</v>
      </c>
      <c r="I50" s="55">
        <f t="shared" si="2"/>
        <v>109.81</v>
      </c>
      <c r="J50" s="56">
        <f t="shared" si="3"/>
        <v>0.77553606835510314</v>
      </c>
      <c r="K50" s="56">
        <f t="shared" si="0"/>
        <v>0.22446393164489686</v>
      </c>
      <c r="M50" s="390">
        <f>B50-'15W40'!B50</f>
        <v>53.21999999999997</v>
      </c>
      <c r="N50" s="49">
        <f>C50-'15W40'!C50</f>
        <v>38.21999999999997</v>
      </c>
      <c r="O50" s="49"/>
    </row>
    <row r="51" spans="1:15" ht="12.75" customHeight="1" x14ac:dyDescent="0.2">
      <c r="A51" s="48" t="s">
        <v>661</v>
      </c>
      <c r="B51" s="48">
        <f>'15W40'!B51+('15W40 Gallon'!G4-'15W40'!G4)*'15W40 Gallon'!F51+'15W40 Gallon'!M2</f>
        <v>410.21</v>
      </c>
      <c r="C51" s="49">
        <f>E51+G51+H51</f>
        <v>301.89599999999996</v>
      </c>
      <c r="D51" s="48"/>
      <c r="E51" s="49">
        <f>'15W40'!E51</f>
        <v>145.17599999999999</v>
      </c>
      <c r="F51" s="48">
        <f>'15W40'!F51</f>
        <v>26</v>
      </c>
      <c r="G51" s="49">
        <f>F51*G4</f>
        <v>148.72</v>
      </c>
      <c r="H51" s="49">
        <v>8</v>
      </c>
      <c r="I51" s="55">
        <f t="shared" si="2"/>
        <v>108.31400000000002</v>
      </c>
      <c r="J51" s="56">
        <f t="shared" si="3"/>
        <v>0.73595475488164597</v>
      </c>
      <c r="K51" s="56">
        <f t="shared" si="0"/>
        <v>0.26404524511835403</v>
      </c>
      <c r="M51" s="390">
        <f>B51-'15W40'!B51</f>
        <v>53.21999999999997</v>
      </c>
      <c r="N51" s="49">
        <f>C51-'15W40'!C51</f>
        <v>38.21999999999997</v>
      </c>
      <c r="O51" s="49"/>
    </row>
    <row r="52" spans="1:15" ht="12.75" customHeight="1" x14ac:dyDescent="0.2">
      <c r="A52" s="48" t="s">
        <v>662</v>
      </c>
      <c r="B52" s="48">
        <f>'15W40'!B52+('15W40 Gallon'!G4-'15W40'!G4)*'15W40 Gallon'!F52+'15W40 Gallon'!M2</f>
        <v>505.85</v>
      </c>
      <c r="C52" s="49">
        <f t="shared" si="5"/>
        <v>390.04999999999995</v>
      </c>
      <c r="D52" s="48"/>
      <c r="E52" s="49">
        <f>'15W40'!E52</f>
        <v>164.69</v>
      </c>
      <c r="F52" s="48">
        <f>'15W40'!F52</f>
        <v>38</v>
      </c>
      <c r="G52" s="49">
        <f>F52*G4</f>
        <v>217.35999999999999</v>
      </c>
      <c r="H52" s="49">
        <v>8</v>
      </c>
      <c r="I52" s="55">
        <f t="shared" si="2"/>
        <v>115.80000000000007</v>
      </c>
      <c r="J52" s="56">
        <f t="shared" si="3"/>
        <v>0.77107838291983777</v>
      </c>
      <c r="K52" s="56">
        <f t="shared" si="0"/>
        <v>0.22892161708016223</v>
      </c>
      <c r="M52" s="390">
        <f>B52-'15W40'!B52</f>
        <v>70.860000000000014</v>
      </c>
      <c r="N52" s="49">
        <f>C52-'15W40'!C52</f>
        <v>55.859999999999957</v>
      </c>
      <c r="O52" s="49"/>
    </row>
    <row r="53" spans="1:15" ht="12.75" customHeight="1" x14ac:dyDescent="0.2">
      <c r="A53" s="48" t="s">
        <v>663</v>
      </c>
      <c r="B53" s="48">
        <f>'15W40'!B53+('15W40 Gallon'!G4-'15W40'!G4)*'15W40 Gallon'!F53+'15W40 Gallon'!M2</f>
        <v>427.85</v>
      </c>
      <c r="C53" s="49">
        <f t="shared" si="5"/>
        <v>314.16319999999996</v>
      </c>
      <c r="D53" s="48"/>
      <c r="E53" s="49">
        <f>'15W40'!E53</f>
        <v>88.80319999999999</v>
      </c>
      <c r="F53" s="48">
        <f>'15W40'!F53</f>
        <v>38</v>
      </c>
      <c r="G53" s="49">
        <f>F53*G4</f>
        <v>217.35999999999999</v>
      </c>
      <c r="H53" s="49">
        <v>8</v>
      </c>
      <c r="I53" s="55">
        <f t="shared" si="2"/>
        <v>113.68680000000006</v>
      </c>
      <c r="J53" s="56">
        <f t="shared" si="3"/>
        <v>0.73428351057613639</v>
      </c>
      <c r="K53" s="56">
        <f t="shared" si="0"/>
        <v>0.26571648942386361</v>
      </c>
      <c r="M53" s="390">
        <f>B53-'15W40'!B53</f>
        <v>70.860000000000014</v>
      </c>
      <c r="N53" s="49">
        <f>C53-'15W40'!C53</f>
        <v>55.859999999999957</v>
      </c>
      <c r="O53" s="49"/>
    </row>
    <row r="54" spans="1:15" ht="12.75" customHeight="1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M54" s="390"/>
      <c r="N54" s="49"/>
      <c r="O54" s="49"/>
    </row>
    <row r="55" spans="1:15" ht="12.75" customHeight="1" x14ac:dyDescent="0.2">
      <c r="A55" s="48" t="s">
        <v>665</v>
      </c>
      <c r="B55" s="48">
        <f>'15W40'!B55+('15W40 Gallon'!G4-'15W40'!G4)*'15W40 Gallon'!F55+'15W40 Gallon'!M3</f>
        <v>454.08</v>
      </c>
      <c r="C55" s="49">
        <f t="shared" ref="C55:C60" si="6">E55+G55+H55</f>
        <v>326.84999999999997</v>
      </c>
      <c r="D55" s="48"/>
      <c r="E55" s="49">
        <f>'15W40'!E55</f>
        <v>50.010000000000005</v>
      </c>
      <c r="F55" s="48">
        <f>'15W40'!F55</f>
        <v>47</v>
      </c>
      <c r="G55" s="49">
        <f>F55*G4</f>
        <v>268.83999999999997</v>
      </c>
      <c r="H55" s="49">
        <v>8</v>
      </c>
      <c r="I55" s="55">
        <f t="shared" si="2"/>
        <v>127.23000000000002</v>
      </c>
      <c r="J55" s="56">
        <f t="shared" si="3"/>
        <v>0.71980708245243119</v>
      </c>
      <c r="K55" s="56">
        <f t="shared" si="0"/>
        <v>0.28019291754756881</v>
      </c>
      <c r="M55" s="390">
        <f>B55-'15W40'!B55</f>
        <v>89.089999999999975</v>
      </c>
      <c r="N55" s="49">
        <f>C55-'15W40'!C55</f>
        <v>69.089999999999975</v>
      </c>
      <c r="O55" s="49"/>
    </row>
    <row r="56" spans="1:15" ht="12.75" customHeight="1" x14ac:dyDescent="0.2">
      <c r="A56" s="48" t="s">
        <v>666</v>
      </c>
      <c r="B56" s="48">
        <f>'15W40'!B56+('15W40 Gallon'!G4-'15W40'!G4)*'15W40 Gallon'!F56+'15W40 Gallon'!M3</f>
        <v>432.08</v>
      </c>
      <c r="C56" s="49">
        <f t="shared" si="6"/>
        <v>318.28159999999997</v>
      </c>
      <c r="D56" s="48"/>
      <c r="E56" s="49">
        <f>'15W40'!E56</f>
        <v>41.441600000000001</v>
      </c>
      <c r="F56" s="48">
        <f>'15W40'!F56</f>
        <v>47</v>
      </c>
      <c r="G56" s="49">
        <f>F56*G4</f>
        <v>268.83999999999997</v>
      </c>
      <c r="H56" s="49">
        <v>8</v>
      </c>
      <c r="I56" s="55">
        <f t="shared" si="2"/>
        <v>113.79840000000002</v>
      </c>
      <c r="J56" s="56">
        <f t="shared" si="3"/>
        <v>0.73662655063877058</v>
      </c>
      <c r="K56" s="56">
        <f t="shared" si="0"/>
        <v>0.26337344936122942</v>
      </c>
      <c r="M56" s="390">
        <f>B56-'15W40'!B56</f>
        <v>89.089999999999975</v>
      </c>
      <c r="N56" s="49">
        <f>C56-'15W40'!C56</f>
        <v>69.089999999999975</v>
      </c>
      <c r="O56" s="49"/>
    </row>
    <row r="57" spans="1:15" ht="12.75" customHeight="1" x14ac:dyDescent="0.2">
      <c r="A57" s="48" t="s">
        <v>667</v>
      </c>
      <c r="B57" s="48">
        <f>'15W40'!B57+('15W40 Gallon'!G4-'15W40'!G4)*'15W40 Gallon'!F57+'15W40 Gallon'!M2</f>
        <v>333.21</v>
      </c>
      <c r="C57" s="49">
        <f t="shared" si="6"/>
        <v>204.26999999999998</v>
      </c>
      <c r="D57" s="48"/>
      <c r="E57" s="49">
        <f>'15W40'!E57</f>
        <v>47.55</v>
      </c>
      <c r="F57" s="48">
        <f>'15W40'!F57</f>
        <v>26</v>
      </c>
      <c r="G57" s="49">
        <f>F57*G4</f>
        <v>148.72</v>
      </c>
      <c r="H57" s="49">
        <v>8</v>
      </c>
      <c r="I57" s="55">
        <f t="shared" si="2"/>
        <v>128.94</v>
      </c>
      <c r="J57" s="56">
        <f t="shared" si="3"/>
        <v>0.6130368236247411</v>
      </c>
      <c r="K57" s="56">
        <f t="shared" si="0"/>
        <v>0.3869631763752589</v>
      </c>
      <c r="M57" s="390">
        <f>B57-'15W40'!B57</f>
        <v>53.21999999999997</v>
      </c>
      <c r="N57" s="49">
        <f>C57-'15W40'!C57</f>
        <v>38.21999999999997</v>
      </c>
      <c r="O57" s="49"/>
    </row>
    <row r="58" spans="1:15" ht="12.75" customHeight="1" x14ac:dyDescent="0.2">
      <c r="A58" s="48" t="s">
        <v>668</v>
      </c>
      <c r="B58" s="48">
        <f>'15W40'!B58+('15W40 Gallon'!G4-'15W40'!G4)*'15W40 Gallon'!F58+'15W40 Gallon'!M2</f>
        <v>295.20999999999998</v>
      </c>
      <c r="C58" s="49">
        <f t="shared" si="6"/>
        <v>190.196</v>
      </c>
      <c r="D58" s="48"/>
      <c r="E58" s="49">
        <f>'15W40'!E58</f>
        <v>33.475999999999999</v>
      </c>
      <c r="F58" s="48">
        <f>'15W40'!F58</f>
        <v>26</v>
      </c>
      <c r="G58" s="49">
        <f>F58*G4</f>
        <v>148.72</v>
      </c>
      <c r="H58" s="49">
        <v>8</v>
      </c>
      <c r="I58" s="55">
        <f t="shared" si="2"/>
        <v>105.01399999999998</v>
      </c>
      <c r="J58" s="56">
        <f t="shared" si="3"/>
        <v>0.64427356796856483</v>
      </c>
      <c r="K58" s="56">
        <f t="shared" si="0"/>
        <v>0.35572643203143517</v>
      </c>
      <c r="M58" s="390">
        <f>B58-'15W40'!B58</f>
        <v>53.21999999999997</v>
      </c>
      <c r="N58" s="49">
        <f>C58-'15W40'!C58</f>
        <v>38.22</v>
      </c>
      <c r="O58" s="49"/>
    </row>
    <row r="59" spans="1:15" ht="12.75" customHeight="1" x14ac:dyDescent="0.2">
      <c r="A59" s="48" t="s">
        <v>669</v>
      </c>
      <c r="B59" s="48">
        <f>'15W40'!B59+('15W40 Gallon'!G4-'15W40'!G4)*'15W40 Gallon'!F59+'15W40 Gallon'!M2</f>
        <v>270.27</v>
      </c>
      <c r="C59" s="49">
        <f t="shared" si="6"/>
        <v>145.28</v>
      </c>
      <c r="D59" s="48"/>
      <c r="E59" s="49">
        <f>'15W40'!E59</f>
        <v>0</v>
      </c>
      <c r="F59" s="48">
        <f>'15W40'!F59</f>
        <v>24</v>
      </c>
      <c r="G59" s="49">
        <f>F59*G4</f>
        <v>137.28</v>
      </c>
      <c r="H59" s="49">
        <v>8</v>
      </c>
      <c r="I59" s="55">
        <f t="shared" si="2"/>
        <v>124.98999999999998</v>
      </c>
      <c r="J59" s="56">
        <f t="shared" si="3"/>
        <v>0.53753653753653763</v>
      </c>
      <c r="K59" s="56">
        <f t="shared" si="0"/>
        <v>0.46246346246346237</v>
      </c>
      <c r="M59" s="390">
        <f>B59-'15W40'!B59</f>
        <v>50.279999999999973</v>
      </c>
      <c r="N59" s="49">
        <f>C59-'15W40'!C59</f>
        <v>35.28</v>
      </c>
      <c r="O59" s="49"/>
    </row>
    <row r="60" spans="1:15" ht="12.75" customHeight="1" x14ac:dyDescent="0.2">
      <c r="A60" s="48" t="s">
        <v>691</v>
      </c>
      <c r="B60" s="48">
        <f>'15W40'!B60+('15W40 Gallon'!G4-'15W40'!G4)*'15W40 Gallon'!F60+'15W40 Gallon'!M1</f>
        <v>259.10000000000002</v>
      </c>
      <c r="C60" s="49">
        <f t="shared" si="6"/>
        <v>155.60000000000002</v>
      </c>
      <c r="D60" s="48"/>
      <c r="E60" s="49">
        <f>'15W40'!E60</f>
        <v>73.240000000000009</v>
      </c>
      <c r="F60" s="48">
        <f>'15W40'!F60</f>
        <v>13</v>
      </c>
      <c r="G60" s="49">
        <f>F60*G4</f>
        <v>74.36</v>
      </c>
      <c r="H60" s="49">
        <v>8</v>
      </c>
      <c r="I60" s="55">
        <f t="shared" si="2"/>
        <v>103.5</v>
      </c>
      <c r="J60" s="56">
        <f t="shared" si="3"/>
        <v>0.60054033191817835</v>
      </c>
      <c r="K60" s="56">
        <f t="shared" si="0"/>
        <v>0.39945966808182165</v>
      </c>
      <c r="M60" s="390">
        <f>B60-'15W40'!B60</f>
        <v>29.110000000000014</v>
      </c>
      <c r="N60" s="49">
        <f>C60-'15W40'!C60</f>
        <v>19.110000000000014</v>
      </c>
      <c r="O60" s="49"/>
    </row>
    <row r="61" spans="1:15" ht="12.75" customHeight="1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M61" s="390"/>
      <c r="N61" s="49"/>
      <c r="O61" s="49"/>
    </row>
    <row r="62" spans="1:15" ht="12.75" customHeight="1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M62" s="390"/>
      <c r="N62" s="49"/>
      <c r="O62" s="49"/>
    </row>
    <row r="63" spans="1:15" ht="12.75" customHeight="1" x14ac:dyDescent="0.2">
      <c r="A63" s="48" t="s">
        <v>673</v>
      </c>
      <c r="B63" s="48">
        <f>'15W40'!B63+('15W40 Gallon'!G4-'15W40'!G4)*'15W40 Gallon'!F63+'15W40 Gallon'!M2</f>
        <v>300.20999999999998</v>
      </c>
      <c r="C63" s="49">
        <f>E63+G63+H63</f>
        <v>194.74639999999999</v>
      </c>
      <c r="D63" s="48"/>
      <c r="E63" s="49">
        <f>'15W40'!E63</f>
        <v>38.026400000000002</v>
      </c>
      <c r="F63" s="48">
        <f>'15W40'!F63</f>
        <v>26</v>
      </c>
      <c r="G63" s="49">
        <f>F63*G4</f>
        <v>148.72</v>
      </c>
      <c r="H63" s="49">
        <v>8</v>
      </c>
      <c r="I63" s="55">
        <f t="shared" si="2"/>
        <v>105.46359999999999</v>
      </c>
      <c r="J63" s="56">
        <f t="shared" si="3"/>
        <v>0.64870057626328237</v>
      </c>
      <c r="K63" s="56">
        <f t="shared" si="0"/>
        <v>0.35129942373671763</v>
      </c>
      <c r="M63" s="390">
        <f>B63-'15W40'!B63</f>
        <v>53.21999999999997</v>
      </c>
      <c r="N63" s="49">
        <f>C63-'15W40'!C63</f>
        <v>38.22</v>
      </c>
      <c r="O63" s="49"/>
    </row>
    <row r="64" spans="1:15" ht="12.75" customHeight="1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M64" s="390"/>
      <c r="N64" s="49"/>
      <c r="O64" s="49"/>
    </row>
    <row r="65" spans="1:15" ht="12.75" customHeight="1" x14ac:dyDescent="0.2">
      <c r="A65" s="48" t="s">
        <v>674</v>
      </c>
      <c r="B65" s="48">
        <f>'15W40'!B65+('15W40 Gallon'!G4-'15W40'!G4)*'15W40 Gallon'!F65+'15W40 Gallon'!M3</f>
        <v>546.61</v>
      </c>
      <c r="C65" s="49">
        <f>E65+G65+H65</f>
        <v>433.17</v>
      </c>
      <c r="D65" s="48"/>
      <c r="E65" s="49">
        <f>'15W40'!E65</f>
        <v>162.05000000000001</v>
      </c>
      <c r="F65" s="48">
        <f>'15W40'!F65</f>
        <v>46</v>
      </c>
      <c r="G65" s="49">
        <f>F65*G4</f>
        <v>263.12</v>
      </c>
      <c r="H65" s="49">
        <v>8</v>
      </c>
      <c r="I65" s="55">
        <f t="shared" si="2"/>
        <v>113.44</v>
      </c>
      <c r="J65" s="56">
        <f t="shared" si="3"/>
        <v>0.79246629223761</v>
      </c>
      <c r="K65" s="56">
        <f t="shared" si="0"/>
        <v>0.20753370776239</v>
      </c>
      <c r="M65" s="390">
        <f>B65-'15W40'!B65</f>
        <v>87.62</v>
      </c>
      <c r="N65" s="49">
        <f>C65-'15W40'!C65</f>
        <v>67.62</v>
      </c>
      <c r="O65" s="49"/>
    </row>
    <row r="66" spans="1:15" ht="12.75" customHeight="1" x14ac:dyDescent="0.2">
      <c r="A66" s="48" t="s">
        <v>675</v>
      </c>
      <c r="B66" s="48">
        <f>'15W40'!B66+('15W40 Gallon'!G4-'15W40'!G4)*'15W40 Gallon'!F66+'15W40 Gallon'!M3</f>
        <v>467.61</v>
      </c>
      <c r="C66" s="49">
        <f>E66+G66+H66</f>
        <v>350.96719999999999</v>
      </c>
      <c r="D66" s="48"/>
      <c r="E66" s="49">
        <f>'15W40'!E66</f>
        <v>79.847200000000001</v>
      </c>
      <c r="F66" s="48">
        <f>'15W40'!F66</f>
        <v>46</v>
      </c>
      <c r="G66" s="49">
        <f>F66*G4</f>
        <v>263.12</v>
      </c>
      <c r="H66" s="49">
        <v>8</v>
      </c>
      <c r="I66" s="55">
        <f t="shared" si="2"/>
        <v>116.64280000000002</v>
      </c>
      <c r="J66" s="56">
        <f t="shared" si="3"/>
        <v>0.75055537734436817</v>
      </c>
      <c r="K66" s="56">
        <f t="shared" si="0"/>
        <v>0.24944462265563183</v>
      </c>
      <c r="M66" s="390">
        <f>B66-'15W40'!B66</f>
        <v>87.62</v>
      </c>
      <c r="N66" s="49">
        <f>C66-'15W40'!C66</f>
        <v>67.62</v>
      </c>
      <c r="O66" s="49"/>
    </row>
    <row r="67" spans="1:15" ht="12.75" customHeight="1" x14ac:dyDescent="0.2">
      <c r="A67" s="48" t="s">
        <v>676</v>
      </c>
      <c r="B67" s="48">
        <f>'15W40'!B67+('15W40 Gallon'!G4-'15W40'!G4)*'15W40 Gallon'!F67+'15W40 Gallon'!M2</f>
        <v>280.27</v>
      </c>
      <c r="C67" s="49">
        <f>E67+G67+H67</f>
        <v>171.96800000000002</v>
      </c>
      <c r="D67" s="48"/>
      <c r="E67" s="49">
        <f>'15W40'!E67</f>
        <v>26.688000000000002</v>
      </c>
      <c r="F67" s="48">
        <f>'15W40'!F67</f>
        <v>24</v>
      </c>
      <c r="G67" s="49">
        <f>F67*G4</f>
        <v>137.28</v>
      </c>
      <c r="H67" s="49">
        <v>8</v>
      </c>
      <c r="I67" s="55">
        <f t="shared" si="2"/>
        <v>108.30199999999996</v>
      </c>
      <c r="J67" s="56">
        <f t="shared" si="3"/>
        <v>0.61357976237199852</v>
      </c>
      <c r="K67" s="56">
        <f t="shared" si="0"/>
        <v>0.38642023762800148</v>
      </c>
      <c r="M67" s="390">
        <f>B67-'15W40'!B67</f>
        <v>50.279999999999973</v>
      </c>
      <c r="N67" s="49">
        <f>C67-'15W40'!C67</f>
        <v>35.28000000000003</v>
      </c>
      <c r="O67" s="49"/>
    </row>
    <row r="68" spans="1:15" ht="12.75" customHeight="1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M68" s="390"/>
      <c r="N68" s="49"/>
      <c r="O68" s="49"/>
    </row>
    <row r="69" spans="1:15" ht="12.75" customHeight="1" x14ac:dyDescent="0.2">
      <c r="A69" s="48" t="s">
        <v>677</v>
      </c>
      <c r="B69" s="48">
        <f>'15W40'!B69+('15W40 Gallon'!G4-'15W40'!G4)*'15W40 Gallon'!F69+'15W40 Gallon'!M2</f>
        <v>410.97</v>
      </c>
      <c r="C69" s="49">
        <f t="shared" ref="C69:C74" si="7">E69+G69+H69</f>
        <v>289.08479999999997</v>
      </c>
      <c r="D69" s="48"/>
      <c r="E69" s="49">
        <f>'15W40'!E69</f>
        <v>86.604800000000012</v>
      </c>
      <c r="F69" s="48">
        <f>'15W40'!F69</f>
        <v>34</v>
      </c>
      <c r="G69" s="49">
        <f>F69*G4</f>
        <v>194.48</v>
      </c>
      <c r="H69" s="49">
        <v>8</v>
      </c>
      <c r="I69" s="55">
        <f t="shared" si="2"/>
        <v>121.88520000000005</v>
      </c>
      <c r="J69" s="56">
        <f t="shared" si="3"/>
        <v>0.70342068764143362</v>
      </c>
      <c r="K69" s="56">
        <f t="shared" si="0"/>
        <v>0.29657931235856638</v>
      </c>
      <c r="M69" s="390">
        <f>B69-'15W40'!B69</f>
        <v>64.980000000000018</v>
      </c>
      <c r="N69" s="49">
        <f>C69-'15W40'!C69</f>
        <v>49.979999999999961</v>
      </c>
      <c r="O69" s="49"/>
    </row>
    <row r="70" spans="1:15" ht="12.75" customHeight="1" x14ac:dyDescent="0.2">
      <c r="A70" s="48" t="s">
        <v>678</v>
      </c>
      <c r="B70" s="48">
        <f>'15W40'!B70+('15W40 Gallon'!G4-'15W40'!G4)*'15W40 Gallon'!F70+'15W40 Gallon'!M3</f>
        <v>461.73</v>
      </c>
      <c r="C70" s="49">
        <f t="shared" si="7"/>
        <v>334.84479999999996</v>
      </c>
      <c r="D70" s="48"/>
      <c r="E70" s="49">
        <f>'15W40'!E70</f>
        <v>86.604800000000012</v>
      </c>
      <c r="F70" s="48">
        <f>'15W40'!F70</f>
        <v>42</v>
      </c>
      <c r="G70" s="49">
        <f>F70*G4</f>
        <v>240.23999999999998</v>
      </c>
      <c r="H70" s="49">
        <v>8</v>
      </c>
      <c r="I70" s="55">
        <f t="shared" si="2"/>
        <v>126.88520000000005</v>
      </c>
      <c r="J70" s="56">
        <f t="shared" si="3"/>
        <v>0.72519611028090003</v>
      </c>
      <c r="K70" s="56">
        <f t="shared" si="0"/>
        <v>0.27480388971909997</v>
      </c>
      <c r="M70" s="390">
        <f>B70-'15W40'!B70</f>
        <v>81.740000000000009</v>
      </c>
      <c r="N70" s="49">
        <f>C70-'15W40'!C70</f>
        <v>61.739999999999952</v>
      </c>
      <c r="O70" s="49"/>
    </row>
    <row r="71" spans="1:15" x14ac:dyDescent="0.2">
      <c r="A71" s="48" t="s">
        <v>679</v>
      </c>
      <c r="B71" s="48">
        <f>'15W40'!B71+('15W40 Gallon'!G4-'15W40'!G4)*'15W40 Gallon'!F71+'15W40 Gallon'!M4</f>
        <v>526.43000000000006</v>
      </c>
      <c r="C71" s="49">
        <f t="shared" si="7"/>
        <v>392.04480000000001</v>
      </c>
      <c r="D71" s="48"/>
      <c r="E71" s="49">
        <f>'15W40'!E71</f>
        <v>86.604800000000012</v>
      </c>
      <c r="F71" s="48">
        <f>'15W40'!F71</f>
        <v>52</v>
      </c>
      <c r="G71" s="49">
        <f>F71*G4</f>
        <v>297.44</v>
      </c>
      <c r="H71" s="49">
        <v>8</v>
      </c>
      <c r="I71" s="55">
        <f t="shared" si="2"/>
        <v>134.38520000000005</v>
      </c>
      <c r="J71" s="56">
        <f t="shared" si="3"/>
        <v>0.74472351499724554</v>
      </c>
      <c r="K71" s="56">
        <f t="shared" si="0"/>
        <v>0.25527648500275446</v>
      </c>
      <c r="M71" s="390">
        <f>B71-'15W40'!B71</f>
        <v>101.44000000000005</v>
      </c>
      <c r="N71" s="49">
        <f>C71-'15W40'!C71</f>
        <v>76.44</v>
      </c>
      <c r="O71" s="49"/>
    </row>
    <row r="72" spans="1:15" x14ac:dyDescent="0.2">
      <c r="A72" s="48" t="s">
        <v>680</v>
      </c>
      <c r="B72" s="48">
        <f>'15W40'!B72+('15W40 Gallon'!G4-'15W40'!G4)*'15W40 Gallon'!F72+'15W40 Gallon'!M2</f>
        <v>479.97</v>
      </c>
      <c r="C72" s="49">
        <f t="shared" si="7"/>
        <v>368.77</v>
      </c>
      <c r="D72" s="48"/>
      <c r="E72" s="49">
        <f>'15W40'!E72</f>
        <v>166.29</v>
      </c>
      <c r="F72" s="48">
        <f>'15W40'!F72</f>
        <v>34</v>
      </c>
      <c r="G72" s="49">
        <f>F72*G4</f>
        <v>194.48</v>
      </c>
      <c r="H72" s="49">
        <v>8</v>
      </c>
      <c r="I72" s="55">
        <f t="shared" si="2"/>
        <v>111.20000000000005</v>
      </c>
      <c r="J72" s="56">
        <f t="shared" si="3"/>
        <v>0.76831885326166216</v>
      </c>
      <c r="K72" s="56">
        <f t="shared" si="0"/>
        <v>0.23168114673833784</v>
      </c>
      <c r="M72" s="390">
        <f>B72-'15W40'!B72</f>
        <v>64.980000000000018</v>
      </c>
      <c r="N72" s="49">
        <f>C72-'15W40'!C72</f>
        <v>49.980000000000018</v>
      </c>
      <c r="O72" s="49"/>
    </row>
    <row r="73" spans="1:15" x14ac:dyDescent="0.2">
      <c r="A73" s="48" t="s">
        <v>681</v>
      </c>
      <c r="B73" s="48">
        <f>'15W40'!B73+('15W40 Gallon'!G4-'15W40'!G4)*'15W40 Gallon'!F73+'15W40 Gallon'!M3</f>
        <v>531.73</v>
      </c>
      <c r="C73" s="49">
        <f t="shared" si="7"/>
        <v>414.53</v>
      </c>
      <c r="D73" s="48"/>
      <c r="E73" s="49">
        <f>'15W40'!E73</f>
        <v>166.29</v>
      </c>
      <c r="F73" s="48">
        <f>'15W40'!F73</f>
        <v>42</v>
      </c>
      <c r="G73" s="49">
        <f>F73*G4</f>
        <v>240.23999999999998</v>
      </c>
      <c r="H73" s="49">
        <v>8</v>
      </c>
      <c r="I73" s="55">
        <f t="shared" si="2"/>
        <v>117.20000000000005</v>
      </c>
      <c r="J73" s="56">
        <f t="shared" si="3"/>
        <v>0.77958738457487819</v>
      </c>
      <c r="K73" s="56">
        <f t="shared" si="0"/>
        <v>0.22041261542512181</v>
      </c>
      <c r="M73" s="390">
        <f>B73-'15W40'!B73</f>
        <v>81.740000000000009</v>
      </c>
      <c r="N73" s="49">
        <f>C73-'15W40'!C73</f>
        <v>61.740000000000009</v>
      </c>
      <c r="O73" s="49"/>
    </row>
    <row r="74" spans="1:15" x14ac:dyDescent="0.2">
      <c r="A74" s="48" t="s">
        <v>682</v>
      </c>
      <c r="B74" s="48">
        <f>'15W40'!B74+('15W40 Gallon'!G4-'15W40'!G4)*'15W40 Gallon'!F74+'15W40 Gallon'!M4</f>
        <v>594.42999999999995</v>
      </c>
      <c r="C74" s="49">
        <f t="shared" si="7"/>
        <v>471.73</v>
      </c>
      <c r="D74" s="48"/>
      <c r="E74" s="49">
        <f>'15W40'!E74</f>
        <v>166.29</v>
      </c>
      <c r="F74" s="48">
        <f>'15W40'!F74</f>
        <v>52</v>
      </c>
      <c r="G74" s="49">
        <f>F74*G4</f>
        <v>297.44</v>
      </c>
      <c r="H74" s="49">
        <v>8</v>
      </c>
      <c r="I74" s="55">
        <f t="shared" si="2"/>
        <v>122.69999999999993</v>
      </c>
      <c r="J74" s="56">
        <f t="shared" si="3"/>
        <v>0.793583769325236</v>
      </c>
      <c r="K74" s="56">
        <f t="shared" ref="K74" si="8">1-J74</f>
        <v>0.206416230674764</v>
      </c>
      <c r="M74" s="390">
        <f>B74-'15W40'!B74</f>
        <v>101.43999999999994</v>
      </c>
      <c r="N74" s="49">
        <f>C74-'15W40'!C74</f>
        <v>76.440000000000055</v>
      </c>
      <c r="O74" s="49"/>
    </row>
  </sheetData>
  <pageMargins left="0.7" right="0.7" top="0.75" bottom="0.75" header="0.3" footer="0.3"/>
  <pageSetup orientation="portrait" r:id="rId1"/>
  <ignoredErrors>
    <ignoredError sqref="E4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6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7109375" style="46" customWidth="1"/>
    <col min="2" max="2" width="7.28515625" style="46" customWidth="1"/>
    <col min="3" max="3" width="6.140625" style="46" customWidth="1"/>
    <col min="4" max="4" width="6.85546875" style="46" customWidth="1"/>
    <col min="5" max="5" width="6.28515625" style="46" customWidth="1"/>
    <col min="6" max="6" width="4.5703125" style="46" customWidth="1"/>
    <col min="7" max="7" width="7.140625" style="46" customWidth="1"/>
    <col min="8" max="8" width="6.28515625" style="46" customWidth="1"/>
    <col min="9" max="9" width="5.85546875" style="46" customWidth="1"/>
    <col min="10" max="10" width="7.140625" style="46" customWidth="1"/>
    <col min="11" max="11" width="6.7109375" style="46" customWidth="1"/>
    <col min="12" max="12" width="7.7109375" style="46" customWidth="1"/>
    <col min="13" max="13" width="5.42578125" style="46" customWidth="1"/>
    <col min="14" max="14" width="7.140625" style="46" customWidth="1"/>
    <col min="15" max="16384" width="9.140625" style="46"/>
  </cols>
  <sheetData>
    <row r="1" spans="1:15" ht="12.75" customHeight="1" x14ac:dyDescent="0.2">
      <c r="A1" s="46" t="s">
        <v>625</v>
      </c>
      <c r="B1" s="47" t="s">
        <v>692</v>
      </c>
      <c r="C1" s="47" t="s">
        <v>703</v>
      </c>
      <c r="G1" s="50">
        <f>'Oil Price'!C25</f>
        <v>4.41</v>
      </c>
      <c r="H1" s="46">
        <v>0.05</v>
      </c>
      <c r="L1" s="48" t="s">
        <v>693</v>
      </c>
      <c r="M1" s="389">
        <v>15</v>
      </c>
    </row>
    <row r="2" spans="1:15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9">
        <v>25</v>
      </c>
    </row>
    <row r="3" spans="1:15" ht="12.75" customHeight="1" x14ac:dyDescent="0.2">
      <c r="A3" s="46" t="s">
        <v>627</v>
      </c>
      <c r="E3" s="46" t="s">
        <v>628</v>
      </c>
      <c r="G3" s="46" t="s">
        <v>628</v>
      </c>
      <c r="H3" s="46" t="s">
        <v>688</v>
      </c>
      <c r="L3" s="48" t="s">
        <v>695</v>
      </c>
      <c r="M3" s="389">
        <v>30</v>
      </c>
    </row>
    <row r="4" spans="1:15" ht="12.75" customHeight="1" x14ac:dyDescent="0.2">
      <c r="G4" s="50">
        <f>G1+H1</f>
        <v>4.46</v>
      </c>
      <c r="H4" s="50"/>
      <c r="J4" s="46">
        <v>1</v>
      </c>
      <c r="L4" s="48" t="s">
        <v>696</v>
      </c>
      <c r="M4" s="389">
        <v>35</v>
      </c>
    </row>
    <row r="5" spans="1:15" ht="12.75" customHeight="1" x14ac:dyDescent="0.2">
      <c r="G5" s="50"/>
      <c r="H5" s="50"/>
    </row>
    <row r="6" spans="1:15" ht="12.75" customHeight="1" x14ac:dyDescent="0.2">
      <c r="A6" s="48" t="s">
        <v>632</v>
      </c>
      <c r="B6" s="48">
        <f>'15W40'!B6+M2</f>
        <v>290.99</v>
      </c>
      <c r="C6" s="49">
        <f>E6+G6+H6</f>
        <v>172.79000000000002</v>
      </c>
      <c r="D6" s="48"/>
      <c r="E6" s="49">
        <f>'15W40'!E6</f>
        <v>53.290000000000006</v>
      </c>
      <c r="F6" s="48">
        <f>'15W40'!F6</f>
        <v>25</v>
      </c>
      <c r="G6" s="49">
        <f>F6*G4</f>
        <v>111.5</v>
      </c>
      <c r="H6" s="49">
        <v>8</v>
      </c>
      <c r="I6" s="55">
        <f>B6-C6</f>
        <v>118.19999999999999</v>
      </c>
      <c r="J6" s="56">
        <f>C6/B6</f>
        <v>0.59380047424310123</v>
      </c>
      <c r="K6" s="56">
        <f>1-J6</f>
        <v>0.40619952575689877</v>
      </c>
      <c r="L6" s="49"/>
      <c r="M6" s="49"/>
      <c r="N6" s="48"/>
      <c r="O6" s="49"/>
    </row>
    <row r="7" spans="1:15" ht="12.75" customHeight="1" x14ac:dyDescent="0.2">
      <c r="A7" s="48" t="s">
        <v>633</v>
      </c>
      <c r="B7" s="48">
        <f>'15W40'!B7+M2</f>
        <v>268.99</v>
      </c>
      <c r="C7" s="49">
        <f>E7+G7+H7</f>
        <v>141.29919999999998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111.5</v>
      </c>
      <c r="H7" s="49">
        <v>8</v>
      </c>
      <c r="I7" s="55">
        <f>B7-C7</f>
        <v>127.69080000000002</v>
      </c>
      <c r="J7" s="56">
        <f>C7/B7</f>
        <v>0.52529536413993083</v>
      </c>
      <c r="K7" s="56">
        <f t="shared" ref="K7:K73" si="0">1-J7</f>
        <v>0.47470463586006917</v>
      </c>
      <c r="L7" s="49"/>
      <c r="M7" s="49"/>
      <c r="N7" s="48"/>
      <c r="O7" s="49"/>
    </row>
    <row r="8" spans="1:15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L8" s="49"/>
      <c r="M8" s="49"/>
      <c r="N8" s="48"/>
      <c r="O8" s="49"/>
    </row>
    <row r="9" spans="1:15" ht="12.75" customHeight="1" x14ac:dyDescent="0.2">
      <c r="A9" s="48" t="s">
        <v>634</v>
      </c>
      <c r="B9" s="48">
        <f>'15W40'!B9+M2</f>
        <v>359.99</v>
      </c>
      <c r="C9" s="49">
        <f>E9+G9+H9</f>
        <v>248.06</v>
      </c>
      <c r="D9" s="48"/>
      <c r="E9" s="49">
        <f>'15W40'!E9</f>
        <v>70.58</v>
      </c>
      <c r="F9" s="48">
        <f>'15W40'!F9</f>
        <v>38</v>
      </c>
      <c r="G9" s="49">
        <f>F9*G4</f>
        <v>169.48</v>
      </c>
      <c r="H9" s="49">
        <v>8</v>
      </c>
      <c r="I9" s="55">
        <f>B9-C9</f>
        <v>111.93</v>
      </c>
      <c r="J9" s="56">
        <f>C9/B9</f>
        <v>0.68907469651934772</v>
      </c>
      <c r="K9" s="56">
        <f t="shared" si="0"/>
        <v>0.31092530348065228</v>
      </c>
      <c r="L9" s="49"/>
      <c r="M9" s="49"/>
      <c r="N9" s="48"/>
      <c r="O9" s="49"/>
    </row>
    <row r="10" spans="1:15" ht="12.75" customHeight="1" x14ac:dyDescent="0.2">
      <c r="A10" s="48" t="s">
        <v>635</v>
      </c>
      <c r="B10" s="48">
        <f>'15W40'!B10+M2</f>
        <v>318.99</v>
      </c>
      <c r="C10" s="49">
        <f>E10+G10+H10</f>
        <v>208.5248</v>
      </c>
      <c r="D10" s="48"/>
      <c r="E10" s="49">
        <f>'15W40'!E10</f>
        <v>31.044799999999999</v>
      </c>
      <c r="F10" s="48">
        <f>'15W40'!F10</f>
        <v>38</v>
      </c>
      <c r="G10" s="49">
        <f>F10*G4</f>
        <v>169.48</v>
      </c>
      <c r="H10" s="49">
        <v>8</v>
      </c>
      <c r="I10" s="55">
        <f>B10-C10</f>
        <v>110.46520000000001</v>
      </c>
      <c r="J10" s="56">
        <f>C10/B10</f>
        <v>0.65370325088560766</v>
      </c>
      <c r="K10" s="56">
        <f t="shared" si="0"/>
        <v>0.34629674911439234</v>
      </c>
      <c r="L10" s="49"/>
      <c r="M10" s="49"/>
      <c r="N10" s="48"/>
      <c r="O10" s="49"/>
    </row>
    <row r="11" spans="1:15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9"/>
      <c r="M11" s="49"/>
      <c r="N11" s="48"/>
      <c r="O11" s="49"/>
    </row>
    <row r="12" spans="1:15" ht="12.75" customHeight="1" x14ac:dyDescent="0.2">
      <c r="A12" s="48" t="s">
        <v>637</v>
      </c>
      <c r="B12" s="48">
        <f>'15W40'!B12+M3</f>
        <v>384.99</v>
      </c>
      <c r="C12" s="49">
        <f>E12+G12+H12</f>
        <v>270.36</v>
      </c>
      <c r="D12" s="48"/>
      <c r="E12" s="49">
        <f>'15W40'!E12</f>
        <v>70.58</v>
      </c>
      <c r="F12" s="48">
        <f>'15W40'!F12</f>
        <v>43</v>
      </c>
      <c r="G12" s="49">
        <f>F12*G4</f>
        <v>191.78</v>
      </c>
      <c r="H12" s="49">
        <v>8</v>
      </c>
      <c r="I12" s="55">
        <f>B12-C12</f>
        <v>114.63</v>
      </c>
      <c r="J12" s="56">
        <f>C12/B12</f>
        <v>0.70225200654562459</v>
      </c>
      <c r="K12" s="56">
        <f t="shared" si="0"/>
        <v>0.29774799345437541</v>
      </c>
      <c r="L12" s="49"/>
      <c r="M12" s="49"/>
      <c r="N12" s="48"/>
      <c r="O12" s="49"/>
    </row>
    <row r="13" spans="1:15" ht="12.75" customHeight="1" x14ac:dyDescent="0.2">
      <c r="A13" s="48" t="s">
        <v>638</v>
      </c>
      <c r="B13" s="48">
        <f>'15W40'!B13+M3</f>
        <v>343.99</v>
      </c>
      <c r="C13" s="49">
        <f>E13+G13+H13</f>
        <v>230.82480000000001</v>
      </c>
      <c r="D13" s="48"/>
      <c r="E13" s="49">
        <f>'15W40'!E13</f>
        <v>31.044799999999999</v>
      </c>
      <c r="F13" s="48">
        <f>'15W40'!F13</f>
        <v>43</v>
      </c>
      <c r="G13" s="49">
        <f>F13*G4</f>
        <v>191.78</v>
      </c>
      <c r="H13" s="49">
        <v>8</v>
      </c>
      <c r="I13" s="55">
        <f>B13-C13</f>
        <v>113.1652</v>
      </c>
      <c r="J13" s="56">
        <f>C13/B13</f>
        <v>0.67102183203000088</v>
      </c>
      <c r="K13" s="56">
        <f t="shared" si="0"/>
        <v>0.32897816796999912</v>
      </c>
      <c r="L13" s="49"/>
      <c r="M13" s="49"/>
      <c r="N13" s="48"/>
      <c r="O13" s="49"/>
    </row>
    <row r="14" spans="1:15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9"/>
      <c r="M14" s="49"/>
      <c r="N14" s="48"/>
      <c r="O14" s="49"/>
    </row>
    <row r="15" spans="1:15" ht="12.75" customHeight="1" x14ac:dyDescent="0.2">
      <c r="A15" s="48" t="s">
        <v>639</v>
      </c>
      <c r="B15" s="48">
        <f>'15W40'!B15+M3</f>
        <v>331.99</v>
      </c>
      <c r="C15" s="49">
        <f t="shared" ref="C15:C21" si="1">E15+G15+H15</f>
        <v>217.8312</v>
      </c>
      <c r="D15" s="48"/>
      <c r="E15" s="49">
        <f>'15W40'!E15</f>
        <v>31.4312</v>
      </c>
      <c r="F15" s="48">
        <f>'15W40'!F15</f>
        <v>40</v>
      </c>
      <c r="G15" s="49">
        <f>F15*G4</f>
        <v>178.4</v>
      </c>
      <c r="H15" s="49">
        <v>8</v>
      </c>
      <c r="I15" s="55">
        <f t="shared" ref="I15:I74" si="2">B15-C15</f>
        <v>114.15880000000001</v>
      </c>
      <c r="J15" s="56">
        <f t="shared" ref="J15:J74" si="3">C15/B15</f>
        <v>0.65613783547697213</v>
      </c>
      <c r="K15" s="56">
        <f t="shared" si="0"/>
        <v>0.34386216452302787</v>
      </c>
      <c r="L15" s="49"/>
      <c r="M15" s="49"/>
      <c r="N15" s="48"/>
      <c r="O15" s="49"/>
    </row>
    <row r="16" spans="1:15" ht="12.75" customHeight="1" x14ac:dyDescent="0.2">
      <c r="A16" s="48" t="s">
        <v>640</v>
      </c>
      <c r="B16" s="48">
        <f>'15W40'!B16+M1</f>
        <v>185.99</v>
      </c>
      <c r="C16" s="49">
        <f t="shared" si="1"/>
        <v>77.16</v>
      </c>
      <c r="D16" s="48"/>
      <c r="E16" s="49">
        <f>'15W40'!E16</f>
        <v>6.7200000000000006</v>
      </c>
      <c r="F16" s="48">
        <f>'15W40'!F16</f>
        <v>14</v>
      </c>
      <c r="G16" s="49">
        <f>F16*G4</f>
        <v>62.44</v>
      </c>
      <c r="H16" s="49">
        <v>8</v>
      </c>
      <c r="I16" s="55">
        <f t="shared" si="2"/>
        <v>108.83000000000001</v>
      </c>
      <c r="J16" s="56">
        <f t="shared" si="3"/>
        <v>0.41486101403301251</v>
      </c>
      <c r="K16" s="56">
        <f t="shared" si="0"/>
        <v>0.58513898596698755</v>
      </c>
      <c r="L16" s="49"/>
      <c r="M16" s="49"/>
      <c r="N16" s="48"/>
      <c r="O16" s="49"/>
    </row>
    <row r="17" spans="1:15" ht="12.75" customHeight="1" x14ac:dyDescent="0.2">
      <c r="A17" s="48" t="s">
        <v>641</v>
      </c>
      <c r="B17" s="48">
        <f>'15W40'!B17+M2</f>
        <v>282.99</v>
      </c>
      <c r="C17" s="49">
        <f t="shared" si="1"/>
        <v>170.31040000000002</v>
      </c>
      <c r="D17" s="48"/>
      <c r="E17" s="49">
        <f>'15W40'!E17</f>
        <v>50.810400000000001</v>
      </c>
      <c r="F17" s="48">
        <f>'15W40'!F17</f>
        <v>25</v>
      </c>
      <c r="G17" s="49">
        <f>F17*G4</f>
        <v>111.5</v>
      </c>
      <c r="H17" s="49">
        <v>8</v>
      </c>
      <c r="I17" s="55">
        <f t="shared" si="2"/>
        <v>112.67959999999999</v>
      </c>
      <c r="J17" s="56">
        <f t="shared" si="3"/>
        <v>0.60182479946287859</v>
      </c>
      <c r="K17" s="56">
        <f t="shared" si="0"/>
        <v>0.39817520053712141</v>
      </c>
      <c r="L17" s="49"/>
      <c r="M17" s="49"/>
      <c r="N17" s="48"/>
      <c r="O17" s="49"/>
    </row>
    <row r="18" spans="1:15" ht="12.75" customHeight="1" x14ac:dyDescent="0.2">
      <c r="A18" s="48" t="s">
        <v>642</v>
      </c>
      <c r="B18" s="48">
        <f>'15W40'!B18+'10W30'!M2</f>
        <v>280.99</v>
      </c>
      <c r="C18" s="49">
        <f t="shared" si="1"/>
        <v>146.18799999999999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111.5</v>
      </c>
      <c r="H18" s="49">
        <v>8</v>
      </c>
      <c r="I18" s="55">
        <f t="shared" si="2"/>
        <v>134.80200000000002</v>
      </c>
      <c r="J18" s="56">
        <f t="shared" si="3"/>
        <v>0.52026050749136976</v>
      </c>
      <c r="K18" s="56">
        <f t="shared" si="0"/>
        <v>0.47973949250863024</v>
      </c>
      <c r="L18" s="49"/>
      <c r="M18" s="49"/>
      <c r="N18" s="48"/>
      <c r="O18" s="49"/>
    </row>
    <row r="19" spans="1:15" ht="12.75" customHeight="1" x14ac:dyDescent="0.2">
      <c r="A19" s="48" t="s">
        <v>643</v>
      </c>
      <c r="B19" s="48">
        <f>'15W40'!B19+M2</f>
        <v>317.99</v>
      </c>
      <c r="C19" s="49">
        <f t="shared" si="1"/>
        <v>208.39440000000002</v>
      </c>
      <c r="D19" s="48"/>
      <c r="E19" s="49">
        <f>'15W40'!E19</f>
        <v>39.834400000000002</v>
      </c>
      <c r="F19" s="48">
        <f>'15W40'!F19</f>
        <v>36</v>
      </c>
      <c r="G19" s="49">
        <f>F19*G4</f>
        <v>160.56</v>
      </c>
      <c r="H19" s="49">
        <v>8</v>
      </c>
      <c r="I19" s="55">
        <f t="shared" si="2"/>
        <v>109.59559999999999</v>
      </c>
      <c r="J19" s="56">
        <f t="shared" si="3"/>
        <v>0.65534891034309262</v>
      </c>
      <c r="K19" s="56">
        <f t="shared" si="0"/>
        <v>0.34465108965690738</v>
      </c>
      <c r="L19" s="49"/>
      <c r="M19" s="49"/>
      <c r="N19" s="48"/>
      <c r="O19" s="49"/>
    </row>
    <row r="20" spans="1:15" ht="12.75" customHeight="1" x14ac:dyDescent="0.2">
      <c r="A20" s="48" t="s">
        <v>645</v>
      </c>
      <c r="B20" s="48">
        <f>'15W40'!B20+M3</f>
        <v>408.99</v>
      </c>
      <c r="C20" s="49">
        <f t="shared" si="1"/>
        <v>289.88960000000003</v>
      </c>
      <c r="D20" s="48"/>
      <c r="E20" s="49">
        <f>'15W40'!E20</f>
        <v>85.649600000000007</v>
      </c>
      <c r="F20" s="48">
        <f>'15W40'!F20</f>
        <v>44</v>
      </c>
      <c r="G20" s="49">
        <f>F20*G4</f>
        <v>196.24</v>
      </c>
      <c r="H20" s="49">
        <v>8</v>
      </c>
      <c r="I20" s="55">
        <f t="shared" si="2"/>
        <v>119.10039999999998</v>
      </c>
      <c r="J20" s="56">
        <f t="shared" si="3"/>
        <v>0.70879385804053896</v>
      </c>
      <c r="K20" s="56">
        <f t="shared" si="0"/>
        <v>0.29120614195946104</v>
      </c>
      <c r="L20" s="49"/>
      <c r="M20" s="49"/>
      <c r="N20" s="48"/>
      <c r="O20" s="49"/>
    </row>
    <row r="21" spans="1:15" ht="12.75" customHeight="1" x14ac:dyDescent="0.2">
      <c r="A21" s="48" t="s">
        <v>646</v>
      </c>
      <c r="B21" s="48">
        <f>'15W40'!B21+M2</f>
        <v>300.99</v>
      </c>
      <c r="C21" s="49">
        <f t="shared" si="1"/>
        <v>191.07119999999998</v>
      </c>
      <c r="D21" s="48"/>
      <c r="E21" s="49">
        <f>'15W40'!E21</f>
        <v>31.4312</v>
      </c>
      <c r="F21" s="48">
        <f>'15W40'!F21</f>
        <v>34</v>
      </c>
      <c r="G21" s="49">
        <f>F21*G4</f>
        <v>151.63999999999999</v>
      </c>
      <c r="H21" s="49">
        <v>8</v>
      </c>
      <c r="I21" s="55">
        <f t="shared" si="2"/>
        <v>109.91880000000003</v>
      </c>
      <c r="J21" s="56">
        <f t="shared" si="3"/>
        <v>0.63480912987142424</v>
      </c>
      <c r="K21" s="56">
        <f t="shared" si="0"/>
        <v>0.36519087012857576</v>
      </c>
      <c r="L21" s="49"/>
      <c r="M21" s="49"/>
      <c r="N21" s="48"/>
      <c r="O21" s="49"/>
    </row>
    <row r="22" spans="1:15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L22" s="49"/>
      <c r="M22" s="49"/>
      <c r="N22" s="48"/>
      <c r="O22" s="49"/>
    </row>
    <row r="23" spans="1:15" ht="12.75" customHeight="1" x14ac:dyDescent="0.2">
      <c r="A23" s="48" t="s">
        <v>647</v>
      </c>
      <c r="B23" s="48">
        <f>'15W40'!B23+M2</f>
        <v>374.99</v>
      </c>
      <c r="C23" s="49">
        <f t="shared" ref="C23:C28" si="4">E23+G23+H23</f>
        <v>255.1</v>
      </c>
      <c r="D23" s="48"/>
      <c r="E23" s="49">
        <f>'15W40'!E23</f>
        <v>77.62</v>
      </c>
      <c r="F23" s="48">
        <f>'15W40'!F23</f>
        <v>38</v>
      </c>
      <c r="G23" s="49">
        <f>F23*G4</f>
        <v>169.48</v>
      </c>
      <c r="H23" s="49">
        <v>8</v>
      </c>
      <c r="I23" s="55">
        <f t="shared" si="2"/>
        <v>119.89000000000001</v>
      </c>
      <c r="J23" s="56">
        <f t="shared" si="3"/>
        <v>0.6802848075948692</v>
      </c>
      <c r="K23" s="56">
        <f t="shared" si="0"/>
        <v>0.3197151924051308</v>
      </c>
      <c r="L23" s="49"/>
      <c r="M23" s="49"/>
      <c r="N23" s="48"/>
      <c r="O23" s="49"/>
    </row>
    <row r="24" spans="1:15" ht="12.75" customHeight="1" x14ac:dyDescent="0.2">
      <c r="A24" s="48" t="s">
        <v>648</v>
      </c>
      <c r="B24" s="48">
        <f>'15W40'!B24+M2</f>
        <v>434.99</v>
      </c>
      <c r="C24" s="49">
        <f t="shared" si="4"/>
        <v>319.57000000000005</v>
      </c>
      <c r="D24" s="48"/>
      <c r="E24" s="49">
        <f>'15W40'!E24</f>
        <v>168.85000000000002</v>
      </c>
      <c r="F24" s="48">
        <f>'15W40'!F24</f>
        <v>32</v>
      </c>
      <c r="G24" s="49">
        <f>F24*G4</f>
        <v>142.72</v>
      </c>
      <c r="H24" s="49">
        <v>8</v>
      </c>
      <c r="I24" s="55">
        <f t="shared" si="2"/>
        <v>115.41999999999996</v>
      </c>
      <c r="J24" s="56">
        <f t="shared" si="3"/>
        <v>0.73466056690958426</v>
      </c>
      <c r="K24" s="56">
        <f t="shared" si="0"/>
        <v>0.26533943309041574</v>
      </c>
      <c r="L24" s="49"/>
      <c r="M24" s="49"/>
      <c r="N24" s="48"/>
      <c r="O24" s="49"/>
    </row>
    <row r="25" spans="1:15" ht="12.75" customHeight="1" x14ac:dyDescent="0.2">
      <c r="A25" s="48" t="s">
        <v>649</v>
      </c>
      <c r="B25" s="48">
        <f>'15W40'!B25+M3</f>
        <v>445.99</v>
      </c>
      <c r="C25" s="49">
        <f t="shared" si="4"/>
        <v>333.11</v>
      </c>
      <c r="D25" s="48"/>
      <c r="E25" s="49">
        <f>'15W40'!E25</f>
        <v>137.79000000000002</v>
      </c>
      <c r="F25" s="48">
        <f>'15W40'!F25</f>
        <v>42</v>
      </c>
      <c r="G25" s="49">
        <f>F25*G4</f>
        <v>187.32</v>
      </c>
      <c r="H25" s="49">
        <v>8</v>
      </c>
      <c r="I25" s="55">
        <f t="shared" si="2"/>
        <v>112.88</v>
      </c>
      <c r="J25" s="56">
        <f t="shared" si="3"/>
        <v>0.74690015471198912</v>
      </c>
      <c r="K25" s="56">
        <f t="shared" si="0"/>
        <v>0.25309984528801088</v>
      </c>
      <c r="L25" s="49"/>
      <c r="M25" s="49"/>
      <c r="N25" s="48"/>
      <c r="O25" s="49"/>
    </row>
    <row r="26" spans="1:15" ht="12.75" customHeight="1" x14ac:dyDescent="0.2">
      <c r="A26" s="48" t="s">
        <v>650</v>
      </c>
      <c r="B26" s="48">
        <f>'15W40'!B26+'10W30'!M3</f>
        <v>423.99</v>
      </c>
      <c r="C26" s="49">
        <f t="shared" si="4"/>
        <v>309.37279999999998</v>
      </c>
      <c r="D26" s="48"/>
      <c r="E26" s="49">
        <f>'15W40'!E26</f>
        <v>114.05280000000002</v>
      </c>
      <c r="F26" s="48">
        <f>'15W40'!F26</f>
        <v>42</v>
      </c>
      <c r="G26" s="49">
        <f>F26*G4</f>
        <v>187.32</v>
      </c>
      <c r="H26" s="49">
        <v>8</v>
      </c>
      <c r="I26" s="55">
        <f t="shared" si="2"/>
        <v>114.61720000000003</v>
      </c>
      <c r="J26" s="56">
        <f t="shared" si="3"/>
        <v>0.72967003938772135</v>
      </c>
      <c r="K26" s="56">
        <f t="shared" si="0"/>
        <v>0.27032996061227865</v>
      </c>
      <c r="L26" s="49"/>
      <c r="M26" s="49"/>
      <c r="N26" s="48"/>
      <c r="O26" s="49"/>
    </row>
    <row r="27" spans="1:15" ht="12.75" customHeight="1" x14ac:dyDescent="0.2">
      <c r="A27" s="48" t="s">
        <v>651</v>
      </c>
      <c r="B27" s="48">
        <f>'15W40'!B27+M2</f>
        <v>327.99</v>
      </c>
      <c r="C27" s="49">
        <f t="shared" si="4"/>
        <v>222.87119999999999</v>
      </c>
      <c r="D27" s="48"/>
      <c r="E27" s="49">
        <f>'15W40'!E27</f>
        <v>45.391199999999998</v>
      </c>
      <c r="F27" s="48">
        <f>'15W40'!F27</f>
        <v>38</v>
      </c>
      <c r="G27" s="49">
        <f>F27*G4</f>
        <v>169.48</v>
      </c>
      <c r="H27" s="49">
        <v>8</v>
      </c>
      <c r="I27" s="55">
        <f t="shared" si="2"/>
        <v>105.11880000000002</v>
      </c>
      <c r="J27" s="56">
        <f t="shared" si="3"/>
        <v>0.67950608250251532</v>
      </c>
      <c r="K27" s="56">
        <f t="shared" si="0"/>
        <v>0.32049391749748468</v>
      </c>
      <c r="L27" s="49"/>
      <c r="M27" s="49"/>
      <c r="N27" s="48"/>
      <c r="O27" s="49"/>
    </row>
    <row r="28" spans="1:15" ht="12.75" customHeight="1" x14ac:dyDescent="0.2">
      <c r="A28" s="48" t="s">
        <v>652</v>
      </c>
      <c r="B28" s="48">
        <f>'15W40'!B28+M1</f>
        <v>185.99</v>
      </c>
      <c r="C28" s="49">
        <f t="shared" si="4"/>
        <v>80.542400000000001</v>
      </c>
      <c r="D28" s="48"/>
      <c r="E28" s="49">
        <f>'15W40'!E28</f>
        <v>10.102400000000001</v>
      </c>
      <c r="F28" s="48">
        <f>'15W40'!F28</f>
        <v>14</v>
      </c>
      <c r="G28" s="49">
        <f>F28*G4</f>
        <v>62.44</v>
      </c>
      <c r="H28" s="49">
        <v>8</v>
      </c>
      <c r="I28" s="55">
        <f t="shared" si="2"/>
        <v>105.44760000000001</v>
      </c>
      <c r="J28" s="56">
        <f t="shared" si="3"/>
        <v>0.43304693800741972</v>
      </c>
      <c r="K28" s="56">
        <f t="shared" si="0"/>
        <v>0.56695306199258022</v>
      </c>
      <c r="L28" s="49"/>
      <c r="M28" s="49"/>
      <c r="N28" s="48"/>
      <c r="O28" s="49"/>
    </row>
    <row r="29" spans="1:15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9"/>
      <c r="M29" s="49"/>
      <c r="N29" s="48"/>
      <c r="O29" s="49"/>
    </row>
    <row r="30" spans="1:15" ht="12.75" customHeight="1" x14ac:dyDescent="0.2">
      <c r="A30" s="48" t="s">
        <v>653</v>
      </c>
      <c r="B30" s="48">
        <f>'15W40'!B30+M1</f>
        <v>185.99</v>
      </c>
      <c r="C30" s="49">
        <f>E30+G30+H30</f>
        <v>84.856799999999993</v>
      </c>
      <c r="D30" s="48"/>
      <c r="E30" s="49">
        <f>'15W40'!E30</f>
        <v>14.416800000000002</v>
      </c>
      <c r="F30" s="48">
        <f>'15W40'!F30</f>
        <v>14</v>
      </c>
      <c r="G30" s="49">
        <f>F30*G4</f>
        <v>62.44</v>
      </c>
      <c r="H30" s="49">
        <v>8</v>
      </c>
      <c r="I30" s="55">
        <f t="shared" si="2"/>
        <v>101.13320000000002</v>
      </c>
      <c r="J30" s="56">
        <f t="shared" si="3"/>
        <v>0.45624388407978916</v>
      </c>
      <c r="K30" s="56">
        <f t="shared" si="0"/>
        <v>0.54375611592021089</v>
      </c>
      <c r="L30" s="49"/>
      <c r="M30" s="49"/>
      <c r="N30" s="48"/>
      <c r="O30" s="49"/>
    </row>
    <row r="31" spans="1:15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9"/>
      <c r="M31" s="49"/>
      <c r="N31" s="48"/>
      <c r="O31" s="49"/>
    </row>
    <row r="32" spans="1:15" ht="12.75" customHeight="1" x14ac:dyDescent="0.2">
      <c r="A32" s="48" t="s">
        <v>423</v>
      </c>
      <c r="B32" s="48">
        <f>'15W40'!B32+M1</f>
        <v>284.99</v>
      </c>
      <c r="C32" s="49">
        <f>E32+G32+H32</f>
        <v>166.44</v>
      </c>
      <c r="D32" s="48"/>
      <c r="E32" s="49">
        <f>'15W40'!E32</f>
        <v>96</v>
      </c>
      <c r="F32" s="48">
        <f>'15W40'!F32</f>
        <v>14</v>
      </c>
      <c r="G32" s="49">
        <f>F32*G4</f>
        <v>62.44</v>
      </c>
      <c r="H32" s="49">
        <v>8</v>
      </c>
      <c r="I32" s="55">
        <f t="shared" si="2"/>
        <v>118.55000000000001</v>
      </c>
      <c r="J32" s="56">
        <f t="shared" si="3"/>
        <v>0.58402049194708583</v>
      </c>
      <c r="K32" s="56">
        <f t="shared" si="0"/>
        <v>0.41597950805291417</v>
      </c>
      <c r="L32" s="49"/>
      <c r="M32" s="49"/>
      <c r="N32" s="48"/>
      <c r="O32" s="49"/>
    </row>
    <row r="33" spans="1:15" ht="12.75" customHeight="1" x14ac:dyDescent="0.2">
      <c r="A33" s="48" t="s">
        <v>654</v>
      </c>
      <c r="B33" s="48">
        <f>'15W40'!B33+M1</f>
        <v>214.99</v>
      </c>
      <c r="C33" s="49">
        <f>E33+G33+H33</f>
        <v>97.861599999999996</v>
      </c>
      <c r="D33" s="48"/>
      <c r="E33" s="49">
        <f>'15W40'!E33</f>
        <v>27.421599999999998</v>
      </c>
      <c r="F33" s="48">
        <f>'15W40'!F33</f>
        <v>14</v>
      </c>
      <c r="G33" s="49">
        <f>F33*G4</f>
        <v>62.44</v>
      </c>
      <c r="H33" s="49">
        <v>8</v>
      </c>
      <c r="I33" s="55">
        <f t="shared" si="2"/>
        <v>117.12840000000001</v>
      </c>
      <c r="J33" s="56">
        <f t="shared" si="3"/>
        <v>0.45519140425136051</v>
      </c>
      <c r="K33" s="56">
        <f t="shared" si="0"/>
        <v>0.54480859574863949</v>
      </c>
      <c r="L33" s="49"/>
      <c r="M33" s="49"/>
      <c r="N33" s="48"/>
      <c r="O33" s="49"/>
    </row>
    <row r="34" spans="1:15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9"/>
      <c r="M34" s="49"/>
      <c r="N34" s="48"/>
      <c r="O34" s="49"/>
    </row>
    <row r="35" spans="1:15" ht="12.75" customHeight="1" x14ac:dyDescent="0.2">
      <c r="A35" s="48" t="s">
        <v>655</v>
      </c>
      <c r="B35" s="48">
        <f>'15W40'!B35+M2</f>
        <v>290.99</v>
      </c>
      <c r="C35" s="49">
        <f>E35+G35+H35</f>
        <v>177.52879999999999</v>
      </c>
      <c r="D35" s="49"/>
      <c r="E35" s="49">
        <f>'15W40'!E35</f>
        <v>53.56880000000001</v>
      </c>
      <c r="F35" s="48">
        <f>'15W40'!F35</f>
        <v>26</v>
      </c>
      <c r="G35" s="49">
        <f>F35*G4</f>
        <v>115.96</v>
      </c>
      <c r="H35" s="49">
        <v>8</v>
      </c>
      <c r="I35" s="55">
        <f t="shared" si="2"/>
        <v>113.46120000000002</v>
      </c>
      <c r="J35" s="56">
        <f t="shared" si="3"/>
        <v>0.61008556995085739</v>
      </c>
      <c r="K35" s="56">
        <f t="shared" si="0"/>
        <v>0.38991443004914261</v>
      </c>
      <c r="L35" s="49"/>
      <c r="M35" s="49"/>
      <c r="N35" s="48"/>
      <c r="O35" s="49"/>
    </row>
    <row r="36" spans="1:15" ht="12.75" customHeight="1" x14ac:dyDescent="0.2">
      <c r="A36" s="48" t="s">
        <v>1245</v>
      </c>
      <c r="B36" s="48">
        <f>'15W40'!B36+M3</f>
        <v>529.99</v>
      </c>
      <c r="C36" s="49">
        <f>E36+G36+H36</f>
        <v>391.96000000000004</v>
      </c>
      <c r="D36" s="49"/>
      <c r="E36" s="49">
        <f>'15W40'!E36</f>
        <v>178.8</v>
      </c>
      <c r="F36" s="48">
        <f>'15W40'!F36</f>
        <v>46</v>
      </c>
      <c r="G36" s="49">
        <f>F36*G4</f>
        <v>205.16</v>
      </c>
      <c r="H36" s="49">
        <v>8</v>
      </c>
      <c r="I36" s="55">
        <f t="shared" si="2"/>
        <v>138.02999999999997</v>
      </c>
      <c r="J36" s="56">
        <f t="shared" si="3"/>
        <v>0.73956112379478867</v>
      </c>
      <c r="K36" s="56">
        <f t="shared" si="0"/>
        <v>0.26043887620521133</v>
      </c>
      <c r="L36" s="49"/>
      <c r="M36" s="49"/>
      <c r="N36" s="48"/>
      <c r="O36" s="49"/>
    </row>
    <row r="37" spans="1:15" ht="12.75" customHeight="1" x14ac:dyDescent="0.2">
      <c r="A37" s="48" t="s">
        <v>1249</v>
      </c>
      <c r="B37" s="48">
        <f>'15W40'!B37+M1</f>
        <v>264.99</v>
      </c>
      <c r="C37" s="49">
        <f>E37+G37+H37</f>
        <v>128.31279999999998</v>
      </c>
      <c r="D37" s="49"/>
      <c r="E37" s="49">
        <f>'15W40'!E37</f>
        <v>57.872799999999998</v>
      </c>
      <c r="F37" s="48">
        <f>'15W40'!F37</f>
        <v>14</v>
      </c>
      <c r="G37" s="49">
        <f>F37*G4</f>
        <v>62.44</v>
      </c>
      <c r="H37" s="49">
        <v>8</v>
      </c>
      <c r="I37" s="55">
        <f t="shared" si="2"/>
        <v>136.67720000000003</v>
      </c>
      <c r="J37" s="56">
        <f t="shared" si="3"/>
        <v>0.48421751764217508</v>
      </c>
      <c r="K37" s="56">
        <f t="shared" si="0"/>
        <v>0.51578248235782498</v>
      </c>
      <c r="L37" s="49"/>
      <c r="M37" s="49"/>
      <c r="N37" s="48"/>
      <c r="O37" s="49"/>
    </row>
    <row r="38" spans="1:15" ht="12.75" customHeight="1" x14ac:dyDescent="0.2">
      <c r="A38" s="48" t="s">
        <v>1124</v>
      </c>
      <c r="B38" s="48">
        <f>'15W40'!B38+M1</f>
        <v>230.99</v>
      </c>
      <c r="C38" s="49">
        <f t="shared" ref="C38:C53" si="5">E38+G38+H38</f>
        <v>114.5808</v>
      </c>
      <c r="D38" s="48"/>
      <c r="E38" s="49">
        <f>'15W40'!E38</f>
        <v>44.140799999999999</v>
      </c>
      <c r="F38" s="48">
        <f>'15W40'!F38</f>
        <v>14</v>
      </c>
      <c r="G38" s="49">
        <f>F38*G4</f>
        <v>62.44</v>
      </c>
      <c r="H38" s="49">
        <v>8</v>
      </c>
      <c r="I38" s="55">
        <f t="shared" si="2"/>
        <v>116.40920000000001</v>
      </c>
      <c r="J38" s="56">
        <f t="shared" si="3"/>
        <v>0.49604225291138143</v>
      </c>
      <c r="K38" s="56">
        <f t="shared" si="0"/>
        <v>0.50395774708861851</v>
      </c>
      <c r="L38" s="49"/>
      <c r="M38" s="49"/>
      <c r="N38" s="48"/>
      <c r="O38" s="49"/>
    </row>
    <row r="39" spans="1:15" ht="12.75" customHeight="1" x14ac:dyDescent="0.2">
      <c r="A39" s="48" t="s">
        <v>425</v>
      </c>
      <c r="B39" s="48">
        <f>'15W40'!B39+M1</f>
        <v>290.99</v>
      </c>
      <c r="C39" s="49">
        <f t="shared" si="5"/>
        <v>139.41</v>
      </c>
      <c r="D39" s="48"/>
      <c r="E39" s="49">
        <f>'15W40'!E39</f>
        <v>68.97</v>
      </c>
      <c r="F39" s="48">
        <f>'15W40'!F39</f>
        <v>14</v>
      </c>
      <c r="G39" s="49">
        <f>F39*G4</f>
        <v>62.44</v>
      </c>
      <c r="H39" s="49">
        <v>8</v>
      </c>
      <c r="I39" s="55">
        <f t="shared" si="2"/>
        <v>151.58000000000001</v>
      </c>
      <c r="J39" s="56">
        <f t="shared" si="3"/>
        <v>0.47908862847520528</v>
      </c>
      <c r="K39" s="56">
        <f t="shared" si="0"/>
        <v>0.52091137152479472</v>
      </c>
      <c r="L39" s="49"/>
      <c r="M39" s="49"/>
      <c r="N39" s="48"/>
      <c r="O39" s="49"/>
    </row>
    <row r="40" spans="1:15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9"/>
      <c r="M40" s="49"/>
      <c r="N40" s="48"/>
      <c r="O40" s="49"/>
    </row>
    <row r="41" spans="1:15" ht="12.75" customHeight="1" x14ac:dyDescent="0.2">
      <c r="A41" s="48" t="s">
        <v>907</v>
      </c>
      <c r="B41" s="48">
        <f>'15W40'!B41+M2</f>
        <v>388.99</v>
      </c>
      <c r="C41" s="49">
        <f t="shared" si="5"/>
        <v>264.08479999999997</v>
      </c>
      <c r="D41" s="48"/>
      <c r="E41" s="49">
        <f>'15W40'!E41</f>
        <v>86.604800000000012</v>
      </c>
      <c r="F41" s="48">
        <f>'15W40'!F41</f>
        <v>38</v>
      </c>
      <c r="G41" s="49">
        <f>F41*G4</f>
        <v>169.48</v>
      </c>
      <c r="H41" s="49">
        <v>8</v>
      </c>
      <c r="I41" s="55">
        <f t="shared" si="2"/>
        <v>124.90520000000004</v>
      </c>
      <c r="J41" s="56">
        <f t="shared" si="3"/>
        <v>0.67889868634155115</v>
      </c>
      <c r="K41" s="56">
        <f t="shared" si="0"/>
        <v>0.32110131365844885</v>
      </c>
      <c r="L41" s="49"/>
      <c r="M41" s="49"/>
      <c r="N41" s="48"/>
      <c r="O41" s="49"/>
    </row>
    <row r="42" spans="1:15" ht="12.75" customHeight="1" x14ac:dyDescent="0.2">
      <c r="A42" s="48" t="s">
        <v>908</v>
      </c>
      <c r="B42" s="48">
        <f>'15W40'!B42+M2</f>
        <v>459.99</v>
      </c>
      <c r="C42" s="49">
        <f t="shared" si="5"/>
        <v>350.98</v>
      </c>
      <c r="D42" s="48"/>
      <c r="E42" s="49">
        <f>'15W40'!E42</f>
        <v>173.5</v>
      </c>
      <c r="F42" s="48">
        <f>'15W40'!F42</f>
        <v>38</v>
      </c>
      <c r="G42" s="49">
        <f>F42*G4</f>
        <v>169.48</v>
      </c>
      <c r="H42" s="49">
        <v>8</v>
      </c>
      <c r="I42" s="55">
        <f t="shared" si="2"/>
        <v>109.00999999999999</v>
      </c>
      <c r="J42" s="56">
        <f t="shared" si="3"/>
        <v>0.76301658731711564</v>
      </c>
      <c r="K42" s="56">
        <f t="shared" si="0"/>
        <v>0.23698341268288436</v>
      </c>
      <c r="L42" s="49"/>
      <c r="M42" s="49"/>
      <c r="N42" s="48"/>
      <c r="O42" s="49"/>
    </row>
    <row r="43" spans="1:15" ht="12.75" customHeight="1" x14ac:dyDescent="0.2">
      <c r="A43" s="48" t="s">
        <v>909</v>
      </c>
      <c r="B43" s="48">
        <f>'15W40'!B43+'10W30'!M4</f>
        <v>471.99</v>
      </c>
      <c r="C43" s="49">
        <f t="shared" si="5"/>
        <v>339.90480000000002</v>
      </c>
      <c r="D43" s="48"/>
      <c r="E43" s="49">
        <f>'15W40'!E43</f>
        <v>86.604800000000012</v>
      </c>
      <c r="F43" s="48">
        <f>'15W40'!F43</f>
        <v>55</v>
      </c>
      <c r="G43" s="49">
        <f>F43*G4</f>
        <v>245.3</v>
      </c>
      <c r="H43" s="49">
        <v>8</v>
      </c>
      <c r="I43" s="55">
        <f t="shared" si="2"/>
        <v>132.08519999999999</v>
      </c>
      <c r="J43" s="56">
        <f t="shared" si="3"/>
        <v>0.72015254560477981</v>
      </c>
      <c r="K43" s="56">
        <f t="shared" si="0"/>
        <v>0.27984745439522019</v>
      </c>
      <c r="L43" s="49"/>
      <c r="M43" s="49"/>
      <c r="N43" s="48"/>
      <c r="O43" s="49" t="s">
        <v>184</v>
      </c>
    </row>
    <row r="44" spans="1:15" ht="12.75" customHeight="1" x14ac:dyDescent="0.2">
      <c r="A44" s="48" t="s">
        <v>910</v>
      </c>
      <c r="B44" s="48">
        <f>'15W40'!B44+'10W30'!M4</f>
        <v>544.99</v>
      </c>
      <c r="C44" s="49">
        <f t="shared" si="5"/>
        <v>426.8</v>
      </c>
      <c r="D44" s="48"/>
      <c r="E44" s="49">
        <f>'15W40'!E44</f>
        <v>173.5</v>
      </c>
      <c r="F44" s="48">
        <f>'15W40'!F44</f>
        <v>55</v>
      </c>
      <c r="G44" s="49">
        <f>F44*G4</f>
        <v>245.3</v>
      </c>
      <c r="H44" s="49">
        <v>8</v>
      </c>
      <c r="I44" s="55">
        <f t="shared" si="2"/>
        <v>118.19</v>
      </c>
      <c r="J44" s="56">
        <f t="shared" si="3"/>
        <v>0.78313363547955006</v>
      </c>
      <c r="K44" s="56">
        <f t="shared" si="0"/>
        <v>0.21686636452044994</v>
      </c>
      <c r="L44" s="49"/>
      <c r="M44" s="49"/>
      <c r="N44" s="48"/>
      <c r="O44" s="49"/>
    </row>
    <row r="45" spans="1:15" ht="12.75" customHeight="1" x14ac:dyDescent="0.2">
      <c r="A45" s="48" t="s">
        <v>656</v>
      </c>
      <c r="B45" s="48">
        <f>'15W40'!B45+M2</f>
        <v>342.99</v>
      </c>
      <c r="C45" s="49">
        <f t="shared" si="5"/>
        <v>227.86399999999998</v>
      </c>
      <c r="D45" s="48"/>
      <c r="E45" s="49">
        <f>'15W40'!E45</f>
        <v>50.384</v>
      </c>
      <c r="F45" s="48">
        <f>'15W40'!F45</f>
        <v>38</v>
      </c>
      <c r="G45" s="49">
        <f>F45*G4</f>
        <v>169.48</v>
      </c>
      <c r="H45" s="49">
        <v>8</v>
      </c>
      <c r="I45" s="55">
        <f t="shared" si="2"/>
        <v>115.12600000000003</v>
      </c>
      <c r="J45" s="56">
        <f t="shared" si="3"/>
        <v>0.66434589929735555</v>
      </c>
      <c r="K45" s="56">
        <f t="shared" si="0"/>
        <v>0.33565410070264445</v>
      </c>
      <c r="L45" s="49"/>
      <c r="M45" s="49"/>
      <c r="N45" s="48"/>
      <c r="O45" s="49"/>
    </row>
    <row r="46" spans="1:15" ht="12.75" customHeight="1" x14ac:dyDescent="0.2">
      <c r="A46" s="48" t="s">
        <v>657</v>
      </c>
      <c r="B46" s="48">
        <f>'15W40'!B46+M4</f>
        <v>412.99</v>
      </c>
      <c r="C46" s="49">
        <f t="shared" si="5"/>
        <v>290.30399999999997</v>
      </c>
      <c r="D46" s="48"/>
      <c r="E46" s="49">
        <f>'15W40'!E46</f>
        <v>50.384</v>
      </c>
      <c r="F46" s="48">
        <f>'15W40'!F46</f>
        <v>52</v>
      </c>
      <c r="G46" s="49">
        <f>F46*G4</f>
        <v>231.92</v>
      </c>
      <c r="H46" s="49">
        <v>8</v>
      </c>
      <c r="I46" s="55">
        <f t="shared" si="2"/>
        <v>122.68600000000004</v>
      </c>
      <c r="J46" s="56">
        <f t="shared" si="3"/>
        <v>0.70293227438921035</v>
      </c>
      <c r="K46" s="56">
        <f t="shared" si="0"/>
        <v>0.29706772561078965</v>
      </c>
      <c r="L46" s="49"/>
      <c r="M46" s="49"/>
      <c r="N46" s="48"/>
      <c r="O46" s="49"/>
    </row>
    <row r="47" spans="1:15" x14ac:dyDescent="0.2">
      <c r="A47" s="48" t="s">
        <v>658</v>
      </c>
      <c r="B47" s="48">
        <f>'15W40'!B47+M2</f>
        <v>451.99</v>
      </c>
      <c r="C47" s="49">
        <f t="shared" si="5"/>
        <v>338.87</v>
      </c>
      <c r="D47" s="48"/>
      <c r="E47" s="49">
        <f>'15W40'!E47</f>
        <v>161.38999999999999</v>
      </c>
      <c r="F47" s="48">
        <f>'15W40'!F47</f>
        <v>38</v>
      </c>
      <c r="G47" s="49">
        <f>F47*G4</f>
        <v>169.48</v>
      </c>
      <c r="H47" s="49">
        <v>8</v>
      </c>
      <c r="I47" s="55">
        <f t="shared" si="2"/>
        <v>113.12</v>
      </c>
      <c r="J47" s="56">
        <f t="shared" si="3"/>
        <v>0.74972897630478552</v>
      </c>
      <c r="K47" s="56">
        <f t="shared" si="0"/>
        <v>0.25027102369521448</v>
      </c>
      <c r="L47" s="49"/>
      <c r="M47" s="49"/>
      <c r="N47" s="48"/>
      <c r="O47" s="49"/>
    </row>
    <row r="48" spans="1:15" x14ac:dyDescent="0.2">
      <c r="A48" s="48" t="s">
        <v>659</v>
      </c>
      <c r="B48" s="48">
        <f>'15W40'!B48+M4</f>
        <v>524.99</v>
      </c>
      <c r="C48" s="49">
        <f t="shared" si="5"/>
        <v>401.30999999999995</v>
      </c>
      <c r="D48" s="48"/>
      <c r="E48" s="49">
        <f>'15W40'!E48</f>
        <v>161.38999999999999</v>
      </c>
      <c r="F48" s="48">
        <f>'15W40'!F48</f>
        <v>52</v>
      </c>
      <c r="G48" s="49">
        <f>F48*G4</f>
        <v>231.92</v>
      </c>
      <c r="H48" s="49">
        <v>8</v>
      </c>
      <c r="I48" s="55">
        <f t="shared" si="2"/>
        <v>123.68000000000006</v>
      </c>
      <c r="J48" s="56">
        <f t="shared" si="3"/>
        <v>0.76441456027733845</v>
      </c>
      <c r="K48" s="56">
        <f t="shared" si="0"/>
        <v>0.23558543972266155</v>
      </c>
      <c r="L48" s="49"/>
      <c r="M48" s="49"/>
      <c r="N48" s="48"/>
      <c r="O48" s="49"/>
    </row>
    <row r="49" spans="1:15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9"/>
      <c r="M49" s="49"/>
      <c r="N49" s="48"/>
      <c r="O49" s="49"/>
    </row>
    <row r="50" spans="1:15" x14ac:dyDescent="0.2">
      <c r="A50" s="48" t="s">
        <v>660</v>
      </c>
      <c r="B50" s="48">
        <f>'15W40'!B50+M2</f>
        <v>460.99</v>
      </c>
      <c r="C50" s="49">
        <f t="shared" si="5"/>
        <v>346.64</v>
      </c>
      <c r="D50" s="48"/>
      <c r="E50" s="49">
        <f>'15W40'!E50</f>
        <v>222.68</v>
      </c>
      <c r="F50" s="48">
        <f>'15W40'!F50</f>
        <v>26</v>
      </c>
      <c r="G50" s="49">
        <f>F50*G4</f>
        <v>115.96</v>
      </c>
      <c r="H50" s="49">
        <v>8</v>
      </c>
      <c r="I50" s="55">
        <f t="shared" si="2"/>
        <v>114.35000000000002</v>
      </c>
      <c r="J50" s="56">
        <f t="shared" si="3"/>
        <v>0.75194689689581118</v>
      </c>
      <c r="K50" s="56">
        <f t="shared" si="0"/>
        <v>0.24805310310418882</v>
      </c>
      <c r="L50" s="49"/>
      <c r="M50" s="49"/>
      <c r="N50" s="48"/>
      <c r="O50" s="49"/>
    </row>
    <row r="51" spans="1:15" x14ac:dyDescent="0.2">
      <c r="A51" s="48" t="s">
        <v>661</v>
      </c>
      <c r="B51" s="48">
        <f>'15W40'!B51+'10W30'!M2</f>
        <v>381.99</v>
      </c>
      <c r="C51" s="49">
        <f t="shared" si="5"/>
        <v>269.13599999999997</v>
      </c>
      <c r="D51" s="48"/>
      <c r="E51" s="49">
        <f>'15W40'!E51</f>
        <v>145.17599999999999</v>
      </c>
      <c r="F51" s="48">
        <f>'15W40'!F51</f>
        <v>26</v>
      </c>
      <c r="G51" s="49">
        <f>F51*G4</f>
        <v>115.96</v>
      </c>
      <c r="H51" s="49">
        <v>8</v>
      </c>
      <c r="I51" s="55">
        <f t="shared" si="2"/>
        <v>112.85400000000004</v>
      </c>
      <c r="J51" s="56">
        <f t="shared" si="3"/>
        <v>0.70456294667399655</v>
      </c>
      <c r="K51" s="56">
        <f t="shared" si="0"/>
        <v>0.29543705332600345</v>
      </c>
      <c r="L51" s="49"/>
      <c r="M51" s="49"/>
      <c r="N51" s="48"/>
      <c r="O51" s="49"/>
    </row>
    <row r="52" spans="1:15" x14ac:dyDescent="0.2">
      <c r="A52" s="48" t="s">
        <v>662</v>
      </c>
      <c r="B52" s="48">
        <f>'15W40'!B52+M2</f>
        <v>459.99</v>
      </c>
      <c r="C52" s="49">
        <f t="shared" si="5"/>
        <v>342.16999999999996</v>
      </c>
      <c r="D52" s="48"/>
      <c r="E52" s="49">
        <f>'15W40'!E52</f>
        <v>164.69</v>
      </c>
      <c r="F52" s="48">
        <f>'15W40'!F52</f>
        <v>38</v>
      </c>
      <c r="G52" s="49">
        <f>F52*G4</f>
        <v>169.48</v>
      </c>
      <c r="H52" s="49">
        <v>8</v>
      </c>
      <c r="I52" s="55">
        <f t="shared" si="2"/>
        <v>117.82000000000005</v>
      </c>
      <c r="J52" s="56">
        <f t="shared" si="3"/>
        <v>0.74386399704341388</v>
      </c>
      <c r="K52" s="56">
        <f t="shared" si="0"/>
        <v>0.25613600295658612</v>
      </c>
      <c r="L52" s="49"/>
      <c r="M52" s="49"/>
      <c r="N52" s="48"/>
      <c r="O52" s="49"/>
    </row>
    <row r="53" spans="1:15" x14ac:dyDescent="0.2">
      <c r="A53" s="48" t="s">
        <v>663</v>
      </c>
      <c r="B53" s="48">
        <f>'15W40'!B53+'10W30'!M2</f>
        <v>381.99</v>
      </c>
      <c r="C53" s="49">
        <f t="shared" si="5"/>
        <v>266.28319999999997</v>
      </c>
      <c r="D53" s="48"/>
      <c r="E53" s="49">
        <f>'15W40'!E53</f>
        <v>88.80319999999999</v>
      </c>
      <c r="F53" s="48">
        <f>'15W40'!F53</f>
        <v>38</v>
      </c>
      <c r="G53" s="49">
        <f>F53*G4</f>
        <v>169.48</v>
      </c>
      <c r="H53" s="49">
        <v>8</v>
      </c>
      <c r="I53" s="55">
        <f t="shared" si="2"/>
        <v>115.70680000000004</v>
      </c>
      <c r="J53" s="56">
        <f t="shared" si="3"/>
        <v>0.69709468834262667</v>
      </c>
      <c r="K53" s="56">
        <f t="shared" si="0"/>
        <v>0.30290531165737333</v>
      </c>
      <c r="L53" s="49"/>
      <c r="M53" s="49"/>
      <c r="N53" s="48"/>
      <c r="O53" s="49"/>
    </row>
    <row r="54" spans="1:15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9"/>
      <c r="M54" s="49"/>
      <c r="N54" s="48"/>
      <c r="O54" s="49"/>
    </row>
    <row r="55" spans="1:15" x14ac:dyDescent="0.2">
      <c r="A55" s="48" t="s">
        <v>665</v>
      </c>
      <c r="B55" s="48">
        <f>'15W40'!B55+M3</f>
        <v>394.99</v>
      </c>
      <c r="C55" s="49">
        <f t="shared" ref="C55:C60" si="6">E55+G55+H55</f>
        <v>267.63</v>
      </c>
      <c r="D55" s="48"/>
      <c r="E55" s="49">
        <f>'15W40'!E55</f>
        <v>50.010000000000005</v>
      </c>
      <c r="F55" s="48">
        <f>'15W40'!F55</f>
        <v>47</v>
      </c>
      <c r="G55" s="49">
        <f>F55*G4</f>
        <v>209.62</v>
      </c>
      <c r="H55" s="49">
        <v>8</v>
      </c>
      <c r="I55" s="55">
        <f t="shared" si="2"/>
        <v>127.36000000000001</v>
      </c>
      <c r="J55" s="56">
        <f t="shared" si="3"/>
        <v>0.67756145725208228</v>
      </c>
      <c r="K55" s="56">
        <f t="shared" si="0"/>
        <v>0.32243854274791772</v>
      </c>
      <c r="L55" s="49"/>
      <c r="M55" s="49"/>
      <c r="N55" s="48"/>
      <c r="O55" s="49"/>
    </row>
    <row r="56" spans="1:15" x14ac:dyDescent="0.2">
      <c r="A56" s="48" t="s">
        <v>666</v>
      </c>
      <c r="B56" s="48">
        <f>'15W40'!B56+M3</f>
        <v>372.99</v>
      </c>
      <c r="C56" s="49">
        <f t="shared" si="6"/>
        <v>259.0616</v>
      </c>
      <c r="D56" s="48"/>
      <c r="E56" s="49">
        <f>'15W40'!E56</f>
        <v>41.441600000000001</v>
      </c>
      <c r="F56" s="48">
        <f>'15W40'!F56</f>
        <v>47</v>
      </c>
      <c r="G56" s="49">
        <f>F56*G4</f>
        <v>209.62</v>
      </c>
      <c r="H56" s="49">
        <v>8</v>
      </c>
      <c r="I56" s="55">
        <f t="shared" si="2"/>
        <v>113.92840000000001</v>
      </c>
      <c r="J56" s="56">
        <f t="shared" si="3"/>
        <v>0.69455374138716852</v>
      </c>
      <c r="K56" s="56">
        <f t="shared" si="0"/>
        <v>0.30544625861283148</v>
      </c>
      <c r="L56" s="49"/>
      <c r="M56" s="49"/>
      <c r="N56" s="48"/>
      <c r="O56" s="49"/>
    </row>
    <row r="57" spans="1:15" x14ac:dyDescent="0.2">
      <c r="A57" s="48" t="s">
        <v>667</v>
      </c>
      <c r="B57" s="48">
        <f>'15W40'!B57+M2</f>
        <v>304.99</v>
      </c>
      <c r="C57" s="49">
        <f t="shared" si="6"/>
        <v>171.51</v>
      </c>
      <c r="D57" s="48"/>
      <c r="E57" s="49">
        <f>'15W40'!E57</f>
        <v>47.55</v>
      </c>
      <c r="F57" s="48">
        <f>'15W40'!F57</f>
        <v>26</v>
      </c>
      <c r="G57" s="49">
        <f>F57*G4</f>
        <v>115.96</v>
      </c>
      <c r="H57" s="49">
        <v>8</v>
      </c>
      <c r="I57" s="55">
        <f t="shared" si="2"/>
        <v>133.48000000000002</v>
      </c>
      <c r="J57" s="56">
        <f t="shared" si="3"/>
        <v>0.56234630643627659</v>
      </c>
      <c r="K57" s="56">
        <f t="shared" si="0"/>
        <v>0.43765369356372341</v>
      </c>
      <c r="L57" s="49"/>
      <c r="M57" s="49"/>
      <c r="N57" s="48"/>
      <c r="O57" s="49"/>
    </row>
    <row r="58" spans="1:15" x14ac:dyDescent="0.2">
      <c r="A58" s="48" t="s">
        <v>668</v>
      </c>
      <c r="B58" s="48">
        <f>'15W40'!B58+M2</f>
        <v>266.99</v>
      </c>
      <c r="C58" s="49">
        <f t="shared" si="6"/>
        <v>157.43599999999998</v>
      </c>
      <c r="D58" s="48"/>
      <c r="E58" s="49">
        <f>'15W40'!E58</f>
        <v>33.475999999999999</v>
      </c>
      <c r="F58" s="48">
        <f>'15W40'!F58</f>
        <v>26</v>
      </c>
      <c r="G58" s="49">
        <f>F58*G4</f>
        <v>115.96</v>
      </c>
      <c r="H58" s="49">
        <v>8</v>
      </c>
      <c r="I58" s="55">
        <f t="shared" si="2"/>
        <v>109.55400000000003</v>
      </c>
      <c r="J58" s="56">
        <f t="shared" si="3"/>
        <v>0.58967002509457278</v>
      </c>
      <c r="K58" s="56">
        <f t="shared" si="0"/>
        <v>0.41032997490542722</v>
      </c>
      <c r="L58" s="49"/>
      <c r="M58" s="49"/>
      <c r="N58" s="48"/>
      <c r="O58" s="49"/>
    </row>
    <row r="59" spans="1:15" x14ac:dyDescent="0.2">
      <c r="A59" s="48" t="s">
        <v>669</v>
      </c>
      <c r="B59" s="48">
        <f>'15W40'!B59+M2</f>
        <v>244.99</v>
      </c>
      <c r="C59" s="49">
        <f t="shared" si="6"/>
        <v>115.03999999999999</v>
      </c>
      <c r="D59" s="48"/>
      <c r="E59" s="49">
        <f>'15W40'!E59</f>
        <v>0</v>
      </c>
      <c r="F59" s="48">
        <f>'15W40'!F59</f>
        <v>24</v>
      </c>
      <c r="G59" s="49">
        <f>F59*G4</f>
        <v>107.03999999999999</v>
      </c>
      <c r="H59" s="49">
        <v>8</v>
      </c>
      <c r="I59" s="55">
        <f t="shared" si="2"/>
        <v>129.95000000000002</v>
      </c>
      <c r="J59" s="56">
        <f t="shared" si="3"/>
        <v>0.46957018653822602</v>
      </c>
      <c r="K59" s="56">
        <f t="shared" si="0"/>
        <v>0.53042981346177398</v>
      </c>
      <c r="L59" s="49"/>
      <c r="M59" s="49"/>
      <c r="N59" s="48"/>
      <c r="O59" s="49"/>
    </row>
    <row r="60" spans="1:15" x14ac:dyDescent="0.2">
      <c r="A60" s="48" t="s">
        <v>670</v>
      </c>
      <c r="B60" s="48">
        <f>'15W40'!B60+M1</f>
        <v>244.99</v>
      </c>
      <c r="C60" s="49">
        <f t="shared" si="6"/>
        <v>139.22</v>
      </c>
      <c r="D60" s="48"/>
      <c r="E60" s="49">
        <f>'15W40'!E60</f>
        <v>73.240000000000009</v>
      </c>
      <c r="F60" s="48">
        <f>'15W40'!F60</f>
        <v>13</v>
      </c>
      <c r="G60" s="49">
        <f>F60*G4</f>
        <v>57.98</v>
      </c>
      <c r="H60" s="49">
        <v>8</v>
      </c>
      <c r="I60" s="55">
        <f t="shared" si="2"/>
        <v>105.77000000000001</v>
      </c>
      <c r="J60" s="56">
        <f t="shared" si="3"/>
        <v>0.56826809257520716</v>
      </c>
      <c r="K60" s="56">
        <f t="shared" si="0"/>
        <v>0.43173190742479284</v>
      </c>
      <c r="L60" s="49"/>
      <c r="M60" s="49"/>
      <c r="N60" s="48"/>
      <c r="O60" s="49"/>
    </row>
    <row r="61" spans="1:15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9"/>
      <c r="M61" s="49"/>
      <c r="N61" s="48"/>
      <c r="O61" s="49"/>
    </row>
    <row r="62" spans="1:15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9"/>
      <c r="M62" s="49"/>
      <c r="N62" s="48"/>
      <c r="O62" s="49"/>
    </row>
    <row r="63" spans="1:15" x14ac:dyDescent="0.2">
      <c r="A63" s="48" t="s">
        <v>673</v>
      </c>
      <c r="B63" s="48">
        <f>'15W40'!B63+M2</f>
        <v>271.99</v>
      </c>
      <c r="C63" s="49">
        <f>E63+G63+H63</f>
        <v>161.9864</v>
      </c>
      <c r="D63" s="48"/>
      <c r="E63" s="49">
        <f>'15W40'!E63</f>
        <v>38.026400000000002</v>
      </c>
      <c r="F63" s="48">
        <f>'15W40'!F63</f>
        <v>26</v>
      </c>
      <c r="G63" s="49">
        <f>F63*G4</f>
        <v>115.96</v>
      </c>
      <c r="H63" s="49">
        <v>8</v>
      </c>
      <c r="I63" s="55">
        <f t="shared" si="2"/>
        <v>110.00360000000001</v>
      </c>
      <c r="J63" s="56">
        <f t="shared" si="3"/>
        <v>0.59556013088716497</v>
      </c>
      <c r="K63" s="56">
        <f t="shared" si="0"/>
        <v>0.40443986911283503</v>
      </c>
      <c r="L63" s="49"/>
      <c r="M63" s="49"/>
      <c r="N63" s="48"/>
      <c r="O63" s="49"/>
    </row>
    <row r="64" spans="1:15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9"/>
      <c r="M64" s="49"/>
      <c r="N64" s="48"/>
      <c r="O64" s="49"/>
    </row>
    <row r="65" spans="1:15" x14ac:dyDescent="0.2">
      <c r="A65" s="48" t="s">
        <v>674</v>
      </c>
      <c r="B65" s="48">
        <f>'15W40'!B65+M3</f>
        <v>488.99</v>
      </c>
      <c r="C65" s="49">
        <f>E65+G65+H65</f>
        <v>375.21000000000004</v>
      </c>
      <c r="D65" s="48"/>
      <c r="E65" s="49">
        <f>'15W40'!E65</f>
        <v>162.05000000000001</v>
      </c>
      <c r="F65" s="48">
        <f>'15W40'!F65</f>
        <v>46</v>
      </c>
      <c r="G65" s="49">
        <f>F65*G4</f>
        <v>205.16</v>
      </c>
      <c r="H65" s="49">
        <v>8</v>
      </c>
      <c r="I65" s="55">
        <f t="shared" si="2"/>
        <v>113.77999999999997</v>
      </c>
      <c r="J65" s="56">
        <f t="shared" si="3"/>
        <v>0.76731630503691284</v>
      </c>
      <c r="K65" s="56">
        <f t="shared" si="0"/>
        <v>0.23268369496308716</v>
      </c>
      <c r="L65" s="49"/>
      <c r="M65" s="49"/>
      <c r="N65" s="48"/>
      <c r="O65" s="49"/>
    </row>
    <row r="66" spans="1:15" x14ac:dyDescent="0.2">
      <c r="A66" s="48" t="s">
        <v>675</v>
      </c>
      <c r="B66" s="48">
        <f>'15W40'!B66+M3</f>
        <v>409.99</v>
      </c>
      <c r="C66" s="49">
        <f>E66+G66+H66</f>
        <v>293.00720000000001</v>
      </c>
      <c r="D66" s="48"/>
      <c r="E66" s="49">
        <f>'15W40'!E66</f>
        <v>79.847200000000001</v>
      </c>
      <c r="F66" s="48">
        <f>'15W40'!F66</f>
        <v>46</v>
      </c>
      <c r="G66" s="49">
        <f>F66*G4</f>
        <v>205.16</v>
      </c>
      <c r="H66" s="49">
        <v>8</v>
      </c>
      <c r="I66" s="55">
        <f t="shared" si="2"/>
        <v>116.9828</v>
      </c>
      <c r="J66" s="56">
        <f t="shared" si="3"/>
        <v>0.71466913827166523</v>
      </c>
      <c r="K66" s="56">
        <f t="shared" si="0"/>
        <v>0.28533086172833477</v>
      </c>
      <c r="L66" s="49"/>
      <c r="M66" s="49"/>
      <c r="N66" s="48"/>
      <c r="O66" s="49"/>
    </row>
    <row r="67" spans="1:15" x14ac:dyDescent="0.2">
      <c r="A67" s="48" t="s">
        <v>676</v>
      </c>
      <c r="B67" s="48">
        <f>'15W40'!B67+M2</f>
        <v>254.99</v>
      </c>
      <c r="C67" s="49">
        <f>E67+G67+H67</f>
        <v>141.72800000000001</v>
      </c>
      <c r="D67" s="48"/>
      <c r="E67" s="49">
        <f>'15W40'!E67</f>
        <v>26.688000000000002</v>
      </c>
      <c r="F67" s="48">
        <f>'15W40'!F67</f>
        <v>24</v>
      </c>
      <c r="G67" s="49">
        <f>F67*G4</f>
        <v>107.03999999999999</v>
      </c>
      <c r="H67" s="49">
        <v>8</v>
      </c>
      <c r="I67" s="55">
        <f t="shared" si="2"/>
        <v>113.262</v>
      </c>
      <c r="J67" s="56">
        <f t="shared" si="3"/>
        <v>0.55581787521079262</v>
      </c>
      <c r="K67" s="56">
        <f t="shared" si="0"/>
        <v>0.44418212478920738</v>
      </c>
      <c r="L67" s="49"/>
      <c r="M67" s="49"/>
      <c r="N67" s="48"/>
      <c r="O67" s="49"/>
    </row>
    <row r="68" spans="1:15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9"/>
      <c r="M68" s="49"/>
      <c r="N68" s="48"/>
      <c r="O68" s="49"/>
    </row>
    <row r="69" spans="1:15" x14ac:dyDescent="0.2">
      <c r="A69" s="48" t="s">
        <v>677</v>
      </c>
      <c r="B69" s="48">
        <f>'15W40'!B69+M2</f>
        <v>370.99</v>
      </c>
      <c r="C69" s="49">
        <f t="shared" ref="C69:C74" si="7">E69+G69+H69</f>
        <v>246.2448</v>
      </c>
      <c r="D69" s="48"/>
      <c r="E69" s="49">
        <f>'15W40'!E69</f>
        <v>86.604800000000012</v>
      </c>
      <c r="F69" s="48">
        <f>'15W40'!F69</f>
        <v>34</v>
      </c>
      <c r="G69" s="49">
        <f>F69*G4</f>
        <v>151.63999999999999</v>
      </c>
      <c r="H69" s="49">
        <v>8</v>
      </c>
      <c r="I69" s="55">
        <f t="shared" si="2"/>
        <v>124.74520000000001</v>
      </c>
      <c r="J69" s="56">
        <f t="shared" si="3"/>
        <v>0.66375050540445835</v>
      </c>
      <c r="K69" s="56">
        <f t="shared" si="0"/>
        <v>0.33624949459554165</v>
      </c>
      <c r="L69" s="49"/>
      <c r="M69" s="49"/>
      <c r="N69" s="48"/>
      <c r="O69" s="49"/>
    </row>
    <row r="70" spans="1:15" x14ac:dyDescent="0.2">
      <c r="A70" s="48" t="s">
        <v>678</v>
      </c>
      <c r="B70" s="48">
        <f>'15W40'!B70+M3</f>
        <v>409.99</v>
      </c>
      <c r="C70" s="49">
        <f t="shared" si="7"/>
        <v>281.9248</v>
      </c>
      <c r="D70" s="48"/>
      <c r="E70" s="49">
        <f>'15W40'!E70</f>
        <v>86.604800000000012</v>
      </c>
      <c r="F70" s="48">
        <f>'15W40'!F70</f>
        <v>42</v>
      </c>
      <c r="G70" s="49">
        <f>F70*G4</f>
        <v>187.32</v>
      </c>
      <c r="H70" s="49">
        <v>8</v>
      </c>
      <c r="I70" s="55">
        <f t="shared" si="2"/>
        <v>128.0652</v>
      </c>
      <c r="J70" s="56">
        <f t="shared" si="3"/>
        <v>0.68763823507890431</v>
      </c>
      <c r="K70" s="56">
        <f t="shared" si="0"/>
        <v>0.31236176492109569</v>
      </c>
      <c r="L70" s="49"/>
      <c r="M70" s="49"/>
      <c r="N70" s="48"/>
      <c r="O70" s="49"/>
    </row>
    <row r="71" spans="1:15" x14ac:dyDescent="0.2">
      <c r="A71" s="48" t="s">
        <v>679</v>
      </c>
      <c r="B71" s="48">
        <f>'15W40'!B71+M4</f>
        <v>459.99</v>
      </c>
      <c r="C71" s="49">
        <f t="shared" si="7"/>
        <v>326.52480000000003</v>
      </c>
      <c r="D71" s="48"/>
      <c r="E71" s="49">
        <f>'15W40'!E71</f>
        <v>86.604800000000012</v>
      </c>
      <c r="F71" s="48">
        <f>'15W40'!F71</f>
        <v>52</v>
      </c>
      <c r="G71" s="49">
        <f>F71*G4</f>
        <v>231.92</v>
      </c>
      <c r="H71" s="49">
        <v>8</v>
      </c>
      <c r="I71" s="55">
        <f t="shared" si="2"/>
        <v>133.46519999999998</v>
      </c>
      <c r="J71" s="56">
        <f t="shared" si="3"/>
        <v>0.70985195330333273</v>
      </c>
      <c r="K71" s="56">
        <f t="shared" si="0"/>
        <v>0.29014804669666727</v>
      </c>
      <c r="L71" s="49"/>
      <c r="M71" s="49"/>
      <c r="N71" s="48"/>
      <c r="O71" s="49"/>
    </row>
    <row r="72" spans="1:15" x14ac:dyDescent="0.2">
      <c r="A72" s="48" t="s">
        <v>680</v>
      </c>
      <c r="B72" s="48">
        <f>'15W40'!B72+M2</f>
        <v>439.99</v>
      </c>
      <c r="C72" s="49">
        <f t="shared" si="7"/>
        <v>325.92999999999995</v>
      </c>
      <c r="D72" s="48"/>
      <c r="E72" s="49">
        <f>'15W40'!E72</f>
        <v>166.29</v>
      </c>
      <c r="F72" s="48">
        <f>'15W40'!F72</f>
        <v>34</v>
      </c>
      <c r="G72" s="49">
        <f>F72*G4</f>
        <v>151.63999999999999</v>
      </c>
      <c r="H72" s="49">
        <v>8</v>
      </c>
      <c r="I72" s="55">
        <f t="shared" si="2"/>
        <v>114.06000000000006</v>
      </c>
      <c r="J72" s="56">
        <f t="shared" si="3"/>
        <v>0.74076683560990009</v>
      </c>
      <c r="K72" s="56">
        <f t="shared" si="0"/>
        <v>0.25923316439009991</v>
      </c>
      <c r="L72" s="49"/>
      <c r="M72" s="49"/>
      <c r="N72" s="48"/>
      <c r="O72" s="49"/>
    </row>
    <row r="73" spans="1:15" x14ac:dyDescent="0.2">
      <c r="A73" s="48" t="s">
        <v>681</v>
      </c>
      <c r="B73" s="48">
        <f>'15W40'!B73+M3</f>
        <v>479.99</v>
      </c>
      <c r="C73" s="49">
        <f t="shared" si="7"/>
        <v>361.61</v>
      </c>
      <c r="D73" s="48"/>
      <c r="E73" s="49">
        <f>'15W40'!E73</f>
        <v>166.29</v>
      </c>
      <c r="F73" s="48">
        <f>'15W40'!F73</f>
        <v>42</v>
      </c>
      <c r="G73" s="49">
        <f>F73*G4</f>
        <v>187.32</v>
      </c>
      <c r="H73" s="49">
        <v>8</v>
      </c>
      <c r="I73" s="55">
        <f t="shared" si="2"/>
        <v>118.38</v>
      </c>
      <c r="J73" s="56">
        <f t="shared" si="3"/>
        <v>0.7533698618721224</v>
      </c>
      <c r="K73" s="56">
        <f t="shared" si="0"/>
        <v>0.2466301381278776</v>
      </c>
      <c r="L73" s="49"/>
      <c r="M73" s="49"/>
      <c r="N73" s="48"/>
      <c r="O73" s="49"/>
    </row>
    <row r="74" spans="1:15" x14ac:dyDescent="0.2">
      <c r="A74" s="48" t="s">
        <v>682</v>
      </c>
      <c r="B74" s="48">
        <f>'15W40'!B74+M4</f>
        <v>527.99</v>
      </c>
      <c r="C74" s="49">
        <f t="shared" si="7"/>
        <v>406.21</v>
      </c>
      <c r="D74" s="48"/>
      <c r="E74" s="49">
        <f>'15W40'!E74</f>
        <v>166.29</v>
      </c>
      <c r="F74" s="48">
        <f>'15W40'!F74</f>
        <v>52</v>
      </c>
      <c r="G74" s="49">
        <f>F74*G4</f>
        <v>231.92</v>
      </c>
      <c r="H74" s="49">
        <v>8</v>
      </c>
      <c r="I74" s="55">
        <f t="shared" si="2"/>
        <v>121.78000000000003</v>
      </c>
      <c r="J74" s="56">
        <f t="shared" si="3"/>
        <v>0.76935169226689892</v>
      </c>
      <c r="K74" s="56">
        <f t="shared" ref="K74" si="8">1-J74</f>
        <v>0.23064830773310108</v>
      </c>
      <c r="L74" s="49"/>
      <c r="M74" s="49"/>
      <c r="N74" s="48"/>
      <c r="O74" s="49"/>
    </row>
    <row r="76" spans="1:15" ht="12.75" customHeight="1" x14ac:dyDescent="0.2">
      <c r="K76" s="56">
        <f>SUM(K6:K74)/53</f>
        <v>0.36641778910485162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9"/>
  <sheetViews>
    <sheetView zoomScale="120" zoomScaleNormal="120" workbookViewId="0">
      <pane ySplit="4" topLeftCell="A5" activePane="bottomLeft" state="frozen"/>
      <selection pane="bottomLeft" activeCell="B6" sqref="B6"/>
    </sheetView>
  </sheetViews>
  <sheetFormatPr defaultColWidth="9.140625" defaultRowHeight="12.75" customHeight="1" x14ac:dyDescent="0.2"/>
  <cols>
    <col min="1" max="1" width="34.140625" style="46" customWidth="1"/>
    <col min="2" max="2" width="7.7109375" style="46" customWidth="1"/>
    <col min="3" max="3" width="7.85546875" style="46" customWidth="1"/>
    <col min="4" max="4" width="6.42578125" style="46" customWidth="1"/>
    <col min="5" max="5" width="7.28515625" style="46" customWidth="1"/>
    <col min="6" max="6" width="6.140625" style="46" customWidth="1"/>
    <col min="7" max="7" width="8" style="46" customWidth="1"/>
    <col min="8" max="8" width="7.140625" style="46" customWidth="1"/>
    <col min="9" max="10" width="7.5703125" style="46" customWidth="1"/>
    <col min="11" max="11" width="7.7109375" style="46" customWidth="1"/>
    <col min="12" max="12" width="6.5703125" style="46" customWidth="1"/>
    <col min="13" max="13" width="4.85546875" style="46" customWidth="1"/>
    <col min="14" max="14" width="7.7109375" style="46" customWidth="1"/>
    <col min="15" max="15" width="9.140625" style="46" customWidth="1"/>
    <col min="16" max="16384" width="9.140625" style="46"/>
  </cols>
  <sheetData>
    <row r="1" spans="1:16" ht="12.75" customHeight="1" x14ac:dyDescent="0.2">
      <c r="A1" s="46" t="s">
        <v>625</v>
      </c>
      <c r="B1" s="47" t="s">
        <v>1005</v>
      </c>
      <c r="D1" s="47" t="s">
        <v>703</v>
      </c>
      <c r="G1" s="50">
        <f>'Oil Price'!F25</f>
        <v>6.3835978835978846</v>
      </c>
      <c r="H1" s="46">
        <v>0.05</v>
      </c>
      <c r="L1" s="48" t="s">
        <v>693</v>
      </c>
      <c r="M1" s="389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9">
        <v>15</v>
      </c>
    </row>
    <row r="3" spans="1:16" ht="12.75" customHeight="1" x14ac:dyDescent="0.2">
      <c r="A3" s="46" t="s">
        <v>627</v>
      </c>
      <c r="E3" s="46" t="s">
        <v>628</v>
      </c>
      <c r="G3" s="46" t="s">
        <v>628</v>
      </c>
      <c r="H3" s="46" t="s">
        <v>688</v>
      </c>
      <c r="L3" s="48" t="s">
        <v>695</v>
      </c>
      <c r="M3" s="389">
        <v>20</v>
      </c>
      <c r="N3" s="48" t="s">
        <v>1250</v>
      </c>
      <c r="O3" s="48" t="s">
        <v>1251</v>
      </c>
      <c r="P3" s="48"/>
    </row>
    <row r="4" spans="1:16" ht="12.75" customHeight="1" x14ac:dyDescent="0.2">
      <c r="G4" s="50">
        <f>G1+H1</f>
        <v>6.4335978835978844</v>
      </c>
      <c r="H4" s="50"/>
      <c r="J4" s="46">
        <v>1</v>
      </c>
      <c r="L4" s="48" t="s">
        <v>696</v>
      </c>
      <c r="M4" s="389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'10W30'!B6+('10W30 Gallon'!G4-'10W30'!G4)*'10W30 Gallon'!F6+'10W30 Gallon'!M2</f>
        <v>355.3299470899471</v>
      </c>
      <c r="C6" s="49">
        <f>E6+G6+H6</f>
        <v>222.12994708994711</v>
      </c>
      <c r="D6" s="48"/>
      <c r="E6" s="49">
        <f>'15W40'!E6</f>
        <v>53.290000000000006</v>
      </c>
      <c r="F6" s="48">
        <f>'15W40'!F6</f>
        <v>25</v>
      </c>
      <c r="G6" s="49">
        <f>F6*G4</f>
        <v>160.83994708994712</v>
      </c>
      <c r="H6" s="49">
        <v>8</v>
      </c>
      <c r="I6" s="55">
        <f>B6-C6</f>
        <v>133.19999999999999</v>
      </c>
      <c r="J6" s="56">
        <f>C6/B6</f>
        <v>0.62513714059039849</v>
      </c>
      <c r="K6" s="56">
        <f>1-J6</f>
        <v>0.37486285940960151</v>
      </c>
      <c r="N6" s="49">
        <f>B6-'10W30'!B6</f>
        <v>64.339947089947088</v>
      </c>
      <c r="O6" s="49">
        <f>C6-'10W30'!C6</f>
        <v>49.339947089947088</v>
      </c>
      <c r="P6" s="50"/>
    </row>
    <row r="7" spans="1:16" ht="12.75" customHeight="1" x14ac:dyDescent="0.2">
      <c r="A7" s="48" t="s">
        <v>633</v>
      </c>
      <c r="B7" s="49">
        <f>'10W30'!B7+('10W30 Gallon'!G4-'10W30'!G4)*'10W30 Gallon'!F7+'10W30 Gallon'!M2</f>
        <v>333.3299470899471</v>
      </c>
      <c r="C7" s="49">
        <f>E7+G7+H7</f>
        <v>190.63914708994713</v>
      </c>
      <c r="D7" s="48"/>
      <c r="E7" s="49">
        <f>'15W40'!E7</f>
        <v>21.799199999999999</v>
      </c>
      <c r="F7" s="48">
        <f>'15W40'!F7</f>
        <v>25</v>
      </c>
      <c r="G7" s="49">
        <f>F7*G4</f>
        <v>160.83994708994712</v>
      </c>
      <c r="H7" s="49">
        <v>8</v>
      </c>
      <c r="I7" s="55">
        <f>B7-C7</f>
        <v>142.69079999999997</v>
      </c>
      <c r="J7" s="56">
        <f>C7/B7</f>
        <v>0.57192325128382271</v>
      </c>
      <c r="K7" s="56">
        <f t="shared" ref="K7:K73" si="0">1-J7</f>
        <v>0.42807674871617729</v>
      </c>
      <c r="N7" s="49">
        <f>B7-'10W30'!B7</f>
        <v>64.339947089947088</v>
      </c>
      <c r="O7" s="49">
        <f>C7-'10W30'!C7</f>
        <v>49.339947089947145</v>
      </c>
      <c r="P7" s="50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N8" s="49"/>
      <c r="O8" s="49"/>
      <c r="P8" s="50"/>
    </row>
    <row r="9" spans="1:16" ht="12.75" customHeight="1" x14ac:dyDescent="0.2">
      <c r="A9" s="48" t="s">
        <v>634</v>
      </c>
      <c r="B9" s="49">
        <f>'10W30'!B9+('10W30 Gallon'!G4-'10W30'!G4)*'10W30 Gallon'!F9+'10W30 Gallon'!M2</f>
        <v>449.98671957671962</v>
      </c>
      <c r="C9" s="49">
        <f>E9+G9+H9</f>
        <v>323.05671957671962</v>
      </c>
      <c r="D9" s="48"/>
      <c r="E9" s="49">
        <f>'15W40'!E9</f>
        <v>70.58</v>
      </c>
      <c r="F9" s="48">
        <f>'15W40'!F9</f>
        <v>38</v>
      </c>
      <c r="G9" s="49">
        <f>F9*G4</f>
        <v>244.4767195767196</v>
      </c>
      <c r="H9" s="49">
        <v>8</v>
      </c>
      <c r="I9" s="55">
        <f>B9-C9</f>
        <v>126.93</v>
      </c>
      <c r="J9" s="56">
        <f>C9/B9</f>
        <v>0.71792500872159781</v>
      </c>
      <c r="K9" s="56">
        <f t="shared" si="0"/>
        <v>0.28207499127840219</v>
      </c>
      <c r="N9" s="49">
        <f>B9-'10W30'!B9</f>
        <v>89.996719576719613</v>
      </c>
      <c r="O9" s="49">
        <f>C9-'10W30'!C9</f>
        <v>74.996719576719613</v>
      </c>
      <c r="P9" s="50"/>
    </row>
    <row r="10" spans="1:16" ht="12.75" customHeight="1" x14ac:dyDescent="0.2">
      <c r="A10" s="48" t="s">
        <v>635</v>
      </c>
      <c r="B10" s="49">
        <f>'10W30'!B10+('10W30 Gallon'!G4-'10W30'!G4)*'10W30 Gallon'!F10+'10W30 Gallon'!M2</f>
        <v>408.98671957671962</v>
      </c>
      <c r="C10" s="49">
        <f>E10+G10+H10</f>
        <v>283.52151957671958</v>
      </c>
      <c r="D10" s="48"/>
      <c r="E10" s="49">
        <f>'15W40'!E10</f>
        <v>31.044799999999999</v>
      </c>
      <c r="F10" s="48">
        <f>'15W40'!F10</f>
        <v>38</v>
      </c>
      <c r="G10" s="49">
        <f>F10*G4</f>
        <v>244.4767195767196</v>
      </c>
      <c r="H10" s="49">
        <v>8</v>
      </c>
      <c r="I10" s="55">
        <f>B10-C10</f>
        <v>125.46520000000004</v>
      </c>
      <c r="J10" s="56">
        <f>C10/B10</f>
        <v>0.69322915881021729</v>
      </c>
      <c r="K10" s="56">
        <f t="shared" si="0"/>
        <v>0.30677084118978271</v>
      </c>
      <c r="N10" s="49">
        <f>B10-'10W30'!B10</f>
        <v>89.996719576719613</v>
      </c>
      <c r="O10" s="49">
        <f>C10-'10W30'!C10</f>
        <v>74.996719576719585</v>
      </c>
      <c r="P10" s="50"/>
    </row>
    <row r="11" spans="1:16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N11" s="49"/>
      <c r="O11" s="49"/>
      <c r="P11" s="50"/>
    </row>
    <row r="12" spans="1:16" ht="12.75" customHeight="1" x14ac:dyDescent="0.2">
      <c r="A12" s="48" t="s">
        <v>637</v>
      </c>
      <c r="B12" s="49">
        <f>'10W30'!B12+('10W30 Gallon'!G4-'10W30'!G4)*'10W30 Gallon'!F12+'10W30 Gallon'!M3</f>
        <v>489.85470899470903</v>
      </c>
      <c r="C12" s="49">
        <f>E12+G12+H12</f>
        <v>355.22470899470903</v>
      </c>
      <c r="D12" s="48"/>
      <c r="E12" s="49">
        <f>'15W40'!E12</f>
        <v>70.58</v>
      </c>
      <c r="F12" s="48">
        <f>'15W40'!F12</f>
        <v>43</v>
      </c>
      <c r="G12" s="49">
        <f>F12*G4</f>
        <v>276.64470899470905</v>
      </c>
      <c r="H12" s="49">
        <v>8</v>
      </c>
      <c r="I12" s="55">
        <f>B12-C12</f>
        <v>134.63</v>
      </c>
      <c r="J12" s="56">
        <f>C12/B12</f>
        <v>0.72516340554061276</v>
      </c>
      <c r="K12" s="56">
        <f t="shared" si="0"/>
        <v>0.27483659445938724</v>
      </c>
      <c r="N12" s="49">
        <f>B12-'10W30'!B12</f>
        <v>104.86470899470902</v>
      </c>
      <c r="O12" s="49">
        <f>C12-'10W30'!C12</f>
        <v>84.864708994709019</v>
      </c>
      <c r="P12" s="50"/>
    </row>
    <row r="13" spans="1:16" ht="12.75" customHeight="1" x14ac:dyDescent="0.2">
      <c r="A13" s="48" t="s">
        <v>638</v>
      </c>
      <c r="B13" s="49">
        <f>'10W30'!B13+('10W30 Gallon'!G4-'10W30'!G4)*'10W30 Gallon'!F13+'10W30 Gallon'!M3</f>
        <v>448.85470899470903</v>
      </c>
      <c r="C13" s="49">
        <f>E13+G13+H13</f>
        <v>315.68950899470906</v>
      </c>
      <c r="D13" s="48"/>
      <c r="E13" s="49">
        <f>'15W40'!E13</f>
        <v>31.044799999999999</v>
      </c>
      <c r="F13" s="48">
        <f>'15W40'!F13</f>
        <v>43</v>
      </c>
      <c r="G13" s="49">
        <f>F13*G4</f>
        <v>276.64470899470905</v>
      </c>
      <c r="H13" s="49">
        <v>8</v>
      </c>
      <c r="I13" s="55">
        <f>B13-C13</f>
        <v>133.16519999999997</v>
      </c>
      <c r="J13" s="56">
        <f>C13/B13</f>
        <v>0.70332226145460874</v>
      </c>
      <c r="K13" s="56">
        <f t="shared" si="0"/>
        <v>0.29667773854539126</v>
      </c>
      <c r="N13" s="49">
        <f>B13-'10W30'!B13</f>
        <v>104.86470899470902</v>
      </c>
      <c r="O13" s="49">
        <f>C13-'10W30'!C13</f>
        <v>84.864708994709048</v>
      </c>
      <c r="P13" s="50"/>
    </row>
    <row r="14" spans="1:16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N14" s="49"/>
      <c r="O14" s="49"/>
      <c r="P14" s="50"/>
    </row>
    <row r="15" spans="1:16" ht="12.75" customHeight="1" x14ac:dyDescent="0.2">
      <c r="A15" s="48" t="s">
        <v>639</v>
      </c>
      <c r="B15" s="49">
        <f>'10W30'!B15+('10W30 Gallon'!G4-'10W30'!G4)*'10W30 Gallon'!F15+'10W30 Gallon'!M3</f>
        <v>430.93391534391537</v>
      </c>
      <c r="C15" s="49">
        <f t="shared" ref="C15:C21" si="1">E15+G15+H15</f>
        <v>296.77511534391539</v>
      </c>
      <c r="D15" s="48"/>
      <c r="E15" s="49">
        <f>'15W40'!E15</f>
        <v>31.4312</v>
      </c>
      <c r="F15" s="48">
        <f>'15W40'!F15</f>
        <v>40</v>
      </c>
      <c r="G15" s="49">
        <f>F15*G4</f>
        <v>257.3439153439154</v>
      </c>
      <c r="H15" s="49">
        <v>8</v>
      </c>
      <c r="I15" s="55">
        <f t="shared" ref="I15:I74" si="2">B15-C15</f>
        <v>134.15879999999999</v>
      </c>
      <c r="J15" s="56">
        <f t="shared" ref="J15:J74" si="3">C15/B15</f>
        <v>0.68867894769217253</v>
      </c>
      <c r="K15" s="56">
        <f t="shared" si="0"/>
        <v>0.31132105230782747</v>
      </c>
      <c r="N15" s="49">
        <f>B15-'10W30'!B15</f>
        <v>98.943915343915364</v>
      </c>
      <c r="O15" s="49">
        <f>C15-'10W30'!C15</f>
        <v>78.943915343915393</v>
      </c>
      <c r="P15" s="50"/>
    </row>
    <row r="16" spans="1:16" ht="12.75" customHeight="1" x14ac:dyDescent="0.2">
      <c r="A16" s="48" t="s">
        <v>640</v>
      </c>
      <c r="B16" s="49">
        <f>'10W30'!B16+('10W30 Gallon'!G4-'10W30'!G4)*'10W30 Gallon'!F16+'10W30 Gallon'!M1</f>
        <v>223.62037037037038</v>
      </c>
      <c r="C16" s="49">
        <f t="shared" si="1"/>
        <v>104.79037037037038</v>
      </c>
      <c r="D16" s="48"/>
      <c r="E16" s="49">
        <f>'15W40'!E16</f>
        <v>6.7200000000000006</v>
      </c>
      <c r="F16" s="48">
        <f>'15W40'!F16</f>
        <v>14</v>
      </c>
      <c r="G16" s="49">
        <f>F16*G4</f>
        <v>90.070370370370384</v>
      </c>
      <c r="H16" s="49">
        <v>8</v>
      </c>
      <c r="I16" s="55">
        <f t="shared" si="2"/>
        <v>118.83</v>
      </c>
      <c r="J16" s="56">
        <f t="shared" si="3"/>
        <v>0.46860833919920503</v>
      </c>
      <c r="K16" s="56">
        <f t="shared" si="0"/>
        <v>0.53139166080079492</v>
      </c>
      <c r="N16" s="49">
        <f>B16-'10W30'!B16</f>
        <v>37.630370370370372</v>
      </c>
      <c r="O16" s="49">
        <f>C16-'10W30'!C16</f>
        <v>27.630370370370386</v>
      </c>
      <c r="P16" s="50"/>
    </row>
    <row r="17" spans="1:16" ht="12.75" customHeight="1" x14ac:dyDescent="0.2">
      <c r="A17" s="48" t="s">
        <v>641</v>
      </c>
      <c r="B17" s="49">
        <f>'10W30'!B17+('10W30 Gallon'!G4-'10W30'!G4)*'10W30 Gallon'!F17+'10W30 Gallon'!M2</f>
        <v>347.3299470899471</v>
      </c>
      <c r="C17" s="49">
        <f t="shared" si="1"/>
        <v>219.6503470899471</v>
      </c>
      <c r="D17" s="48"/>
      <c r="E17" s="49">
        <f>'15W40'!E17</f>
        <v>50.810400000000001</v>
      </c>
      <c r="F17" s="48">
        <f>'15W40'!F17</f>
        <v>25</v>
      </c>
      <c r="G17" s="49">
        <f>F17*G4</f>
        <v>160.83994708994712</v>
      </c>
      <c r="H17" s="49">
        <v>8</v>
      </c>
      <c r="I17" s="55">
        <f t="shared" si="2"/>
        <v>127.67959999999999</v>
      </c>
      <c r="J17" s="56">
        <f t="shared" si="3"/>
        <v>0.63239680001754883</v>
      </c>
      <c r="K17" s="56">
        <f t="shared" si="0"/>
        <v>0.36760319998245117</v>
      </c>
      <c r="N17" s="49">
        <f>B17-'10W30'!B17</f>
        <v>64.339947089947088</v>
      </c>
      <c r="O17" s="49">
        <f>C17-'10W30'!C17</f>
        <v>49.339947089947088</v>
      </c>
      <c r="P17" s="50"/>
    </row>
    <row r="18" spans="1:16" ht="12.75" customHeight="1" x14ac:dyDescent="0.2">
      <c r="A18" s="48" t="s">
        <v>642</v>
      </c>
      <c r="B18" s="49">
        <f>'10W30'!B18+('10W30 Gallon'!G4-'10W30'!G4)*'10W30 Gallon'!F18+'10W30 Gallon'!M2</f>
        <v>345.3299470899471</v>
      </c>
      <c r="C18" s="49">
        <f t="shared" si="1"/>
        <v>195.52794708994713</v>
      </c>
      <c r="D18" s="48"/>
      <c r="E18" s="49">
        <f>'15W40'!E18</f>
        <v>26.688000000000002</v>
      </c>
      <c r="F18" s="48">
        <f>'15W40'!F18</f>
        <v>25</v>
      </c>
      <c r="G18" s="49">
        <f>F18*G4</f>
        <v>160.83994708994712</v>
      </c>
      <c r="H18" s="49">
        <v>8</v>
      </c>
      <c r="I18" s="55">
        <f t="shared" si="2"/>
        <v>149.80199999999996</v>
      </c>
      <c r="J18" s="56">
        <f t="shared" si="3"/>
        <v>0.56620617104782556</v>
      </c>
      <c r="K18" s="56">
        <f t="shared" si="0"/>
        <v>0.43379382895217444</v>
      </c>
      <c r="N18" s="49">
        <f>B18-'10W30'!B18</f>
        <v>64.339947089947088</v>
      </c>
      <c r="O18" s="49">
        <f>C18-'10W30'!C18</f>
        <v>49.339947089947145</v>
      </c>
      <c r="P18" s="50"/>
    </row>
    <row r="19" spans="1:16" ht="12.75" customHeight="1" x14ac:dyDescent="0.2">
      <c r="A19" s="48" t="s">
        <v>643</v>
      </c>
      <c r="B19" s="49">
        <f>'10W30'!B19+('10W30 Gallon'!G4-'10W30'!G4)*'10W30 Gallon'!F19+'10W30 Gallon'!M2</f>
        <v>404.03952380952387</v>
      </c>
      <c r="C19" s="49">
        <f t="shared" si="1"/>
        <v>279.44392380952382</v>
      </c>
      <c r="D19" s="48"/>
      <c r="E19" s="49">
        <f>'15W40'!E19</f>
        <v>39.834400000000002</v>
      </c>
      <c r="F19" s="48">
        <f>'15W40'!F19</f>
        <v>36</v>
      </c>
      <c r="G19" s="49">
        <f>F19*G4</f>
        <v>231.60952380952384</v>
      </c>
      <c r="H19" s="49">
        <v>8</v>
      </c>
      <c r="I19" s="55">
        <f t="shared" si="2"/>
        <v>124.59560000000005</v>
      </c>
      <c r="J19" s="56">
        <f t="shared" si="3"/>
        <v>0.69162521818351097</v>
      </c>
      <c r="K19" s="56">
        <f t="shared" si="0"/>
        <v>0.30837478181648903</v>
      </c>
      <c r="N19" s="49">
        <f>B19-'10W30'!B19</f>
        <v>86.049523809523862</v>
      </c>
      <c r="O19" s="49">
        <f>C19-'10W30'!C19</f>
        <v>71.049523809523805</v>
      </c>
      <c r="P19" s="50"/>
    </row>
    <row r="20" spans="1:16" ht="12.75" customHeight="1" x14ac:dyDescent="0.2">
      <c r="A20" s="48" t="s">
        <v>645</v>
      </c>
      <c r="B20" s="49">
        <f>'10W30'!B20+('10W30 Gallon'!G4-'10W30'!G4)*'10W30 Gallon'!F20+'10W30 Gallon'!M3</f>
        <v>515.82830687830688</v>
      </c>
      <c r="C20" s="49">
        <f t="shared" si="1"/>
        <v>376.72790687830695</v>
      </c>
      <c r="D20" s="48"/>
      <c r="E20" s="49">
        <f>'15W40'!E20</f>
        <v>85.649600000000007</v>
      </c>
      <c r="F20" s="48">
        <f>'15W40'!F20</f>
        <v>44</v>
      </c>
      <c r="G20" s="49">
        <f>F20*G4</f>
        <v>283.07830687830693</v>
      </c>
      <c r="H20" s="49">
        <v>8</v>
      </c>
      <c r="I20" s="55">
        <f t="shared" si="2"/>
        <v>139.10039999999992</v>
      </c>
      <c r="J20" s="56">
        <f t="shared" si="3"/>
        <v>0.73033585372270737</v>
      </c>
      <c r="K20" s="56">
        <f t="shared" si="0"/>
        <v>0.26966414627729263</v>
      </c>
      <c r="N20" s="49">
        <f>B20-'10W30'!B20</f>
        <v>106.83830687830687</v>
      </c>
      <c r="O20" s="49">
        <f>C20-'10W30'!C20</f>
        <v>86.838306878306923</v>
      </c>
      <c r="P20" s="50"/>
    </row>
    <row r="21" spans="1:16" ht="12.75" customHeight="1" x14ac:dyDescent="0.2">
      <c r="A21" s="48" t="s">
        <v>646</v>
      </c>
      <c r="B21" s="49">
        <f>'10W30'!B21+('10W30 Gallon'!G4-'10W30'!G4)*'10W30 Gallon'!F21+'10W30 Gallon'!M2</f>
        <v>383.09232804232806</v>
      </c>
      <c r="C21" s="49">
        <f t="shared" si="1"/>
        <v>258.17352804232803</v>
      </c>
      <c r="D21" s="48"/>
      <c r="E21" s="49">
        <f>'15W40'!E21</f>
        <v>31.4312</v>
      </c>
      <c r="F21" s="48">
        <f>'15W40'!F21</f>
        <v>34</v>
      </c>
      <c r="G21" s="49">
        <f>F21*G4</f>
        <v>218.74232804232807</v>
      </c>
      <c r="H21" s="49">
        <v>8</v>
      </c>
      <c r="I21" s="55">
        <f t="shared" si="2"/>
        <v>124.91880000000003</v>
      </c>
      <c r="J21" s="56">
        <f t="shared" si="3"/>
        <v>0.67391985989811398</v>
      </c>
      <c r="K21" s="56">
        <f t="shared" si="0"/>
        <v>0.32608014010188602</v>
      </c>
      <c r="N21" s="49">
        <f>B21-'10W30'!B21</f>
        <v>82.102328042328054</v>
      </c>
      <c r="O21" s="49">
        <f>C21-'10W30'!C21</f>
        <v>67.102328042328054</v>
      </c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N22" s="49"/>
      <c r="O22" s="49"/>
    </row>
    <row r="23" spans="1:16" ht="12.75" customHeight="1" x14ac:dyDescent="0.2">
      <c r="A23" s="48" t="s">
        <v>647</v>
      </c>
      <c r="B23" s="49">
        <f>'10W30'!B23+('10W30 Gallon'!G4-'10W30'!G4)*'10W30 Gallon'!F23+'10W30 Gallon'!M2</f>
        <v>464.98671957671962</v>
      </c>
      <c r="C23" s="49">
        <f t="shared" ref="C23:C28" si="4">E23+G23+H23</f>
        <v>330.09671957671958</v>
      </c>
      <c r="D23" s="48"/>
      <c r="E23" s="49">
        <f>'15W40'!E23</f>
        <v>77.62</v>
      </c>
      <c r="F23" s="48">
        <f>'15W40'!F23</f>
        <v>38</v>
      </c>
      <c r="G23" s="49">
        <f>F23*G4</f>
        <v>244.4767195767196</v>
      </c>
      <c r="H23" s="49">
        <v>8</v>
      </c>
      <c r="I23" s="55">
        <f t="shared" si="2"/>
        <v>134.89000000000004</v>
      </c>
      <c r="J23" s="56">
        <f t="shared" si="3"/>
        <v>0.70990569338670306</v>
      </c>
      <c r="K23" s="56">
        <f t="shared" si="0"/>
        <v>0.29009430661329694</v>
      </c>
      <c r="N23" s="49">
        <f>B23-'10W30'!B23</f>
        <v>89.996719576719613</v>
      </c>
      <c r="O23" s="49">
        <f>C23-'10W30'!C23</f>
        <v>74.996719576719585</v>
      </c>
    </row>
    <row r="24" spans="1:16" ht="12.75" customHeight="1" x14ac:dyDescent="0.2">
      <c r="A24" s="48" t="s">
        <v>648</v>
      </c>
      <c r="B24" s="49">
        <f>'10W30'!B24+('10W30 Gallon'!G4-'10W30'!G4)*'10W30 Gallon'!F24+'10W30 Gallon'!M2</f>
        <v>513.14513227513226</v>
      </c>
      <c r="C24" s="49">
        <f t="shared" si="4"/>
        <v>382.7251322751323</v>
      </c>
      <c r="D24" s="48"/>
      <c r="E24" s="49">
        <f>'15W40'!E24</f>
        <v>168.85000000000002</v>
      </c>
      <c r="F24" s="48">
        <f>'15W40'!F24</f>
        <v>32</v>
      </c>
      <c r="G24" s="49">
        <f>F24*G4</f>
        <v>205.8751322751323</v>
      </c>
      <c r="H24" s="49">
        <v>8</v>
      </c>
      <c r="I24" s="55">
        <f t="shared" si="2"/>
        <v>130.41999999999996</v>
      </c>
      <c r="J24" s="56">
        <f t="shared" si="3"/>
        <v>0.74584188410448982</v>
      </c>
      <c r="K24" s="56">
        <f t="shared" si="0"/>
        <v>0.25415811589551018</v>
      </c>
      <c r="N24" s="49">
        <f>B24-'10W30'!B24</f>
        <v>78.155132275132246</v>
      </c>
      <c r="O24" s="49">
        <f>C24-'10W30'!C24</f>
        <v>63.155132275132246</v>
      </c>
    </row>
    <row r="25" spans="1:16" ht="12.75" customHeight="1" x14ac:dyDescent="0.2">
      <c r="A25" s="48" t="s">
        <v>649</v>
      </c>
      <c r="B25" s="49">
        <f>'10W30'!B25+('10W30 Gallon'!G4-'10W30'!G4)*'10W30 Gallon'!F25+'10W30 Gallon'!M3</f>
        <v>548.88111111111118</v>
      </c>
      <c r="C25" s="49">
        <f t="shared" si="4"/>
        <v>416.00111111111119</v>
      </c>
      <c r="D25" s="48"/>
      <c r="E25" s="49">
        <f>'15W40'!E25</f>
        <v>137.79000000000002</v>
      </c>
      <c r="F25" s="48">
        <f>'15W40'!F25</f>
        <v>42</v>
      </c>
      <c r="G25" s="49">
        <f>F25*G4</f>
        <v>270.21111111111117</v>
      </c>
      <c r="H25" s="49">
        <v>8</v>
      </c>
      <c r="I25" s="55">
        <f t="shared" si="2"/>
        <v>132.88</v>
      </c>
      <c r="J25" s="56">
        <f t="shared" si="3"/>
        <v>0.75790750071357293</v>
      </c>
      <c r="K25" s="56">
        <f t="shared" si="0"/>
        <v>0.24209249928642707</v>
      </c>
      <c r="N25" s="49">
        <f>B25-'10W30'!B25</f>
        <v>102.89111111111117</v>
      </c>
      <c r="O25" s="49">
        <f>C25-'10W30'!C25</f>
        <v>82.891111111111172</v>
      </c>
    </row>
    <row r="26" spans="1:16" ht="12.75" customHeight="1" x14ac:dyDescent="0.2">
      <c r="A26" s="48" t="s">
        <v>650</v>
      </c>
      <c r="B26" s="49">
        <f>'10W30'!B26+('10W30 Gallon'!G4-'10W30'!G4)*'10W30 Gallon'!F26+'10W30 Gallon'!M3</f>
        <v>526.88111111111118</v>
      </c>
      <c r="C26" s="49">
        <f t="shared" si="4"/>
        <v>392.26391111111116</v>
      </c>
      <c r="D26" s="48"/>
      <c r="E26" s="49">
        <f>'15W40'!E26</f>
        <v>114.05280000000002</v>
      </c>
      <c r="F26" s="48">
        <f>'15W40'!F26</f>
        <v>42</v>
      </c>
      <c r="G26" s="49">
        <f>F26*G4</f>
        <v>270.21111111111117</v>
      </c>
      <c r="H26" s="49">
        <v>8</v>
      </c>
      <c r="I26" s="55">
        <f t="shared" si="2"/>
        <v>134.61720000000003</v>
      </c>
      <c r="J26" s="56">
        <f t="shared" si="3"/>
        <v>0.74450175350542924</v>
      </c>
      <c r="K26" s="56">
        <f t="shared" si="0"/>
        <v>0.25549824649457076</v>
      </c>
      <c r="N26" s="49">
        <f>B26-'10W30'!B26</f>
        <v>102.89111111111117</v>
      </c>
      <c r="O26" s="49">
        <f>C26-'10W30'!C26</f>
        <v>82.891111111111172</v>
      </c>
    </row>
    <row r="27" spans="1:16" ht="12.75" customHeight="1" x14ac:dyDescent="0.2">
      <c r="A27" s="48" t="s">
        <v>651</v>
      </c>
      <c r="B27" s="49">
        <f>'10W30'!B27+('10W30 Gallon'!G4-'10W30'!G4)*'10W30 Gallon'!F27+'10W30 Gallon'!M2</f>
        <v>417.98671957671962</v>
      </c>
      <c r="C27" s="49">
        <f t="shared" si="4"/>
        <v>297.8679195767196</v>
      </c>
      <c r="D27" s="48"/>
      <c r="E27" s="49">
        <f>'15W40'!E27</f>
        <v>45.391199999999998</v>
      </c>
      <c r="F27" s="48">
        <f>'15W40'!F27</f>
        <v>38</v>
      </c>
      <c r="G27" s="49">
        <f>F27*G4</f>
        <v>244.4767195767196</v>
      </c>
      <c r="H27" s="49">
        <v>8</v>
      </c>
      <c r="I27" s="55">
        <f t="shared" si="2"/>
        <v>120.11880000000002</v>
      </c>
      <c r="J27" s="56">
        <f t="shared" si="3"/>
        <v>0.71262531947991059</v>
      </c>
      <c r="K27" s="56">
        <f t="shared" si="0"/>
        <v>0.28737468052008941</v>
      </c>
      <c r="N27" s="49">
        <f>B27-'10W30'!B27</f>
        <v>89.996719576719613</v>
      </c>
      <c r="O27" s="49">
        <f>C27-'10W30'!C27</f>
        <v>74.996719576719613</v>
      </c>
    </row>
    <row r="28" spans="1:16" ht="12.75" customHeight="1" x14ac:dyDescent="0.2">
      <c r="A28" s="48" t="s">
        <v>652</v>
      </c>
      <c r="B28" s="49">
        <f>'10W30'!B28+('10W30 Gallon'!G4-'10W30'!G4)*'10W30 Gallon'!F28+'10W30 Gallon'!M1</f>
        <v>223.62037037037038</v>
      </c>
      <c r="C28" s="49">
        <f t="shared" si="4"/>
        <v>108.17277037037039</v>
      </c>
      <c r="D28" s="48"/>
      <c r="E28" s="49">
        <f>'15W40'!E28</f>
        <v>10.102400000000001</v>
      </c>
      <c r="F28" s="48">
        <f>'15W40'!F28</f>
        <v>14</v>
      </c>
      <c r="G28" s="49">
        <f>F28*G4</f>
        <v>90.070370370370384</v>
      </c>
      <c r="H28" s="49">
        <v>8</v>
      </c>
      <c r="I28" s="55">
        <f t="shared" si="2"/>
        <v>115.44759999999999</v>
      </c>
      <c r="J28" s="56">
        <f t="shared" si="3"/>
        <v>0.48373397374849908</v>
      </c>
      <c r="K28" s="56">
        <f t="shared" si="0"/>
        <v>0.51626602625150086</v>
      </c>
      <c r="N28" s="49">
        <f>B28-'10W30'!B28</f>
        <v>37.630370370370372</v>
      </c>
      <c r="O28" s="49">
        <f>C28-'10W30'!C28</f>
        <v>27.630370370370386</v>
      </c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N29" s="49"/>
      <c r="O29" s="49"/>
    </row>
    <row r="30" spans="1:16" ht="12.75" customHeight="1" x14ac:dyDescent="0.2">
      <c r="A30" s="48" t="s">
        <v>653</v>
      </c>
      <c r="B30" s="49">
        <f>'10W30'!B30+('10W30 Gallon'!G4-'10W30'!G4)*'10W30 Gallon'!F30+'10W30 Gallon'!M1</f>
        <v>223.62037037037038</v>
      </c>
      <c r="C30" s="49">
        <f>E30+G30+H30</f>
        <v>112.48717037037039</v>
      </c>
      <c r="D30" s="48"/>
      <c r="E30" s="49">
        <f>'15W40'!E30</f>
        <v>14.416800000000002</v>
      </c>
      <c r="F30" s="48">
        <f>'15W40'!F30</f>
        <v>14</v>
      </c>
      <c r="G30" s="49">
        <f>F30*G4</f>
        <v>90.070370370370384</v>
      </c>
      <c r="H30" s="49">
        <v>8</v>
      </c>
      <c r="I30" s="55">
        <f t="shared" si="2"/>
        <v>111.13319999999999</v>
      </c>
      <c r="J30" s="56">
        <f t="shared" si="3"/>
        <v>0.50302738602956409</v>
      </c>
      <c r="K30" s="56">
        <f t="shared" si="0"/>
        <v>0.49697261397043591</v>
      </c>
      <c r="N30" s="49">
        <f>B30-'10W30'!B30</f>
        <v>37.630370370370372</v>
      </c>
      <c r="O30" s="49">
        <f>C30-'10W30'!C30</f>
        <v>27.6303703703704</v>
      </c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N31" s="49"/>
      <c r="O31" s="49"/>
    </row>
    <row r="32" spans="1:16" ht="12.75" customHeight="1" x14ac:dyDescent="0.2">
      <c r="A32" s="48" t="s">
        <v>423</v>
      </c>
      <c r="B32" s="49">
        <f>'10W30'!B32+('10W30 Gallon'!G4-'10W30'!G4)*'10W30 Gallon'!F32+'10W30 Gallon'!M1</f>
        <v>322.62037037037038</v>
      </c>
      <c r="C32" s="49">
        <f>E32+G32+H32</f>
        <v>194.07037037037037</v>
      </c>
      <c r="D32" s="48"/>
      <c r="E32" s="49">
        <f>'15W40'!E32</f>
        <v>96</v>
      </c>
      <c r="F32" s="48">
        <f>'15W40'!F32</f>
        <v>14</v>
      </c>
      <c r="G32" s="49">
        <f>F32*G4</f>
        <v>90.070370370370384</v>
      </c>
      <c r="H32" s="49">
        <v>8</v>
      </c>
      <c r="I32" s="55">
        <f t="shared" si="2"/>
        <v>128.55000000000001</v>
      </c>
      <c r="J32" s="56">
        <f t="shared" si="3"/>
        <v>0.60154406911000768</v>
      </c>
      <c r="K32" s="56">
        <f t="shared" si="0"/>
        <v>0.39845593088999232</v>
      </c>
      <c r="N32" s="49">
        <f>B32-'10W30'!B32</f>
        <v>37.630370370370372</v>
      </c>
      <c r="O32" s="49">
        <f>C32-'10W30'!C32</f>
        <v>27.630370370370372</v>
      </c>
    </row>
    <row r="33" spans="1:15" ht="12.75" customHeight="1" x14ac:dyDescent="0.2">
      <c r="A33" s="48" t="s">
        <v>654</v>
      </c>
      <c r="B33" s="49">
        <f>'10W30'!B33+('10W30 Gallon'!G4-'10W30'!G4)*'10W30 Gallon'!F33+'10W30 Gallon'!M1</f>
        <v>252.62037037037038</v>
      </c>
      <c r="C33" s="49">
        <f>E33+G33+H33</f>
        <v>125.49197037037038</v>
      </c>
      <c r="D33" s="48"/>
      <c r="E33" s="49">
        <f>'15W40'!E33</f>
        <v>27.421599999999998</v>
      </c>
      <c r="F33" s="48">
        <f>'15W40'!F33</f>
        <v>14</v>
      </c>
      <c r="G33" s="49">
        <f>F33*G4</f>
        <v>90.070370370370384</v>
      </c>
      <c r="H33" s="49">
        <v>8</v>
      </c>
      <c r="I33" s="55">
        <f t="shared" si="2"/>
        <v>127.1284</v>
      </c>
      <c r="J33" s="56">
        <f t="shared" si="3"/>
        <v>0.49676108932302171</v>
      </c>
      <c r="K33" s="56">
        <f t="shared" si="0"/>
        <v>0.50323891067697835</v>
      </c>
      <c r="N33" s="49">
        <f>B33-'10W30'!B33</f>
        <v>37.630370370370372</v>
      </c>
      <c r="O33" s="49">
        <f>C33-'10W30'!C33</f>
        <v>27.630370370370386</v>
      </c>
    </row>
    <row r="34" spans="1:15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N34" s="49"/>
      <c r="O34" s="49"/>
    </row>
    <row r="35" spans="1:15" ht="12.75" customHeight="1" x14ac:dyDescent="0.2">
      <c r="A35" s="48" t="s">
        <v>655</v>
      </c>
      <c r="B35" s="49">
        <f>'10W30'!B35+('10W30 Gallon'!G4-'10W30'!G4)*'10W30 Gallon'!F35+'10W30 Gallon'!M2</f>
        <v>357.303544973545</v>
      </c>
      <c r="C35" s="49">
        <f>E35+G35+H35</f>
        <v>228.84234497354501</v>
      </c>
      <c r="D35" s="49"/>
      <c r="E35" s="49">
        <f>'15W40'!E35</f>
        <v>53.56880000000001</v>
      </c>
      <c r="F35" s="48">
        <f>'15W40'!F35</f>
        <v>26</v>
      </c>
      <c r="G35" s="49">
        <f>F35*G4</f>
        <v>167.273544973545</v>
      </c>
      <c r="H35" s="49">
        <v>8</v>
      </c>
      <c r="I35" s="55">
        <f t="shared" si="2"/>
        <v>128.46119999999999</v>
      </c>
      <c r="J35" s="56">
        <f t="shared" si="3"/>
        <v>0.64047040168741864</v>
      </c>
      <c r="K35" s="56">
        <f t="shared" si="0"/>
        <v>0.35952959831258136</v>
      </c>
      <c r="N35" s="49">
        <f>B35-'10W30'!B35</f>
        <v>66.313544973544992</v>
      </c>
      <c r="O35" s="49">
        <f>C35-'10W30'!C35</f>
        <v>51.313544973545021</v>
      </c>
    </row>
    <row r="36" spans="1:15" ht="12.75" customHeight="1" x14ac:dyDescent="0.2">
      <c r="A36" s="48" t="s">
        <v>1245</v>
      </c>
      <c r="B36" s="49">
        <f>'10W30'!B36+('10W30 Gallon'!G4-'10W30'!G4)*'10W30 Gallon'!F36+'10W30 Gallon'!M3</f>
        <v>640.77550264550268</v>
      </c>
      <c r="C36" s="49">
        <f>E36+G36+H36</f>
        <v>482.74550264550271</v>
      </c>
      <c r="D36" s="49"/>
      <c r="E36" s="49">
        <f>'15W40'!E36</f>
        <v>178.8</v>
      </c>
      <c r="F36" s="48">
        <f>'15W40'!F36</f>
        <v>46</v>
      </c>
      <c r="G36" s="49">
        <f>F36*G4</f>
        <v>295.9455026455027</v>
      </c>
      <c r="H36" s="49">
        <v>8</v>
      </c>
      <c r="I36" s="55">
        <f t="shared" si="2"/>
        <v>158.02999999999997</v>
      </c>
      <c r="J36" s="56">
        <f t="shared" si="3"/>
        <v>0.75337696377661434</v>
      </c>
      <c r="K36" s="56">
        <f t="shared" si="0"/>
        <v>0.24662303622338566</v>
      </c>
      <c r="N36" s="49"/>
      <c r="O36" s="49">
        <f>C36-'10W30'!C36</f>
        <v>90.785502645502675</v>
      </c>
    </row>
    <row r="37" spans="1:15" ht="12.75" customHeight="1" x14ac:dyDescent="0.2">
      <c r="A37" s="48" t="s">
        <v>1249</v>
      </c>
      <c r="B37" s="49">
        <f>'10W30'!B37+('10W30 Gallon'!G4-'10W30'!G4)*'10W30 Gallon'!F37+'10W30 Gallon'!M1</f>
        <v>302.62037037037038</v>
      </c>
      <c r="C37" s="49">
        <f>E37+G37+H37</f>
        <v>155.94317037037038</v>
      </c>
      <c r="D37" s="49"/>
      <c r="E37" s="49">
        <f>'15W40'!E37</f>
        <v>57.872799999999998</v>
      </c>
      <c r="F37" s="48">
        <f>'15W40'!F37</f>
        <v>14</v>
      </c>
      <c r="G37" s="49">
        <f>F37*G4</f>
        <v>90.070370370370384</v>
      </c>
      <c r="H37" s="49">
        <v>8</v>
      </c>
      <c r="I37" s="55">
        <f t="shared" si="2"/>
        <v>146.6772</v>
      </c>
      <c r="J37" s="56">
        <f t="shared" si="3"/>
        <v>0.5153095615457578</v>
      </c>
      <c r="K37" s="56">
        <f t="shared" si="0"/>
        <v>0.4846904384542422</v>
      </c>
      <c r="N37" s="49"/>
      <c r="O37" s="49"/>
    </row>
    <row r="38" spans="1:15" ht="12.75" customHeight="1" x14ac:dyDescent="0.2">
      <c r="A38" s="48" t="s">
        <v>1124</v>
      </c>
      <c r="B38" s="49">
        <f>'10W30'!B38+('10W30 Gallon'!G4-'10W30'!G4)*'10W30 Gallon'!F38+'10W30 Gallon'!M1</f>
        <v>268.62037037037038</v>
      </c>
      <c r="C38" s="49">
        <f t="shared" ref="C38:C53" si="5">E38+G38+H38</f>
        <v>142.21117037037038</v>
      </c>
      <c r="D38" s="48"/>
      <c r="E38" s="49">
        <f>'15W40'!E38</f>
        <v>44.140799999999999</v>
      </c>
      <c r="F38" s="48">
        <f>'15W40'!F38</f>
        <v>14</v>
      </c>
      <c r="G38" s="49">
        <f>F38*G4</f>
        <v>90.070370370370384</v>
      </c>
      <c r="H38" s="49">
        <v>8</v>
      </c>
      <c r="I38" s="55">
        <f t="shared" si="2"/>
        <v>126.4092</v>
      </c>
      <c r="J38" s="56">
        <f t="shared" si="3"/>
        <v>0.5294132018889387</v>
      </c>
      <c r="K38" s="56">
        <f t="shared" si="0"/>
        <v>0.4705867981110613</v>
      </c>
      <c r="N38" s="49">
        <f>B38-'10W30'!B38</f>
        <v>37.630370370370372</v>
      </c>
      <c r="O38" s="49">
        <f>C38-'10W30'!C38</f>
        <v>27.630370370370386</v>
      </c>
    </row>
    <row r="39" spans="1:15" ht="12.75" customHeight="1" x14ac:dyDescent="0.2">
      <c r="A39" s="48" t="s">
        <v>425</v>
      </c>
      <c r="B39" s="49">
        <f>'10W30'!B39+('10W30 Gallon'!G4-'10W30'!G4)*'10W30 Gallon'!F39+'10W30 Gallon'!M1</f>
        <v>328.62037037037038</v>
      </c>
      <c r="C39" s="49">
        <f t="shared" si="5"/>
        <v>167.0403703703704</v>
      </c>
      <c r="D39" s="48"/>
      <c r="E39" s="49">
        <f>'15W40'!E39</f>
        <v>68.97</v>
      </c>
      <c r="F39" s="48">
        <f>'15W40'!F39</f>
        <v>14</v>
      </c>
      <c r="G39" s="49">
        <f>F39*G4</f>
        <v>90.070370370370384</v>
      </c>
      <c r="H39" s="49">
        <v>8</v>
      </c>
      <c r="I39" s="55">
        <f t="shared" si="2"/>
        <v>161.57999999999998</v>
      </c>
      <c r="J39" s="56">
        <f t="shared" si="3"/>
        <v>0.50830802175199352</v>
      </c>
      <c r="K39" s="56">
        <f t="shared" si="0"/>
        <v>0.49169197824800648</v>
      </c>
      <c r="N39" s="49"/>
      <c r="O39" s="49">
        <f>C39-'10W30'!C39</f>
        <v>27.6303703703704</v>
      </c>
    </row>
    <row r="40" spans="1:15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N40" s="49"/>
      <c r="O40" s="49"/>
    </row>
    <row r="41" spans="1:15" ht="12.75" customHeight="1" x14ac:dyDescent="0.2">
      <c r="A41" s="48" t="s">
        <v>907</v>
      </c>
      <c r="B41" s="49">
        <f>'10W30'!B41+('10W30 Gallon'!G4-'10W30'!G4)*'10W30 Gallon'!F41+'10W30 Gallon'!M2</f>
        <v>478.98671957671962</v>
      </c>
      <c r="C41" s="49">
        <f t="shared" si="5"/>
        <v>339.08151957671964</v>
      </c>
      <c r="D41" s="48"/>
      <c r="E41" s="49">
        <f>'15W40'!E41</f>
        <v>86.604800000000012</v>
      </c>
      <c r="F41" s="48">
        <f>'15W40'!F41</f>
        <v>38</v>
      </c>
      <c r="G41" s="49">
        <f>F41*G4</f>
        <v>244.4767195767196</v>
      </c>
      <c r="H41" s="49">
        <v>8</v>
      </c>
      <c r="I41" s="55">
        <f t="shared" si="2"/>
        <v>139.90519999999998</v>
      </c>
      <c r="J41" s="56">
        <f t="shared" si="3"/>
        <v>0.70791424003647918</v>
      </c>
      <c r="K41" s="56">
        <f t="shared" si="0"/>
        <v>0.29208575996352082</v>
      </c>
      <c r="N41" s="49">
        <f>B41-'10W30'!B41</f>
        <v>89.996719576719613</v>
      </c>
      <c r="O41" s="49">
        <f>C41-'10W30'!C41</f>
        <v>74.99671957671967</v>
      </c>
    </row>
    <row r="42" spans="1:15" x14ac:dyDescent="0.2">
      <c r="A42" s="48" t="s">
        <v>911</v>
      </c>
      <c r="B42" s="49">
        <f>'10W30'!B42+('10W30 Gallon'!G4-'10W30'!G4)*'10W30 Gallon'!F42+'10W30 Gallon'!M2</f>
        <v>549.98671957671968</v>
      </c>
      <c r="C42" s="49">
        <f t="shared" si="5"/>
        <v>425.97671957671957</v>
      </c>
      <c r="D42" s="48"/>
      <c r="E42" s="49">
        <f>'15W40'!E42</f>
        <v>173.5</v>
      </c>
      <c r="F42" s="48">
        <f>'15W40'!F42</f>
        <v>38</v>
      </c>
      <c r="G42" s="49">
        <f>F42*G4</f>
        <v>244.4767195767196</v>
      </c>
      <c r="H42" s="49">
        <v>8</v>
      </c>
      <c r="I42" s="55">
        <f t="shared" si="2"/>
        <v>124.0100000000001</v>
      </c>
      <c r="J42" s="56">
        <f t="shared" si="3"/>
        <v>0.77452182828079819</v>
      </c>
      <c r="K42" s="56">
        <f t="shared" si="0"/>
        <v>0.22547817171920181</v>
      </c>
      <c r="N42" s="49">
        <f>B42-'10W30'!B42</f>
        <v>89.99671957671967</v>
      </c>
      <c r="O42" s="49">
        <f>C42-'10W30'!C42</f>
        <v>74.996719576719556</v>
      </c>
    </row>
    <row r="43" spans="1:15" x14ac:dyDescent="0.2">
      <c r="A43" s="48" t="s">
        <v>909</v>
      </c>
      <c r="B43" s="49">
        <f>'10W30'!B43+('10W30 Gallon'!G4-'10W30'!G4)*'10W30 Gallon'!F43+'10W30 Gallon'!M3</f>
        <v>600.53788359788359</v>
      </c>
      <c r="C43" s="49">
        <f t="shared" si="5"/>
        <v>448.45268359788366</v>
      </c>
      <c r="D43" s="48"/>
      <c r="E43" s="49">
        <f>'15W40'!E43</f>
        <v>86.604800000000012</v>
      </c>
      <c r="F43" s="48">
        <f>'15W40'!F43</f>
        <v>55</v>
      </c>
      <c r="G43" s="49">
        <f>F43*G4</f>
        <v>353.84788359788365</v>
      </c>
      <c r="H43" s="49">
        <v>8</v>
      </c>
      <c r="I43" s="55">
        <f t="shared" si="2"/>
        <v>152.08519999999993</v>
      </c>
      <c r="J43" s="56">
        <f t="shared" si="3"/>
        <v>0.74675169684742948</v>
      </c>
      <c r="K43" s="56">
        <f t="shared" si="0"/>
        <v>0.25324830315257052</v>
      </c>
      <c r="N43" s="49"/>
      <c r="O43" s="49">
        <f>C43-'10W30'!C43</f>
        <v>108.54788359788364</v>
      </c>
    </row>
    <row r="44" spans="1:15" x14ac:dyDescent="0.2">
      <c r="A44" s="48" t="s">
        <v>910</v>
      </c>
      <c r="B44" s="49">
        <f>'10W30'!B44+('10W30 Gallon'!G4-'10W30'!G4)*'10W30 Gallon'!F44+'10W30 Gallon'!M3</f>
        <v>673.53788359788359</v>
      </c>
      <c r="C44" s="49">
        <f t="shared" si="5"/>
        <v>535.34788359788365</v>
      </c>
      <c r="D44" s="48"/>
      <c r="E44" s="49">
        <f>'15W40'!E44</f>
        <v>173.5</v>
      </c>
      <c r="F44" s="48">
        <f>'15W40'!F44</f>
        <v>55</v>
      </c>
      <c r="G44" s="49">
        <f>F44*G4</f>
        <v>353.84788359788365</v>
      </c>
      <c r="H44" s="49">
        <v>8</v>
      </c>
      <c r="I44" s="55">
        <f t="shared" si="2"/>
        <v>138.18999999999994</v>
      </c>
      <c r="J44" s="56">
        <f t="shared" si="3"/>
        <v>0.79482965492331192</v>
      </c>
      <c r="K44" s="56">
        <f t="shared" si="0"/>
        <v>0.20517034507668808</v>
      </c>
      <c r="N44" s="49"/>
      <c r="O44" s="49">
        <f>C44-'10W30'!C44</f>
        <v>108.54788359788364</v>
      </c>
    </row>
    <row r="45" spans="1:15" x14ac:dyDescent="0.2">
      <c r="A45" s="48" t="s">
        <v>656</v>
      </c>
      <c r="B45" s="49">
        <f>'10W30'!B45+('10W30 Gallon'!G4-'10W30'!G4)*'10W30 Gallon'!F45+'10W30 Gallon'!M3</f>
        <v>437.98671957671962</v>
      </c>
      <c r="C45" s="49">
        <f t="shared" si="5"/>
        <v>302.86071957671959</v>
      </c>
      <c r="D45" s="48"/>
      <c r="E45" s="49">
        <f>'15W40'!E45</f>
        <v>50.384</v>
      </c>
      <c r="F45" s="48">
        <f>'15W40'!F45</f>
        <v>38</v>
      </c>
      <c r="G45" s="49">
        <f>F45*G4</f>
        <v>244.4767195767196</v>
      </c>
      <c r="H45" s="49">
        <v>8</v>
      </c>
      <c r="I45" s="55">
        <f t="shared" si="2"/>
        <v>135.12600000000003</v>
      </c>
      <c r="J45" s="56">
        <f t="shared" si="3"/>
        <v>0.69148379628818679</v>
      </c>
      <c r="K45" s="56">
        <f t="shared" si="0"/>
        <v>0.30851620371181321</v>
      </c>
      <c r="N45" s="49">
        <f>B45-'10W30'!B45</f>
        <v>94.996719576719613</v>
      </c>
      <c r="O45" s="49">
        <f>C45-'10W30'!C45</f>
        <v>74.996719576719613</v>
      </c>
    </row>
    <row r="46" spans="1:15" x14ac:dyDescent="0.2">
      <c r="A46" s="48" t="s">
        <v>657</v>
      </c>
      <c r="B46" s="49">
        <f>'10W30'!B46+('10W30 Gallon'!G4-'10W30'!G4)*'10W30 Gallon'!F46+'10W30 Gallon'!M4</f>
        <v>540.61708994708999</v>
      </c>
      <c r="C46" s="49">
        <f t="shared" si="5"/>
        <v>392.93108994709002</v>
      </c>
      <c r="D46" s="48"/>
      <c r="E46" s="49">
        <f>'15W40'!E46</f>
        <v>50.384</v>
      </c>
      <c r="F46" s="48">
        <f>'15W40'!F46</f>
        <v>52</v>
      </c>
      <c r="G46" s="49">
        <f>F46*G4</f>
        <v>334.54708994709</v>
      </c>
      <c r="H46" s="49">
        <v>8</v>
      </c>
      <c r="I46" s="55">
        <f t="shared" si="2"/>
        <v>147.68599999999998</v>
      </c>
      <c r="J46" s="56">
        <f t="shared" si="3"/>
        <v>0.72681958682724224</v>
      </c>
      <c r="K46" s="56">
        <f t="shared" si="0"/>
        <v>0.27318041317275776</v>
      </c>
      <c r="N46" s="49">
        <f>B46-'10W30'!B46</f>
        <v>127.62708994708998</v>
      </c>
      <c r="O46" s="49">
        <f>C46-'10W30'!C46</f>
        <v>102.62708994709004</v>
      </c>
    </row>
    <row r="47" spans="1:15" x14ac:dyDescent="0.2">
      <c r="A47" s="48" t="s">
        <v>658</v>
      </c>
      <c r="B47" s="49">
        <f>'10W30'!B47+('10W30 Gallon'!G4-'10W30'!G4)*'10W30 Gallon'!F47+'10W30 Gallon'!M2</f>
        <v>541.98671957671968</v>
      </c>
      <c r="C47" s="49">
        <f t="shared" si="5"/>
        <v>413.86671957671956</v>
      </c>
      <c r="D47" s="48"/>
      <c r="E47" s="49">
        <f>'15W40'!E47</f>
        <v>161.38999999999999</v>
      </c>
      <c r="F47" s="48">
        <f>'15W40'!F47</f>
        <v>38</v>
      </c>
      <c r="G47" s="49">
        <f>F47*G4</f>
        <v>244.4767195767196</v>
      </c>
      <c r="H47" s="49">
        <v>8</v>
      </c>
      <c r="I47" s="55">
        <f t="shared" si="2"/>
        <v>128.12000000000012</v>
      </c>
      <c r="J47" s="56">
        <f t="shared" si="3"/>
        <v>0.76361044399748546</v>
      </c>
      <c r="K47" s="56">
        <f t="shared" si="0"/>
        <v>0.23638955600251454</v>
      </c>
      <c r="N47" s="49">
        <f>B47-'10W30'!B47</f>
        <v>89.99671957671967</v>
      </c>
      <c r="O47" s="49">
        <f>C47-'10W30'!C47</f>
        <v>74.996719576719556</v>
      </c>
    </row>
    <row r="48" spans="1:15" x14ac:dyDescent="0.2">
      <c r="A48" s="48" t="s">
        <v>659</v>
      </c>
      <c r="B48" s="49">
        <f>'10W30'!B48+('10W30 Gallon'!G4-'10W30'!G4)*'10W30 Gallon'!F48+'10W30 Gallon'!M4</f>
        <v>652.61708994708999</v>
      </c>
      <c r="C48" s="49">
        <f t="shared" si="5"/>
        <v>503.93708994708999</v>
      </c>
      <c r="D48" s="48"/>
      <c r="E48" s="49">
        <f>'15W40'!E48</f>
        <v>161.38999999999999</v>
      </c>
      <c r="F48" s="48">
        <f>'15W40'!F48</f>
        <v>52</v>
      </c>
      <c r="G48" s="49">
        <f>F48*G4</f>
        <v>334.54708994709</v>
      </c>
      <c r="H48" s="49">
        <v>8</v>
      </c>
      <c r="I48" s="55">
        <f t="shared" si="2"/>
        <v>148.68</v>
      </c>
      <c r="J48" s="56">
        <f t="shared" si="3"/>
        <v>0.77217881313519687</v>
      </c>
      <c r="K48" s="56">
        <f t="shared" si="0"/>
        <v>0.22782118686480313</v>
      </c>
      <c r="N48" s="49">
        <f>B48-'10W30'!B48</f>
        <v>127.62708994708998</v>
      </c>
      <c r="O48" s="49">
        <f>C48-'10W30'!C48</f>
        <v>102.62708994709004</v>
      </c>
    </row>
    <row r="49" spans="1:15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N49" s="49"/>
      <c r="O49" s="49"/>
    </row>
    <row r="50" spans="1:15" x14ac:dyDescent="0.2">
      <c r="A50" s="48" t="s">
        <v>660</v>
      </c>
      <c r="B50" s="49">
        <f>'10W30'!B50+('10W30 Gallon'!G4-'10W30'!G4)*'10W30 Gallon'!F50+'10W30 Gallon'!M2</f>
        <v>527.30354497354506</v>
      </c>
      <c r="C50" s="49">
        <f t="shared" si="5"/>
        <v>397.95354497354504</v>
      </c>
      <c r="D50" s="48"/>
      <c r="E50" s="49">
        <f>'15W40'!E50</f>
        <v>222.68</v>
      </c>
      <c r="F50" s="48">
        <f>'15W40'!F50</f>
        <v>26</v>
      </c>
      <c r="G50" s="49">
        <f>F50*G4</f>
        <v>167.273544973545</v>
      </c>
      <c r="H50" s="49">
        <v>8</v>
      </c>
      <c r="I50" s="55">
        <f t="shared" si="2"/>
        <v>129.35000000000002</v>
      </c>
      <c r="J50" s="56">
        <f t="shared" si="3"/>
        <v>0.75469537189155533</v>
      </c>
      <c r="K50" s="56">
        <f t="shared" si="0"/>
        <v>0.24530462810844467</v>
      </c>
      <c r="N50" s="49">
        <f>B50-'10W30'!B50</f>
        <v>66.313544973545049</v>
      </c>
      <c r="O50" s="49">
        <f>C50-'10W30'!C50</f>
        <v>51.313544973545049</v>
      </c>
    </row>
    <row r="51" spans="1:15" x14ac:dyDescent="0.2">
      <c r="A51" s="48" t="s">
        <v>661</v>
      </c>
      <c r="B51" s="49">
        <f>'10W30'!B51+('10W30 Gallon'!G4-'10W30'!G4)*'10W30 Gallon'!F51+'10W30 Gallon'!M2</f>
        <v>448.303544973545</v>
      </c>
      <c r="C51" s="49">
        <f t="shared" si="5"/>
        <v>320.44954497354502</v>
      </c>
      <c r="D51" s="48"/>
      <c r="E51" s="49">
        <f>'15W40'!E51</f>
        <v>145.17599999999999</v>
      </c>
      <c r="F51" s="48">
        <f>'15W40'!F51</f>
        <v>26</v>
      </c>
      <c r="G51" s="49">
        <f>F51*G4</f>
        <v>167.273544973545</v>
      </c>
      <c r="H51" s="49">
        <v>8</v>
      </c>
      <c r="I51" s="55">
        <f t="shared" si="2"/>
        <v>127.85399999999998</v>
      </c>
      <c r="J51" s="56">
        <f t="shared" si="3"/>
        <v>0.71480484275995448</v>
      </c>
      <c r="K51" s="56">
        <f t="shared" si="0"/>
        <v>0.28519515724004552</v>
      </c>
      <c r="N51" s="49">
        <f>B51-'10W30'!B51</f>
        <v>66.313544973544992</v>
      </c>
      <c r="O51" s="49">
        <f>C51-'10W30'!C51</f>
        <v>51.313544973545049</v>
      </c>
    </row>
    <row r="52" spans="1:15" x14ac:dyDescent="0.2">
      <c r="A52" s="48" t="s">
        <v>662</v>
      </c>
      <c r="B52" s="49">
        <f>'10W30'!B52+('10W30 Gallon'!G4-'10W30'!G4)*'10W30 Gallon'!F52+'10W30 Gallon'!M2</f>
        <v>549.98671957671968</v>
      </c>
      <c r="C52" s="49">
        <f t="shared" si="5"/>
        <v>417.16671957671963</v>
      </c>
      <c r="D52" s="48"/>
      <c r="E52" s="49">
        <f>'15W40'!E52</f>
        <v>164.69</v>
      </c>
      <c r="F52" s="48">
        <f>'15W40'!F52</f>
        <v>38</v>
      </c>
      <c r="G52" s="49">
        <f>F52*G4</f>
        <v>244.4767195767196</v>
      </c>
      <c r="H52" s="49">
        <v>8</v>
      </c>
      <c r="I52" s="55">
        <f t="shared" si="2"/>
        <v>132.82000000000005</v>
      </c>
      <c r="J52" s="56">
        <f t="shared" si="3"/>
        <v>0.75850325967466836</v>
      </c>
      <c r="K52" s="56">
        <f t="shared" si="0"/>
        <v>0.24149674032533164</v>
      </c>
      <c r="N52" s="49">
        <f>B52-'10W30'!B52</f>
        <v>89.99671957671967</v>
      </c>
      <c r="O52" s="49">
        <f>C52-'10W30'!C52</f>
        <v>74.99671957671967</v>
      </c>
    </row>
    <row r="53" spans="1:15" x14ac:dyDescent="0.2">
      <c r="A53" s="48" t="s">
        <v>663</v>
      </c>
      <c r="B53" s="49">
        <f>'10W30'!B53+('10W30 Gallon'!G4-'10W30'!G4)*'10W30 Gallon'!F53+'10W30 Gallon'!M2</f>
        <v>471.98671957671962</v>
      </c>
      <c r="C53" s="49">
        <f t="shared" si="5"/>
        <v>341.27991957671958</v>
      </c>
      <c r="D53" s="48"/>
      <c r="E53" s="49">
        <f>'15W40'!E53</f>
        <v>88.80319999999999</v>
      </c>
      <c r="F53" s="48">
        <f>'15W40'!F53</f>
        <v>38</v>
      </c>
      <c r="G53" s="49">
        <f>F53*G4</f>
        <v>244.4767195767196</v>
      </c>
      <c r="H53" s="49">
        <v>8</v>
      </c>
      <c r="I53" s="55">
        <f t="shared" si="2"/>
        <v>130.70680000000004</v>
      </c>
      <c r="J53" s="56">
        <f t="shared" si="3"/>
        <v>0.72307102174989446</v>
      </c>
      <c r="K53" s="56">
        <f t="shared" si="0"/>
        <v>0.27692897825010554</v>
      </c>
      <c r="N53" s="49">
        <f>B53-'10W30'!B53</f>
        <v>89.996719576719613</v>
      </c>
      <c r="O53" s="49">
        <f>C53-'10W30'!C53</f>
        <v>74.996719576719613</v>
      </c>
    </row>
    <row r="54" spans="1:15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N54" s="49"/>
      <c r="O54" s="49"/>
    </row>
    <row r="55" spans="1:15" x14ac:dyDescent="0.2">
      <c r="A55" s="48" t="s">
        <v>665</v>
      </c>
      <c r="B55" s="49">
        <f>'10W30'!B55+('10W30 Gallon'!G4-'10W30'!G4)*'10W30 Gallon'!F55+'10W30 Gallon'!M3</f>
        <v>507.74910052910059</v>
      </c>
      <c r="C55" s="49">
        <f t="shared" ref="C55:C60" si="6">E55+G55+H55</f>
        <v>360.38910052910057</v>
      </c>
      <c r="D55" s="48"/>
      <c r="E55" s="49">
        <f>'15W40'!E55</f>
        <v>50.010000000000005</v>
      </c>
      <c r="F55" s="48">
        <f>'15W40'!F55</f>
        <v>47</v>
      </c>
      <c r="G55" s="49">
        <f>F55*G4</f>
        <v>302.37910052910058</v>
      </c>
      <c r="H55" s="49">
        <v>8</v>
      </c>
      <c r="I55" s="55">
        <f t="shared" si="2"/>
        <v>147.36000000000001</v>
      </c>
      <c r="J55" s="56">
        <f t="shared" si="3"/>
        <v>0.7097779201451202</v>
      </c>
      <c r="K55" s="56">
        <f t="shared" si="0"/>
        <v>0.2902220798548798</v>
      </c>
      <c r="N55" s="49">
        <f>B55-'10W30'!B55</f>
        <v>112.75910052910058</v>
      </c>
      <c r="O55" s="49">
        <f>C55-'10W30'!C55</f>
        <v>92.759100529100579</v>
      </c>
    </row>
    <row r="56" spans="1:15" x14ac:dyDescent="0.2">
      <c r="A56" s="48" t="s">
        <v>666</v>
      </c>
      <c r="B56" s="49">
        <f>'10W30'!B56+('10W30 Gallon'!G4-'10W30'!G4)*'10W30 Gallon'!F56+'10W30 Gallon'!M3</f>
        <v>485.74910052910059</v>
      </c>
      <c r="C56" s="49">
        <f t="shared" si="6"/>
        <v>351.82070052910058</v>
      </c>
      <c r="D56" s="48"/>
      <c r="E56" s="49">
        <f>'15W40'!E56</f>
        <v>41.441600000000001</v>
      </c>
      <c r="F56" s="48">
        <f>'15W40'!F56</f>
        <v>47</v>
      </c>
      <c r="G56" s="49">
        <f>F56*G4</f>
        <v>302.37910052910058</v>
      </c>
      <c r="H56" s="49">
        <v>8</v>
      </c>
      <c r="I56" s="55">
        <f t="shared" si="2"/>
        <v>133.92840000000001</v>
      </c>
      <c r="J56" s="56">
        <f t="shared" si="3"/>
        <v>0.72428482141476136</v>
      </c>
      <c r="K56" s="56">
        <f t="shared" si="0"/>
        <v>0.27571517858523864</v>
      </c>
      <c r="N56" s="49">
        <f>B56-'10W30'!B56</f>
        <v>112.75910052910058</v>
      </c>
      <c r="O56" s="49">
        <f>C56-'10W30'!C56</f>
        <v>92.759100529100579</v>
      </c>
    </row>
    <row r="57" spans="1:15" x14ac:dyDescent="0.2">
      <c r="A57" s="48" t="s">
        <v>667</v>
      </c>
      <c r="B57" s="49">
        <f>'10W30'!B57+('10W30 Gallon'!G4-'10W30'!G4)*'10W30 Gallon'!F57+'10W30 Gallon'!M2</f>
        <v>371.303544973545</v>
      </c>
      <c r="C57" s="49">
        <f t="shared" si="6"/>
        <v>222.82354497354498</v>
      </c>
      <c r="D57" s="48"/>
      <c r="E57" s="49">
        <f>'15W40'!E57</f>
        <v>47.55</v>
      </c>
      <c r="F57" s="48">
        <f>'15W40'!F57</f>
        <v>26</v>
      </c>
      <c r="G57" s="49">
        <f>F57*G4</f>
        <v>167.273544973545</v>
      </c>
      <c r="H57" s="49">
        <v>8</v>
      </c>
      <c r="I57" s="55">
        <f t="shared" si="2"/>
        <v>148.48000000000002</v>
      </c>
      <c r="J57" s="56">
        <f t="shared" si="3"/>
        <v>0.60011154751948548</v>
      </c>
      <c r="K57" s="56">
        <f t="shared" si="0"/>
        <v>0.39988845248051452</v>
      </c>
      <c r="N57" s="49">
        <f>B57-'10W30'!B57</f>
        <v>66.313544973544992</v>
      </c>
      <c r="O57" s="49">
        <f>C57-'10W30'!C57</f>
        <v>51.313544973544992</v>
      </c>
    </row>
    <row r="58" spans="1:15" x14ac:dyDescent="0.2">
      <c r="A58" s="48" t="s">
        <v>668</v>
      </c>
      <c r="B58" s="49">
        <f>'10W30'!B58+('10W30 Gallon'!G4-'10W30'!G4)*'10W30 Gallon'!F58+'10W30 Gallon'!M2</f>
        <v>333.303544973545</v>
      </c>
      <c r="C58" s="49">
        <f t="shared" si="6"/>
        <v>208.749544973545</v>
      </c>
      <c r="D58" s="48"/>
      <c r="E58" s="49">
        <f>'15W40'!E58</f>
        <v>33.475999999999999</v>
      </c>
      <c r="F58" s="48">
        <f>'15W40'!F58</f>
        <v>26</v>
      </c>
      <c r="G58" s="49">
        <f>F58*G4</f>
        <v>167.273544973545</v>
      </c>
      <c r="H58" s="49">
        <v>8</v>
      </c>
      <c r="I58" s="55">
        <f t="shared" si="2"/>
        <v>124.554</v>
      </c>
      <c r="J58" s="56">
        <f t="shared" si="3"/>
        <v>0.62630460468133897</v>
      </c>
      <c r="K58" s="56">
        <f t="shared" si="0"/>
        <v>0.37369539531866103</v>
      </c>
      <c r="N58" s="49">
        <f>B58-'10W30'!B58</f>
        <v>66.313544973544992</v>
      </c>
      <c r="O58" s="49">
        <f>C58-'10W30'!C58</f>
        <v>51.313544973545021</v>
      </c>
    </row>
    <row r="59" spans="1:15" x14ac:dyDescent="0.2">
      <c r="A59" s="48" t="s">
        <v>669</v>
      </c>
      <c r="B59" s="49">
        <f>'10W30'!B59+('10W30 Gallon'!G4-'10W30'!G4)*'10W30 Gallon'!F59+'10W30 Gallon'!M1</f>
        <v>302.35634920634925</v>
      </c>
      <c r="C59" s="49">
        <f t="shared" si="6"/>
        <v>162.40634920634923</v>
      </c>
      <c r="D59" s="48"/>
      <c r="E59" s="49">
        <f>'15W40'!E59</f>
        <v>0</v>
      </c>
      <c r="F59" s="48">
        <f>'15W40'!F59</f>
        <v>24</v>
      </c>
      <c r="G59" s="49">
        <f>F59*G4</f>
        <v>154.40634920634923</v>
      </c>
      <c r="H59" s="49">
        <v>8</v>
      </c>
      <c r="I59" s="55">
        <f t="shared" si="2"/>
        <v>139.95000000000002</v>
      </c>
      <c r="J59" s="56">
        <f t="shared" si="3"/>
        <v>0.53713556746086955</v>
      </c>
      <c r="K59" s="56">
        <f t="shared" si="0"/>
        <v>0.46286443253913045</v>
      </c>
      <c r="N59" s="49">
        <f>B59-'10W30'!B59</f>
        <v>57.366349206349241</v>
      </c>
      <c r="O59" s="49">
        <f>C59-'10W30'!C59</f>
        <v>47.366349206349241</v>
      </c>
    </row>
    <row r="60" spans="1:15" x14ac:dyDescent="0.2">
      <c r="A60" s="48" t="s">
        <v>670</v>
      </c>
      <c r="B60" s="49">
        <f>'10W30'!B60+('10W30 Gallon'!G4-'10W30'!G4)*'10W30 Gallon'!F60+'10W30 Gallon'!M1</f>
        <v>280.64677248677253</v>
      </c>
      <c r="C60" s="49">
        <f t="shared" si="6"/>
        <v>164.8767724867725</v>
      </c>
      <c r="D60" s="48"/>
      <c r="E60" s="49">
        <f>'15W40'!E60</f>
        <v>73.240000000000009</v>
      </c>
      <c r="F60" s="48">
        <f>'15W40'!F60</f>
        <v>13</v>
      </c>
      <c r="G60" s="49">
        <f>F60*G4</f>
        <v>83.6367724867725</v>
      </c>
      <c r="H60" s="49">
        <v>8</v>
      </c>
      <c r="I60" s="55">
        <f t="shared" si="2"/>
        <v>115.77000000000004</v>
      </c>
      <c r="J60" s="56">
        <f t="shared" si="3"/>
        <v>0.58748857514313113</v>
      </c>
      <c r="K60" s="56">
        <f t="shared" si="0"/>
        <v>0.41251142485686887</v>
      </c>
      <c r="N60" s="49">
        <f>B60-'10W30'!B60</f>
        <v>35.656772486772525</v>
      </c>
      <c r="O60" s="49">
        <f>C60-'10W30'!C60</f>
        <v>25.656772486772496</v>
      </c>
    </row>
    <row r="61" spans="1:15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N61" s="49"/>
      <c r="O61" s="49"/>
    </row>
    <row r="62" spans="1:15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N62" s="49"/>
      <c r="O62" s="49"/>
    </row>
    <row r="63" spans="1:15" x14ac:dyDescent="0.2">
      <c r="A63" s="48" t="s">
        <v>673</v>
      </c>
      <c r="B63" s="49">
        <f>'10W30'!B63+('10W30 Gallon'!G4-'10W30'!G4)*'10W30 Gallon'!F63+'10W30 Gallon'!M2</f>
        <v>338.303544973545</v>
      </c>
      <c r="C63" s="49">
        <f>E63+G63+H63</f>
        <v>213.299944973545</v>
      </c>
      <c r="D63" s="48"/>
      <c r="E63" s="49">
        <f>'15W40'!E63</f>
        <v>38.026400000000002</v>
      </c>
      <c r="F63" s="48">
        <f>'15W40'!F63</f>
        <v>26</v>
      </c>
      <c r="G63" s="49">
        <f>F63*G4</f>
        <v>167.273544973545</v>
      </c>
      <c r="H63" s="49">
        <v>8</v>
      </c>
      <c r="I63" s="55">
        <f t="shared" si="2"/>
        <v>125.00360000000001</v>
      </c>
      <c r="J63" s="56">
        <f t="shared" si="3"/>
        <v>0.6304986990018826</v>
      </c>
      <c r="K63" s="56">
        <f t="shared" si="0"/>
        <v>0.3695013009981174</v>
      </c>
      <c r="N63" s="49">
        <f>B63-'10W30'!B63</f>
        <v>66.313544973544992</v>
      </c>
      <c r="O63" s="49">
        <f>C63-'10W30'!C63</f>
        <v>51.313544973544992</v>
      </c>
    </row>
    <row r="64" spans="1:15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N64" s="49"/>
      <c r="O64" s="49"/>
    </row>
    <row r="65" spans="1:15" x14ac:dyDescent="0.2">
      <c r="A65" s="48" t="s">
        <v>674</v>
      </c>
      <c r="B65" s="49">
        <f>'10W30'!B65+('10W30 Gallon'!G4-'10W30'!G4)*'10W30 Gallon'!F65+'10W30 Gallon'!M3</f>
        <v>599.77550264550268</v>
      </c>
      <c r="C65" s="49">
        <f>E65+G65+H65</f>
        <v>465.99550264550271</v>
      </c>
      <c r="D65" s="48"/>
      <c r="E65" s="49">
        <f>'15W40'!E65</f>
        <v>162.05000000000001</v>
      </c>
      <c r="F65" s="48">
        <f>'15W40'!F65</f>
        <v>46</v>
      </c>
      <c r="G65" s="49">
        <f>F65*G4</f>
        <v>295.9455026455027</v>
      </c>
      <c r="H65" s="49">
        <v>8</v>
      </c>
      <c r="I65" s="55">
        <f t="shared" si="2"/>
        <v>133.77999999999997</v>
      </c>
      <c r="J65" s="56">
        <f t="shared" si="3"/>
        <v>0.77694987639555091</v>
      </c>
      <c r="K65" s="56">
        <f t="shared" si="0"/>
        <v>0.22305012360444909</v>
      </c>
      <c r="N65" s="49">
        <f>B65-'10W30'!B65</f>
        <v>110.78550264550267</v>
      </c>
      <c r="O65" s="49">
        <f>C65-'10W30'!C65</f>
        <v>90.785502645502675</v>
      </c>
    </row>
    <row r="66" spans="1:15" x14ac:dyDescent="0.2">
      <c r="A66" s="48" t="s">
        <v>675</v>
      </c>
      <c r="B66" s="49">
        <f>'10W30'!B66+('10W30 Gallon'!G4-'10W30'!G4)*'10W30 Gallon'!F66+'10W30 Gallon'!M3</f>
        <v>520.77550264550268</v>
      </c>
      <c r="C66" s="49">
        <f>E66+G66+H66</f>
        <v>383.79270264550269</v>
      </c>
      <c r="D66" s="48"/>
      <c r="E66" s="49">
        <f>'15W40'!E66</f>
        <v>79.847200000000001</v>
      </c>
      <c r="F66" s="48">
        <f>'15W40'!F66</f>
        <v>46</v>
      </c>
      <c r="G66" s="49">
        <f>F66*G4</f>
        <v>295.9455026455027</v>
      </c>
      <c r="H66" s="49">
        <v>8</v>
      </c>
      <c r="I66" s="55">
        <f t="shared" si="2"/>
        <v>136.9828</v>
      </c>
      <c r="J66" s="56">
        <f t="shared" si="3"/>
        <v>0.73696381779838516</v>
      </c>
      <c r="K66" s="56">
        <f t="shared" si="0"/>
        <v>0.26303618220161484</v>
      </c>
      <c r="N66" s="49">
        <f>B66-'10W30'!B66</f>
        <v>110.78550264550267</v>
      </c>
      <c r="O66" s="49">
        <f>C66-'10W30'!C66</f>
        <v>90.785502645502675</v>
      </c>
    </row>
    <row r="67" spans="1:15" x14ac:dyDescent="0.2">
      <c r="A67" s="48" t="s">
        <v>676</v>
      </c>
      <c r="B67" s="49">
        <f>'10W30'!B67+('10W30 Gallon'!G4-'10W30'!G4)*'10W30 Gallon'!F67+'10W30 Gallon'!M2</f>
        <v>317.35634920634925</v>
      </c>
      <c r="C67" s="49">
        <f>E67+G67+H67</f>
        <v>189.09434920634925</v>
      </c>
      <c r="D67" s="48"/>
      <c r="E67" s="49">
        <f>'15W40'!E67</f>
        <v>26.688000000000002</v>
      </c>
      <c r="F67" s="48">
        <f>'15W40'!F67</f>
        <v>24</v>
      </c>
      <c r="G67" s="49">
        <f>F67*G4</f>
        <v>154.40634920634923</v>
      </c>
      <c r="H67" s="49">
        <v>8</v>
      </c>
      <c r="I67" s="55">
        <f t="shared" si="2"/>
        <v>128.262</v>
      </c>
      <c r="J67" s="56">
        <f t="shared" si="3"/>
        <v>0.59584233836581491</v>
      </c>
      <c r="K67" s="56">
        <f t="shared" si="0"/>
        <v>0.40415766163418509</v>
      </c>
      <c r="N67" s="49">
        <f>B67-'10W30'!B67</f>
        <v>62.366349206349241</v>
      </c>
      <c r="O67" s="49">
        <f>C67-'10W30'!C67</f>
        <v>47.366349206349241</v>
      </c>
    </row>
    <row r="68" spans="1:15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N68" s="49"/>
      <c r="O68" s="49"/>
    </row>
    <row r="69" spans="1:15" x14ac:dyDescent="0.2">
      <c r="A69" s="48" t="s">
        <v>677</v>
      </c>
      <c r="B69" s="49">
        <f>'10W30'!B69+('10W30 Gallon'!G4-'10W30'!G4)*'10W30 Gallon'!F69+'10W30 Gallon'!M2</f>
        <v>453.09232804232806</v>
      </c>
      <c r="C69" s="49">
        <f t="shared" ref="C69:C74" si="7">E69+G69+H69</f>
        <v>313.34712804232811</v>
      </c>
      <c r="D69" s="48"/>
      <c r="E69" s="49">
        <f>'15W40'!E69</f>
        <v>86.604800000000012</v>
      </c>
      <c r="F69" s="48">
        <f>'15W40'!F69</f>
        <v>34</v>
      </c>
      <c r="G69" s="49">
        <f>F69*G4</f>
        <v>218.74232804232807</v>
      </c>
      <c r="H69" s="49">
        <v>8</v>
      </c>
      <c r="I69" s="55">
        <f t="shared" si="2"/>
        <v>139.74519999999995</v>
      </c>
      <c r="J69" s="56">
        <f t="shared" si="3"/>
        <v>0.69157456140606977</v>
      </c>
      <c r="K69" s="56">
        <f t="shared" si="0"/>
        <v>0.30842543859393023</v>
      </c>
      <c r="N69" s="49">
        <f>B69-'10W30'!B69</f>
        <v>82.102328042328054</v>
      </c>
      <c r="O69" s="49">
        <f>C69-'10W30'!C69</f>
        <v>67.102328042328111</v>
      </c>
    </row>
    <row r="70" spans="1:15" x14ac:dyDescent="0.2">
      <c r="A70" s="48" t="s">
        <v>678</v>
      </c>
      <c r="B70" s="49">
        <f>'10W30'!B70+('10W30 Gallon'!G4-'10W30'!G4)*'10W30 Gallon'!F70+'10W30 Gallon'!M3</f>
        <v>512.88111111111118</v>
      </c>
      <c r="C70" s="49">
        <f t="shared" si="7"/>
        <v>364.81591111111118</v>
      </c>
      <c r="D70" s="48"/>
      <c r="E70" s="49">
        <f>'15W40'!E70</f>
        <v>86.604800000000012</v>
      </c>
      <c r="F70" s="48">
        <f>'15W40'!F70</f>
        <v>42</v>
      </c>
      <c r="G70" s="49">
        <f>F70*G4</f>
        <v>270.21111111111117</v>
      </c>
      <c r="H70" s="49">
        <v>8</v>
      </c>
      <c r="I70" s="55">
        <f t="shared" si="2"/>
        <v>148.0652</v>
      </c>
      <c r="J70" s="56">
        <f t="shared" si="3"/>
        <v>0.71130697389258501</v>
      </c>
      <c r="K70" s="56">
        <f t="shared" si="0"/>
        <v>0.28869302610741499</v>
      </c>
      <c r="N70" s="49">
        <f>B70-'10W30'!B70</f>
        <v>102.89111111111117</v>
      </c>
      <c r="O70" s="49">
        <f>C70-'10W30'!C70</f>
        <v>82.891111111111172</v>
      </c>
    </row>
    <row r="71" spans="1:15" x14ac:dyDescent="0.2">
      <c r="A71" s="48" t="s">
        <v>679</v>
      </c>
      <c r="B71" s="49">
        <f>'10W30'!B71+('10W30 Gallon'!G4-'10W30'!G4)*'10W30 Gallon'!F71+'10W30 Gallon'!M4</f>
        <v>587.61708994708999</v>
      </c>
      <c r="C71" s="49">
        <f t="shared" si="7"/>
        <v>429.15188994709001</v>
      </c>
      <c r="D71" s="48"/>
      <c r="E71" s="49">
        <f>'15W40'!E71</f>
        <v>86.604800000000012</v>
      </c>
      <c r="F71" s="48">
        <f>'15W40'!F71</f>
        <v>52</v>
      </c>
      <c r="G71" s="49">
        <f>F71*G4</f>
        <v>334.54708994709</v>
      </c>
      <c r="H71" s="49">
        <v>8</v>
      </c>
      <c r="I71" s="55">
        <f t="shared" si="2"/>
        <v>158.46519999999998</v>
      </c>
      <c r="J71" s="56">
        <f t="shared" si="3"/>
        <v>0.73032574662818528</v>
      </c>
      <c r="K71" s="56">
        <f t="shared" si="0"/>
        <v>0.26967425337181472</v>
      </c>
      <c r="N71" s="49">
        <f>B71-'10W30'!B71</f>
        <v>127.62708994708998</v>
      </c>
      <c r="O71" s="49">
        <f>C71-'10W30'!C71</f>
        <v>102.62708994708998</v>
      </c>
    </row>
    <row r="72" spans="1:15" x14ac:dyDescent="0.2">
      <c r="A72" s="48" t="s">
        <v>680</v>
      </c>
      <c r="B72" s="49">
        <f>'10W30'!B72+('10W30 Gallon'!G4-'10W30'!G4)*'10W30 Gallon'!F72+'10W30 Gallon'!M2</f>
        <v>522.09232804232806</v>
      </c>
      <c r="C72" s="49">
        <f t="shared" si="7"/>
        <v>393.03232804232806</v>
      </c>
      <c r="D72" s="48"/>
      <c r="E72" s="49">
        <f>'15W40'!E72</f>
        <v>166.29</v>
      </c>
      <c r="F72" s="48">
        <f>'15W40'!F72</f>
        <v>34</v>
      </c>
      <c r="G72" s="49">
        <f>F72*G4</f>
        <v>218.74232804232807</v>
      </c>
      <c r="H72" s="49">
        <v>8</v>
      </c>
      <c r="I72" s="55">
        <f t="shared" si="2"/>
        <v>129.06</v>
      </c>
      <c r="J72" s="56">
        <f t="shared" si="3"/>
        <v>0.75280234344003494</v>
      </c>
      <c r="K72" s="56">
        <f t="shared" si="0"/>
        <v>0.24719765655996506</v>
      </c>
      <c r="N72" s="49">
        <f>B72-'10W30'!B72</f>
        <v>82.102328042328054</v>
      </c>
      <c r="O72" s="49">
        <f>C72-'10W30'!C72</f>
        <v>67.102328042328111</v>
      </c>
    </row>
    <row r="73" spans="1:15" x14ac:dyDescent="0.2">
      <c r="A73" s="48" t="s">
        <v>681</v>
      </c>
      <c r="B73" s="49">
        <f>'10W30'!B73+('10W30 Gallon'!G4-'10W30'!G4)*'10W30 Gallon'!F73+'10W30 Gallon'!M3</f>
        <v>582.88111111111118</v>
      </c>
      <c r="C73" s="49">
        <f t="shared" si="7"/>
        <v>444.50111111111119</v>
      </c>
      <c r="D73" s="48"/>
      <c r="E73" s="49">
        <f>'15W40'!E73</f>
        <v>166.29</v>
      </c>
      <c r="F73" s="48">
        <f>'15W40'!F73</f>
        <v>42</v>
      </c>
      <c r="G73" s="49">
        <f>F73*G4</f>
        <v>270.21111111111117</v>
      </c>
      <c r="H73" s="49">
        <v>8</v>
      </c>
      <c r="I73" s="55">
        <f t="shared" si="2"/>
        <v>138.38</v>
      </c>
      <c r="J73" s="56">
        <f t="shared" si="3"/>
        <v>0.76259309598107494</v>
      </c>
      <c r="K73" s="56">
        <f t="shared" si="0"/>
        <v>0.23740690401892506</v>
      </c>
      <c r="N73" s="49">
        <f>B73-'10W30'!B73</f>
        <v>102.89111111111117</v>
      </c>
      <c r="O73" s="49">
        <f>C73-'10W30'!C73</f>
        <v>82.891111111111172</v>
      </c>
    </row>
    <row r="74" spans="1:15" x14ac:dyDescent="0.2">
      <c r="A74" s="48" t="s">
        <v>682</v>
      </c>
      <c r="B74" s="49">
        <f>'10W30'!B74+('10W30 Gallon'!G4-'10W30'!G4)*'10W30 Gallon'!F74+'10W30 Gallon'!M4</f>
        <v>655.61708994708999</v>
      </c>
      <c r="C74" s="49">
        <f t="shared" si="7"/>
        <v>508.83708994709002</v>
      </c>
      <c r="D74" s="48"/>
      <c r="E74" s="49">
        <f>'15W40'!E74</f>
        <v>166.29</v>
      </c>
      <c r="F74" s="48">
        <f>'15W40'!F74</f>
        <v>52</v>
      </c>
      <c r="G74" s="49">
        <f>F74*G4</f>
        <v>334.54708994709</v>
      </c>
      <c r="H74" s="49">
        <v>8</v>
      </c>
      <c r="I74" s="55">
        <f t="shared" si="2"/>
        <v>146.77999999999997</v>
      </c>
      <c r="J74" s="56">
        <f t="shared" si="3"/>
        <v>0.77611931987336469</v>
      </c>
      <c r="K74" s="56">
        <f t="shared" ref="K74" si="8">1-J74</f>
        <v>0.22388068012663531</v>
      </c>
      <c r="N74" s="49">
        <f>B74-'10W30'!B74</f>
        <v>127.62708994708998</v>
      </c>
      <c r="O74" s="49">
        <f>C74-'10W30'!C74</f>
        <v>102.62708994709004</v>
      </c>
    </row>
    <row r="75" spans="1:15" ht="12.75" customHeight="1" x14ac:dyDescent="0.2">
      <c r="N75" s="48"/>
    </row>
    <row r="76" spans="1:15" ht="12.75" customHeight="1" x14ac:dyDescent="0.2">
      <c r="N76" s="48"/>
    </row>
    <row r="77" spans="1:15" ht="12.75" customHeight="1" x14ac:dyDescent="0.2">
      <c r="N77" s="48"/>
    </row>
    <row r="78" spans="1:15" ht="12.75" customHeight="1" x14ac:dyDescent="0.2">
      <c r="N78" s="48"/>
    </row>
    <row r="79" spans="1:15" ht="12.75" customHeight="1" x14ac:dyDescent="0.2">
      <c r="N79" s="4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74"/>
  <sheetViews>
    <sheetView zoomScale="120" zoomScaleNormal="120" workbookViewId="0">
      <pane ySplit="4" topLeftCell="A52" activePane="bottomLeft" state="frozen"/>
      <selection pane="bottomLeft" activeCell="F76" sqref="F76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5.4257812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140625" style="46" customWidth="1"/>
    <col min="14" max="16384" width="9.140625" style="46"/>
  </cols>
  <sheetData>
    <row r="1" spans="1:19" ht="12.75" customHeight="1" x14ac:dyDescent="0.2">
      <c r="A1" s="46" t="s">
        <v>625</v>
      </c>
      <c r="B1" s="58" t="s">
        <v>697</v>
      </c>
      <c r="G1" s="50">
        <f>'Oil Price'!C9</f>
        <v>3.89</v>
      </c>
      <c r="H1" s="46">
        <v>0.05</v>
      </c>
      <c r="L1" s="48" t="s">
        <v>693</v>
      </c>
      <c r="M1" s="48">
        <v>15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25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30</v>
      </c>
    </row>
    <row r="4" spans="1:19" ht="12.75" customHeight="1" x14ac:dyDescent="0.2">
      <c r="G4" s="50">
        <f>G1+H1</f>
        <v>3.94</v>
      </c>
      <c r="H4" s="50"/>
      <c r="J4" s="46">
        <v>1</v>
      </c>
      <c r="L4" s="48" t="s">
        <v>696</v>
      </c>
      <c r="M4" s="48">
        <v>35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'15W40'!B6+'T5'!M2</f>
        <v>290.99</v>
      </c>
      <c r="C6" s="49">
        <f>E6+G6+H6</f>
        <v>159.79000000000002</v>
      </c>
      <c r="D6" s="48"/>
      <c r="E6" s="49">
        <f>'15W40'!E6</f>
        <v>53.290000000000006</v>
      </c>
      <c r="F6" s="48">
        <f>'15W40'!F6</f>
        <v>25</v>
      </c>
      <c r="G6" s="49">
        <f>F6*G4</f>
        <v>98.5</v>
      </c>
      <c r="H6" s="49">
        <v>8</v>
      </c>
      <c r="I6" s="55">
        <f>B6-C6</f>
        <v>131.19999999999999</v>
      </c>
      <c r="J6" s="56">
        <f>C6/B6</f>
        <v>0.54912539949826455</v>
      </c>
      <c r="K6" s="56">
        <f>1-J6</f>
        <v>0.45087460050173545</v>
      </c>
      <c r="Q6" s="50"/>
      <c r="R6" s="50"/>
      <c r="S6" s="50"/>
    </row>
    <row r="7" spans="1:19" ht="12.75" customHeight="1" x14ac:dyDescent="0.2">
      <c r="A7" s="48" t="s">
        <v>633</v>
      </c>
      <c r="B7" s="48">
        <f>'15W40'!B7+'T5'!M2</f>
        <v>268.99</v>
      </c>
      <c r="C7" s="49">
        <f>E7+G7+H7</f>
        <v>128.29919999999998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98.5</v>
      </c>
      <c r="H7" s="49">
        <v>8</v>
      </c>
      <c r="I7" s="55">
        <f>B7-C7</f>
        <v>140.69080000000002</v>
      </c>
      <c r="J7" s="56">
        <f>C7/B7</f>
        <v>0.47696642997880956</v>
      </c>
      <c r="K7" s="56">
        <f t="shared" ref="K7:K73" si="0">1-J7</f>
        <v>0.52303357002119044</v>
      </c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Q8" s="50"/>
      <c r="R8" s="50"/>
      <c r="S8" s="50"/>
    </row>
    <row r="9" spans="1:19" ht="12.75" customHeight="1" x14ac:dyDescent="0.2">
      <c r="A9" s="48" t="s">
        <v>634</v>
      </c>
      <c r="B9" s="48">
        <f>'15W40'!B9+'T5'!M2</f>
        <v>359.99</v>
      </c>
      <c r="C9" s="49">
        <f>E9+G9+H9</f>
        <v>228.3</v>
      </c>
      <c r="D9" s="48"/>
      <c r="E9" s="49">
        <f>'15W40'!E9</f>
        <v>70.58</v>
      </c>
      <c r="F9" s="48">
        <f>'15W40'!F9</f>
        <v>38</v>
      </c>
      <c r="G9" s="49">
        <f>F9*G4</f>
        <v>149.72</v>
      </c>
      <c r="H9" s="49">
        <v>8</v>
      </c>
      <c r="I9" s="55">
        <f>B9-C9</f>
        <v>131.69</v>
      </c>
      <c r="J9" s="56">
        <f>C9/B9</f>
        <v>0.63418428289674711</v>
      </c>
      <c r="K9" s="56">
        <f t="shared" si="0"/>
        <v>0.36581571710325289</v>
      </c>
      <c r="Q9" s="50"/>
      <c r="R9" s="50"/>
      <c r="S9" s="50"/>
    </row>
    <row r="10" spans="1:19" ht="12.75" customHeight="1" x14ac:dyDescent="0.2">
      <c r="A10" s="48" t="s">
        <v>635</v>
      </c>
      <c r="B10" s="48">
        <f>'15W40'!B10+'T5'!M2</f>
        <v>318.99</v>
      </c>
      <c r="C10" s="49">
        <f>E10+G10+H10</f>
        <v>188.76480000000001</v>
      </c>
      <c r="D10" s="48"/>
      <c r="E10" s="49">
        <f>'15W40'!E10</f>
        <v>31.044799999999999</v>
      </c>
      <c r="F10" s="48">
        <f>'15W40'!F10</f>
        <v>38</v>
      </c>
      <c r="G10" s="49">
        <f>F10*G4</f>
        <v>149.72</v>
      </c>
      <c r="H10" s="49">
        <v>8</v>
      </c>
      <c r="I10" s="55">
        <f>B10-C10</f>
        <v>130.2252</v>
      </c>
      <c r="J10" s="56">
        <f>C10/B10</f>
        <v>0.59175773535220544</v>
      </c>
      <c r="K10" s="56">
        <f t="shared" si="0"/>
        <v>0.40824226464779456</v>
      </c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Q11" s="50"/>
      <c r="R11" s="50"/>
      <c r="S11" s="50"/>
    </row>
    <row r="12" spans="1:19" ht="12.75" customHeight="1" x14ac:dyDescent="0.2">
      <c r="A12" s="48" t="s">
        <v>637</v>
      </c>
      <c r="B12" s="48">
        <f>'15W40'!B12+'T5'!M3</f>
        <v>384.99</v>
      </c>
      <c r="C12" s="49">
        <f>E12+G12+H12</f>
        <v>248</v>
      </c>
      <c r="D12" s="48"/>
      <c r="E12" s="49">
        <f>'15W40'!E12</f>
        <v>70.58</v>
      </c>
      <c r="F12" s="48">
        <f>'15W40'!F12</f>
        <v>43</v>
      </c>
      <c r="G12" s="49">
        <f>F12*G4</f>
        <v>169.42</v>
      </c>
      <c r="H12" s="49">
        <v>8</v>
      </c>
      <c r="I12" s="55">
        <f>B12-C12</f>
        <v>136.99</v>
      </c>
      <c r="J12" s="56">
        <f>C12/B12</f>
        <v>0.64417257591106258</v>
      </c>
      <c r="K12" s="56">
        <f t="shared" si="0"/>
        <v>0.35582742408893742</v>
      </c>
      <c r="Q12" s="50"/>
      <c r="R12" s="50"/>
      <c r="S12" s="50"/>
    </row>
    <row r="13" spans="1:19" ht="12.75" customHeight="1" x14ac:dyDescent="0.2">
      <c r="A13" s="48" t="s">
        <v>638</v>
      </c>
      <c r="B13" s="48">
        <f>'15W40'!B13+'T5'!M3</f>
        <v>343.99</v>
      </c>
      <c r="C13" s="49">
        <f>E13+G13+H13</f>
        <v>208.4648</v>
      </c>
      <c r="D13" s="48"/>
      <c r="E13" s="49">
        <f>'15W40'!E13</f>
        <v>31.044799999999999</v>
      </c>
      <c r="F13" s="48">
        <f>'15W40'!F13</f>
        <v>43</v>
      </c>
      <c r="G13" s="49">
        <f>F13*G4</f>
        <v>169.42</v>
      </c>
      <c r="H13" s="49">
        <v>8</v>
      </c>
      <c r="I13" s="55">
        <f>B13-C13</f>
        <v>135.52520000000001</v>
      </c>
      <c r="J13" s="56">
        <f>C13/B13</f>
        <v>0.6060199424401872</v>
      </c>
      <c r="K13" s="56">
        <f t="shared" si="0"/>
        <v>0.3939800575598128</v>
      </c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Q14" s="50"/>
      <c r="R14" s="50"/>
      <c r="S14" s="50"/>
    </row>
    <row r="15" spans="1:19" ht="12.75" customHeight="1" x14ac:dyDescent="0.2">
      <c r="A15" s="48" t="s">
        <v>639</v>
      </c>
      <c r="B15" s="48">
        <f>'15W40'!B15+'T5'!M3</f>
        <v>331.99</v>
      </c>
      <c r="C15" s="49">
        <f t="shared" ref="C15:C21" si="1">E15+G15+H15</f>
        <v>197.03119999999998</v>
      </c>
      <c r="D15" s="48"/>
      <c r="E15" s="49">
        <f>'15W40'!E15</f>
        <v>31.4312</v>
      </c>
      <c r="F15" s="48">
        <f>'15W40'!F15</f>
        <v>40</v>
      </c>
      <c r="G15" s="49">
        <f>F15*G4</f>
        <v>157.6</v>
      </c>
      <c r="H15" s="49">
        <v>8</v>
      </c>
      <c r="I15" s="55">
        <f t="shared" ref="I15:I74" si="2">B15-C15</f>
        <v>134.95880000000002</v>
      </c>
      <c r="J15" s="56">
        <f t="shared" ref="J15:J74" si="3">C15/B15</f>
        <v>0.59348534594415492</v>
      </c>
      <c r="K15" s="56">
        <f t="shared" si="0"/>
        <v>0.40651465405584508</v>
      </c>
      <c r="Q15" s="50"/>
      <c r="R15" s="50"/>
      <c r="S15" s="50"/>
    </row>
    <row r="16" spans="1:19" ht="12.75" customHeight="1" x14ac:dyDescent="0.2">
      <c r="A16" s="48" t="s">
        <v>640</v>
      </c>
      <c r="B16" s="48">
        <f>'15W40'!B16+'T5'!M1</f>
        <v>185.99</v>
      </c>
      <c r="C16" s="49">
        <f t="shared" si="1"/>
        <v>69.88</v>
      </c>
      <c r="D16" s="48"/>
      <c r="E16" s="49">
        <f>'15W40'!E16</f>
        <v>6.7200000000000006</v>
      </c>
      <c r="F16" s="48">
        <f>'15W40'!F16</f>
        <v>14</v>
      </c>
      <c r="G16" s="49">
        <f>F16*G4</f>
        <v>55.16</v>
      </c>
      <c r="H16" s="49">
        <v>8</v>
      </c>
      <c r="I16" s="55">
        <f t="shared" si="2"/>
        <v>116.11000000000001</v>
      </c>
      <c r="J16" s="56">
        <f t="shared" si="3"/>
        <v>0.37571912468412277</v>
      </c>
      <c r="K16" s="56">
        <f t="shared" si="0"/>
        <v>0.62428087531587728</v>
      </c>
      <c r="Q16" s="50"/>
      <c r="R16" s="50"/>
      <c r="S16" s="50"/>
    </row>
    <row r="17" spans="1:19" ht="12.75" customHeight="1" x14ac:dyDescent="0.2">
      <c r="A17" s="48" t="s">
        <v>641</v>
      </c>
      <c r="B17" s="48">
        <f>'15W40'!B17+'T5'!M2</f>
        <v>282.99</v>
      </c>
      <c r="C17" s="49">
        <f t="shared" si="1"/>
        <v>157.31040000000002</v>
      </c>
      <c r="D17" s="48"/>
      <c r="E17" s="49">
        <f>'15W40'!E17</f>
        <v>50.810400000000001</v>
      </c>
      <c r="F17" s="48">
        <f>'15W40'!F17</f>
        <v>25</v>
      </c>
      <c r="G17" s="49">
        <f>F17*G4</f>
        <v>98.5</v>
      </c>
      <c r="H17" s="49">
        <v>8</v>
      </c>
      <c r="I17" s="55">
        <f t="shared" si="2"/>
        <v>125.67959999999999</v>
      </c>
      <c r="J17" s="56">
        <f t="shared" si="3"/>
        <v>0.55588678045160611</v>
      </c>
      <c r="K17" s="56">
        <f t="shared" si="0"/>
        <v>0.44411321954839389</v>
      </c>
      <c r="Q17" s="50"/>
      <c r="R17" s="50"/>
      <c r="S17" s="50"/>
    </row>
    <row r="18" spans="1:19" ht="12.75" customHeight="1" x14ac:dyDescent="0.2">
      <c r="A18" s="48" t="s">
        <v>642</v>
      </c>
      <c r="B18" s="48">
        <f>'15W40'!B18+'T5'!M2</f>
        <v>280.99</v>
      </c>
      <c r="C18" s="49">
        <f>E18+G18+H18</f>
        <v>133.18799999999999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98.5</v>
      </c>
      <c r="H18" s="49">
        <v>8</v>
      </c>
      <c r="I18" s="55">
        <f t="shared" si="2"/>
        <v>147.80200000000002</v>
      </c>
      <c r="J18" s="56">
        <f t="shared" si="3"/>
        <v>0.47399551585465671</v>
      </c>
      <c r="K18" s="56">
        <f t="shared" si="0"/>
        <v>0.52600448414534329</v>
      </c>
      <c r="Q18" s="50"/>
      <c r="R18" s="50"/>
      <c r="S18" s="50"/>
    </row>
    <row r="19" spans="1:19" ht="12.75" customHeight="1" x14ac:dyDescent="0.2">
      <c r="A19" s="48" t="s">
        <v>643</v>
      </c>
      <c r="B19" s="48">
        <f>'15W40'!B19+'T5'!M2</f>
        <v>317.99</v>
      </c>
      <c r="C19" s="49">
        <f t="shared" si="1"/>
        <v>189.67439999999999</v>
      </c>
      <c r="D19" s="48"/>
      <c r="E19" s="49">
        <f>'15W40'!E19</f>
        <v>39.834400000000002</v>
      </c>
      <c r="F19" s="48">
        <f>'15W40'!F19</f>
        <v>36</v>
      </c>
      <c r="G19" s="49">
        <f>F19*G4</f>
        <v>141.84</v>
      </c>
      <c r="H19" s="49">
        <v>8</v>
      </c>
      <c r="I19" s="55">
        <f t="shared" si="2"/>
        <v>128.31560000000002</v>
      </c>
      <c r="J19" s="56">
        <f t="shared" si="3"/>
        <v>0.59647913456397994</v>
      </c>
      <c r="K19" s="56">
        <f t="shared" si="0"/>
        <v>0.40352086543602006</v>
      </c>
      <c r="Q19" s="50"/>
      <c r="R19" s="50"/>
      <c r="S19" s="50"/>
    </row>
    <row r="20" spans="1:19" ht="12.75" customHeight="1" x14ac:dyDescent="0.2">
      <c r="A20" s="48" t="s">
        <v>645</v>
      </c>
      <c r="B20" s="48">
        <f>'15W40'!B20+'T5'!M3</f>
        <v>408.99</v>
      </c>
      <c r="C20" s="49">
        <f t="shared" si="1"/>
        <v>267.00959999999998</v>
      </c>
      <c r="D20" s="48"/>
      <c r="E20" s="49">
        <f>'15W40'!E20</f>
        <v>85.649600000000007</v>
      </c>
      <c r="F20" s="48">
        <f>'15W40'!F20</f>
        <v>44</v>
      </c>
      <c r="G20" s="49">
        <f>F20*G4</f>
        <v>173.35999999999999</v>
      </c>
      <c r="H20" s="49">
        <v>8</v>
      </c>
      <c r="I20" s="55">
        <f t="shared" si="2"/>
        <v>141.98040000000003</v>
      </c>
      <c r="J20" s="56">
        <f t="shared" si="3"/>
        <v>0.65285116995525561</v>
      </c>
      <c r="K20" s="56">
        <f t="shared" si="0"/>
        <v>0.34714883004474439</v>
      </c>
      <c r="Q20" s="50"/>
      <c r="R20" s="50"/>
      <c r="S20" s="50"/>
    </row>
    <row r="21" spans="1:19" ht="12.75" customHeight="1" x14ac:dyDescent="0.2">
      <c r="A21" s="48" t="s">
        <v>646</v>
      </c>
      <c r="B21" s="48">
        <f>'15W40'!B21+'T5'!M2</f>
        <v>300.99</v>
      </c>
      <c r="C21" s="49">
        <f t="shared" si="1"/>
        <v>173.3912</v>
      </c>
      <c r="D21" s="48"/>
      <c r="E21" s="49">
        <f>'15W40'!E21</f>
        <v>31.4312</v>
      </c>
      <c r="F21" s="48">
        <f>'15W40'!F21</f>
        <v>34</v>
      </c>
      <c r="G21" s="49">
        <f>F21*G4</f>
        <v>133.96</v>
      </c>
      <c r="H21" s="49">
        <v>8</v>
      </c>
      <c r="I21" s="55">
        <f t="shared" si="2"/>
        <v>127.59880000000001</v>
      </c>
      <c r="J21" s="56">
        <f t="shared" si="3"/>
        <v>0.57606963686501211</v>
      </c>
      <c r="K21" s="56">
        <f t="shared" si="0"/>
        <v>0.42393036313498789</v>
      </c>
      <c r="Q21" s="50"/>
      <c r="R21" s="50"/>
      <c r="S21" s="50"/>
    </row>
    <row r="22" spans="1:19" ht="12.75" customHeight="1" x14ac:dyDescent="0.2">
      <c r="A22" s="48"/>
      <c r="E22" s="49"/>
      <c r="F22" s="48"/>
      <c r="G22" s="49"/>
      <c r="H22" s="49"/>
      <c r="I22" s="55"/>
      <c r="J22" s="56"/>
      <c r="K22" s="56"/>
      <c r="Q22" s="50"/>
      <c r="R22" s="50"/>
      <c r="S22" s="50"/>
    </row>
    <row r="23" spans="1:19" ht="12.75" customHeight="1" x14ac:dyDescent="0.2">
      <c r="A23" s="48" t="s">
        <v>647</v>
      </c>
      <c r="B23" s="48">
        <f>'15W40'!B23+'T5'!M2</f>
        <v>374.99</v>
      </c>
      <c r="C23" s="49">
        <f t="shared" ref="C23:C28" si="4">E23+G23+H23</f>
        <v>235.34</v>
      </c>
      <c r="D23" s="48"/>
      <c r="E23" s="49">
        <f>'15W40'!E23</f>
        <v>77.62</v>
      </c>
      <c r="F23" s="48">
        <f>'15W40'!F23</f>
        <v>38</v>
      </c>
      <c r="G23" s="49">
        <f>F23*G4</f>
        <v>149.72</v>
      </c>
      <c r="H23" s="49">
        <v>8</v>
      </c>
      <c r="I23" s="55">
        <f t="shared" si="2"/>
        <v>139.65</v>
      </c>
      <c r="J23" s="56">
        <f t="shared" si="3"/>
        <v>0.62759006906850845</v>
      </c>
      <c r="K23" s="56">
        <f t="shared" si="0"/>
        <v>0.37240993093149155</v>
      </c>
      <c r="Q23" s="50"/>
      <c r="R23" s="50"/>
      <c r="S23" s="50"/>
    </row>
    <row r="24" spans="1:19" ht="12.75" customHeight="1" x14ac:dyDescent="0.2">
      <c r="A24" s="48" t="s">
        <v>648</v>
      </c>
      <c r="B24" s="48">
        <f>'15W40'!B24+'T5'!M2</f>
        <v>434.99</v>
      </c>
      <c r="C24" s="49">
        <f t="shared" si="4"/>
        <v>302.93</v>
      </c>
      <c r="D24" s="48"/>
      <c r="E24" s="49">
        <f>'15W40'!E24</f>
        <v>168.85000000000002</v>
      </c>
      <c r="F24" s="48">
        <f>'15W40'!F24</f>
        <v>32</v>
      </c>
      <c r="G24" s="49">
        <f>F24*G4</f>
        <v>126.08</v>
      </c>
      <c r="H24" s="49">
        <v>8</v>
      </c>
      <c r="I24" s="55">
        <f t="shared" si="2"/>
        <v>132.06</v>
      </c>
      <c r="J24" s="56">
        <f t="shared" si="3"/>
        <v>0.69640681394974602</v>
      </c>
      <c r="K24" s="56">
        <f t="shared" si="0"/>
        <v>0.30359318605025398</v>
      </c>
      <c r="Q24" s="50"/>
      <c r="R24" s="50"/>
      <c r="S24" s="50"/>
    </row>
    <row r="25" spans="1:19" ht="12.75" customHeight="1" x14ac:dyDescent="0.2">
      <c r="A25" s="48" t="s">
        <v>649</v>
      </c>
      <c r="B25" s="48">
        <f>'15W40'!B25+'T5'!M3</f>
        <v>445.99</v>
      </c>
      <c r="C25" s="49">
        <f t="shared" si="4"/>
        <v>311.27</v>
      </c>
      <c r="D25" s="48"/>
      <c r="E25" s="49">
        <f>'15W40'!E25</f>
        <v>137.79000000000002</v>
      </c>
      <c r="F25" s="48">
        <f>'15W40'!F25</f>
        <v>42</v>
      </c>
      <c r="G25" s="49">
        <f>F25*G4</f>
        <v>165.48</v>
      </c>
      <c r="H25" s="49">
        <v>8</v>
      </c>
      <c r="I25" s="55">
        <f t="shared" si="2"/>
        <v>134.72000000000003</v>
      </c>
      <c r="J25" s="56">
        <f t="shared" si="3"/>
        <v>0.69793044687100603</v>
      </c>
      <c r="K25" s="56">
        <f t="shared" si="0"/>
        <v>0.30206955312899397</v>
      </c>
      <c r="Q25" s="50"/>
      <c r="R25" s="50"/>
      <c r="S25" s="50"/>
    </row>
    <row r="26" spans="1:19" ht="12.75" customHeight="1" x14ac:dyDescent="0.2">
      <c r="A26" s="48" t="s">
        <v>650</v>
      </c>
      <c r="B26" s="48">
        <f>'15W40'!B26+'T5'!M3</f>
        <v>423.99</v>
      </c>
      <c r="C26" s="49">
        <f t="shared" si="4"/>
        <v>287.53280000000001</v>
      </c>
      <c r="D26" s="48"/>
      <c r="E26" s="49">
        <f>'15W40'!E26</f>
        <v>114.05280000000002</v>
      </c>
      <c r="F26" s="48">
        <f>'15W40'!F26</f>
        <v>42</v>
      </c>
      <c r="G26" s="49">
        <f>F26*G4</f>
        <v>165.48</v>
      </c>
      <c r="H26" s="49">
        <v>8</v>
      </c>
      <c r="I26" s="55">
        <f t="shared" si="2"/>
        <v>136.4572</v>
      </c>
      <c r="J26" s="56">
        <f t="shared" si="3"/>
        <v>0.67815939055166397</v>
      </c>
      <c r="K26" s="56">
        <f t="shared" si="0"/>
        <v>0.32184060944833603</v>
      </c>
      <c r="Q26" s="50"/>
      <c r="R26" s="50"/>
      <c r="S26" s="50"/>
    </row>
    <row r="27" spans="1:19" ht="12.75" customHeight="1" x14ac:dyDescent="0.2">
      <c r="A27" s="48" t="s">
        <v>651</v>
      </c>
      <c r="B27" s="48">
        <f>'15W40'!B27+'T5'!M2</f>
        <v>327.99</v>
      </c>
      <c r="C27" s="49">
        <f t="shared" si="4"/>
        <v>203.1112</v>
      </c>
      <c r="D27" s="48"/>
      <c r="E27" s="49">
        <f>'15W40'!E27</f>
        <v>45.391199999999998</v>
      </c>
      <c r="F27" s="48">
        <f>'15W40'!F27</f>
        <v>38</v>
      </c>
      <c r="G27" s="49">
        <f>F27*G4</f>
        <v>149.72</v>
      </c>
      <c r="H27" s="49">
        <v>8</v>
      </c>
      <c r="I27" s="55">
        <f t="shared" si="2"/>
        <v>124.87880000000001</v>
      </c>
      <c r="J27" s="56">
        <f t="shared" si="3"/>
        <v>0.6192603433031495</v>
      </c>
      <c r="K27" s="56">
        <f t="shared" si="0"/>
        <v>0.3807396566968505</v>
      </c>
      <c r="Q27" s="50"/>
      <c r="R27" s="50"/>
      <c r="S27" s="50"/>
    </row>
    <row r="28" spans="1:19" ht="12.75" customHeight="1" x14ac:dyDescent="0.2">
      <c r="A28" s="48" t="s">
        <v>652</v>
      </c>
      <c r="B28" s="48">
        <f>'15W40'!B28+'T5'!M1</f>
        <v>185.99</v>
      </c>
      <c r="C28" s="49">
        <f t="shared" si="4"/>
        <v>73.2624</v>
      </c>
      <c r="D28" s="48"/>
      <c r="E28" s="49">
        <f>'15W40'!E28</f>
        <v>10.102400000000001</v>
      </c>
      <c r="F28" s="48">
        <f>'15W40'!F28</f>
        <v>14</v>
      </c>
      <c r="G28" s="49">
        <f>F28*G4</f>
        <v>55.16</v>
      </c>
      <c r="H28" s="49">
        <v>8</v>
      </c>
      <c r="I28" s="55">
        <f t="shared" si="2"/>
        <v>112.72760000000001</v>
      </c>
      <c r="J28" s="56">
        <f t="shared" si="3"/>
        <v>0.39390504865852999</v>
      </c>
      <c r="K28" s="56">
        <f t="shared" si="0"/>
        <v>0.60609495134146996</v>
      </c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Q29" s="50"/>
      <c r="R29" s="50"/>
      <c r="S29" s="50"/>
    </row>
    <row r="30" spans="1:19" ht="12.75" customHeight="1" x14ac:dyDescent="0.2">
      <c r="A30" s="48" t="s">
        <v>653</v>
      </c>
      <c r="B30" s="48">
        <f>'15W40'!B30+'T5'!M1</f>
        <v>185.99</v>
      </c>
      <c r="C30" s="49">
        <f>E30+G30+H30</f>
        <v>77.576799999999992</v>
      </c>
      <c r="D30" s="48"/>
      <c r="E30" s="49">
        <f>'15W40'!E30</f>
        <v>14.416800000000002</v>
      </c>
      <c r="F30" s="48">
        <f>'15W40'!F30</f>
        <v>14</v>
      </c>
      <c r="G30" s="49">
        <f>F30*G4</f>
        <v>55.16</v>
      </c>
      <c r="H30" s="49">
        <v>8</v>
      </c>
      <c r="I30" s="55">
        <f t="shared" si="2"/>
        <v>108.41320000000002</v>
      </c>
      <c r="J30" s="56">
        <f t="shared" si="3"/>
        <v>0.41710199473089943</v>
      </c>
      <c r="K30" s="56">
        <f t="shared" si="0"/>
        <v>0.58289800526910063</v>
      </c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Q31" s="50"/>
      <c r="R31" s="50"/>
      <c r="S31" s="50"/>
    </row>
    <row r="32" spans="1:19" ht="12.75" customHeight="1" x14ac:dyDescent="0.2">
      <c r="A32" s="48" t="s">
        <v>423</v>
      </c>
      <c r="B32" s="48">
        <f>'15W40'!B32+'T5'!M1</f>
        <v>284.99</v>
      </c>
      <c r="C32" s="49">
        <f>E32+G32+H32</f>
        <v>159.16</v>
      </c>
      <c r="D32" s="48"/>
      <c r="E32" s="49">
        <f>'15W40'!E32</f>
        <v>96</v>
      </c>
      <c r="F32" s="48">
        <f>'15W40'!F32</f>
        <v>14</v>
      </c>
      <c r="G32" s="49">
        <f>F32*G4</f>
        <v>55.16</v>
      </c>
      <c r="H32" s="49">
        <v>8</v>
      </c>
      <c r="I32" s="55">
        <f t="shared" si="2"/>
        <v>125.83000000000001</v>
      </c>
      <c r="J32" s="56">
        <f t="shared" si="3"/>
        <v>0.55847573599073652</v>
      </c>
      <c r="K32" s="56">
        <f t="shared" si="0"/>
        <v>0.44152426400926348</v>
      </c>
      <c r="Q32" s="50"/>
      <c r="R32" s="50"/>
      <c r="S32" s="50"/>
    </row>
    <row r="33" spans="1:19" ht="12.75" customHeight="1" x14ac:dyDescent="0.2">
      <c r="A33" s="48" t="s">
        <v>654</v>
      </c>
      <c r="B33" s="48">
        <f>'15W40'!B33+'T5'!M1</f>
        <v>214.99</v>
      </c>
      <c r="C33" s="49">
        <f>E33+G33+H33</f>
        <v>90.581599999999995</v>
      </c>
      <c r="D33" s="48"/>
      <c r="E33" s="49">
        <f>'15W40'!E33</f>
        <v>27.421599999999998</v>
      </c>
      <c r="F33" s="48">
        <f>'15W40'!F33</f>
        <v>14</v>
      </c>
      <c r="G33" s="49">
        <f>F33*G4</f>
        <v>55.16</v>
      </c>
      <c r="H33" s="49">
        <v>8</v>
      </c>
      <c r="I33" s="55">
        <f t="shared" si="2"/>
        <v>124.40840000000001</v>
      </c>
      <c r="J33" s="56">
        <f t="shared" si="3"/>
        <v>0.42132936415647237</v>
      </c>
      <c r="K33" s="56">
        <f t="shared" si="0"/>
        <v>0.57867063584352763</v>
      </c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Q34" s="50"/>
      <c r="R34" s="50"/>
      <c r="S34" s="50"/>
    </row>
    <row r="35" spans="1:19" ht="12.75" customHeight="1" x14ac:dyDescent="0.2">
      <c r="A35" s="48" t="s">
        <v>655</v>
      </c>
      <c r="B35" s="48">
        <f>'15W40'!B35+'T5'!M2</f>
        <v>290.99</v>
      </c>
      <c r="C35" s="49">
        <f>E35+G35+H35</f>
        <v>164.00880000000001</v>
      </c>
      <c r="D35" s="49"/>
      <c r="E35" s="49">
        <f>'15W40'!E35</f>
        <v>53.56880000000001</v>
      </c>
      <c r="F35" s="48">
        <f>'15W40'!F35</f>
        <v>26</v>
      </c>
      <c r="G35" s="49">
        <f>F35*G4</f>
        <v>102.44</v>
      </c>
      <c r="H35" s="49">
        <v>8</v>
      </c>
      <c r="I35" s="55">
        <f t="shared" si="2"/>
        <v>126.9812</v>
      </c>
      <c r="J35" s="56">
        <f t="shared" si="3"/>
        <v>0.56362349221622732</v>
      </c>
      <c r="K35" s="56">
        <f t="shared" si="0"/>
        <v>0.43637650778377268</v>
      </c>
      <c r="Q35" s="50"/>
      <c r="R35" s="50"/>
      <c r="S35" s="50"/>
    </row>
    <row r="36" spans="1:19" ht="12.75" customHeight="1" x14ac:dyDescent="0.2">
      <c r="A36" s="48" t="s">
        <v>1245</v>
      </c>
      <c r="B36" s="48">
        <f>'15W40'!B36+'T5'!M3</f>
        <v>529.99</v>
      </c>
      <c r="C36" s="49">
        <f>E36+G36+H36</f>
        <v>368.04</v>
      </c>
      <c r="D36" s="49"/>
      <c r="E36" s="49">
        <f>'15W40'!E36</f>
        <v>178.8</v>
      </c>
      <c r="F36" s="48">
        <f>'15W40'!F36</f>
        <v>46</v>
      </c>
      <c r="G36" s="49">
        <f>F36*G4</f>
        <v>181.24</v>
      </c>
      <c r="H36" s="49">
        <v>8</v>
      </c>
      <c r="I36" s="55">
        <f t="shared" si="2"/>
        <v>161.94999999999999</v>
      </c>
      <c r="J36" s="56">
        <f t="shared" si="3"/>
        <v>0.69442819675842948</v>
      </c>
      <c r="K36" s="56">
        <f t="shared" si="0"/>
        <v>0.30557180324157052</v>
      </c>
      <c r="Q36" s="50"/>
      <c r="R36" s="50"/>
      <c r="S36" s="50"/>
    </row>
    <row r="37" spans="1:19" ht="12.75" customHeight="1" x14ac:dyDescent="0.2">
      <c r="A37" s="48" t="s">
        <v>1249</v>
      </c>
      <c r="B37" s="48">
        <f>'15W40'!B37+'T5'!M1</f>
        <v>264.99</v>
      </c>
      <c r="C37" s="49">
        <f>E37+G37+H37</f>
        <v>121.03279999999999</v>
      </c>
      <c r="D37" s="49"/>
      <c r="E37" s="49">
        <f>'15W40'!E37</f>
        <v>57.872799999999998</v>
      </c>
      <c r="F37" s="48">
        <f>'15W40'!F37</f>
        <v>14</v>
      </c>
      <c r="G37" s="49">
        <f>F37*G4</f>
        <v>55.16</v>
      </c>
      <c r="H37" s="49">
        <v>8</v>
      </c>
      <c r="I37" s="55">
        <f t="shared" si="2"/>
        <v>143.9572</v>
      </c>
      <c r="J37" s="56">
        <f t="shared" si="3"/>
        <v>0.45674478282199327</v>
      </c>
      <c r="K37" s="56">
        <f t="shared" si="0"/>
        <v>0.54325521717800673</v>
      </c>
      <c r="Q37" s="50"/>
      <c r="R37" s="50"/>
      <c r="S37" s="50"/>
    </row>
    <row r="38" spans="1:19" ht="12.75" customHeight="1" x14ac:dyDescent="0.2">
      <c r="A38" s="48" t="s">
        <v>1124</v>
      </c>
      <c r="B38" s="48">
        <f>'15W40'!B38+'T5'!M1</f>
        <v>230.99</v>
      </c>
      <c r="C38" s="49">
        <f t="shared" ref="C38:C53" si="5">E38+G38+H38</f>
        <v>107.3008</v>
      </c>
      <c r="D38" s="48"/>
      <c r="E38" s="49">
        <f>'15W40'!E38</f>
        <v>44.140799999999999</v>
      </c>
      <c r="F38" s="48">
        <f>'15W40'!F38</f>
        <v>14</v>
      </c>
      <c r="G38" s="49">
        <f>F38*G4</f>
        <v>55.16</v>
      </c>
      <c r="H38" s="49">
        <v>8</v>
      </c>
      <c r="I38" s="55">
        <f t="shared" si="2"/>
        <v>123.68920000000001</v>
      </c>
      <c r="J38" s="56">
        <f t="shared" si="3"/>
        <v>0.46452573704489369</v>
      </c>
      <c r="K38" s="56">
        <f t="shared" si="0"/>
        <v>0.53547426295510636</v>
      </c>
      <c r="Q38" s="50"/>
      <c r="R38" s="50"/>
      <c r="S38" s="50"/>
    </row>
    <row r="39" spans="1:19" ht="12.75" customHeight="1" x14ac:dyDescent="0.2">
      <c r="A39" s="48" t="s">
        <v>425</v>
      </c>
      <c r="B39" s="48">
        <f>'15W40'!B39+'T5'!M1</f>
        <v>290.99</v>
      </c>
      <c r="C39" s="49">
        <f t="shared" si="5"/>
        <v>132.13</v>
      </c>
      <c r="D39" s="48"/>
      <c r="E39" s="49">
        <f>'15W40'!E39</f>
        <v>68.97</v>
      </c>
      <c r="F39" s="48">
        <f>'15W40'!F39</f>
        <v>14</v>
      </c>
      <c r="G39" s="49">
        <f>F39*G4</f>
        <v>55.16</v>
      </c>
      <c r="H39" s="49">
        <v>8</v>
      </c>
      <c r="I39" s="55">
        <f t="shared" si="2"/>
        <v>158.86000000000001</v>
      </c>
      <c r="J39" s="56">
        <f t="shared" si="3"/>
        <v>0.45407058661809679</v>
      </c>
      <c r="K39" s="56">
        <f t="shared" si="0"/>
        <v>0.54592941338190326</v>
      </c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Q40" s="50"/>
      <c r="R40" s="50"/>
      <c r="S40" s="50"/>
    </row>
    <row r="41" spans="1:19" ht="12.75" customHeight="1" x14ac:dyDescent="0.2">
      <c r="A41" s="48" t="s">
        <v>907</v>
      </c>
      <c r="B41" s="48">
        <f>'15W40'!B41+'T5'!M2</f>
        <v>388.99</v>
      </c>
      <c r="C41" s="49">
        <f t="shared" si="5"/>
        <v>244.32480000000001</v>
      </c>
      <c r="D41" s="48"/>
      <c r="E41" s="49">
        <f>'15W40'!E41</f>
        <v>86.604800000000012</v>
      </c>
      <c r="F41" s="48">
        <f>'15W40'!F41</f>
        <v>38</v>
      </c>
      <c r="G41" s="49">
        <f>F41*G4</f>
        <v>149.72</v>
      </c>
      <c r="H41" s="49">
        <v>8</v>
      </c>
      <c r="I41" s="55">
        <f t="shared" si="2"/>
        <v>144.6652</v>
      </c>
      <c r="J41" s="56">
        <f t="shared" si="3"/>
        <v>0.62810046530759145</v>
      </c>
      <c r="K41" s="56">
        <f t="shared" si="0"/>
        <v>0.37189953469240855</v>
      </c>
      <c r="Q41" s="50"/>
      <c r="R41" s="50"/>
      <c r="S41" s="50"/>
    </row>
    <row r="42" spans="1:19" ht="12.75" customHeight="1" x14ac:dyDescent="0.2">
      <c r="A42" s="48" t="s">
        <v>911</v>
      </c>
      <c r="B42" s="48">
        <f>'15W40'!B42+'T5'!M2</f>
        <v>459.99</v>
      </c>
      <c r="C42" s="49">
        <f t="shared" si="5"/>
        <v>331.22</v>
      </c>
      <c r="D42" s="48"/>
      <c r="E42" s="49">
        <f>'15W40'!E42</f>
        <v>173.5</v>
      </c>
      <c r="F42" s="48">
        <f>'15W40'!F42</f>
        <v>38</v>
      </c>
      <c r="G42" s="49">
        <f>F42*G4</f>
        <v>149.72</v>
      </c>
      <c r="H42" s="49">
        <v>8</v>
      </c>
      <c r="I42" s="55">
        <f t="shared" si="2"/>
        <v>128.76999999999998</v>
      </c>
      <c r="J42" s="56">
        <f t="shared" si="3"/>
        <v>0.72005913172025482</v>
      </c>
      <c r="K42" s="56">
        <f t="shared" si="0"/>
        <v>0.27994086827974518</v>
      </c>
      <c r="Q42" s="50"/>
      <c r="R42" s="50"/>
      <c r="S42" s="50"/>
    </row>
    <row r="43" spans="1:19" ht="12.75" customHeight="1" x14ac:dyDescent="0.2">
      <c r="A43" s="48" t="s">
        <v>909</v>
      </c>
      <c r="B43" s="48">
        <f>'15W40'!B43+'T5'!M4</f>
        <v>471.99</v>
      </c>
      <c r="C43" s="49">
        <f t="shared" si="5"/>
        <v>311.3048</v>
      </c>
      <c r="D43" s="48"/>
      <c r="E43" s="49">
        <f>'15W40'!E43</f>
        <v>86.604800000000012</v>
      </c>
      <c r="F43" s="48">
        <f>'15W40'!F43</f>
        <v>55</v>
      </c>
      <c r="G43" s="49">
        <f>F43*G4</f>
        <v>216.7</v>
      </c>
      <c r="H43" s="49">
        <v>8</v>
      </c>
      <c r="I43" s="55">
        <f t="shared" si="2"/>
        <v>160.68520000000001</v>
      </c>
      <c r="J43" s="56">
        <f t="shared" si="3"/>
        <v>0.65955804148392971</v>
      </c>
      <c r="K43" s="56">
        <f t="shared" si="0"/>
        <v>0.34044195851607029</v>
      </c>
      <c r="Q43" s="50"/>
      <c r="R43" s="50"/>
      <c r="S43" s="50"/>
    </row>
    <row r="44" spans="1:19" ht="12.75" customHeight="1" x14ac:dyDescent="0.2">
      <c r="A44" s="48" t="s">
        <v>910</v>
      </c>
      <c r="B44" s="48">
        <f>'15W40'!B44+'T5'!M4</f>
        <v>544.99</v>
      </c>
      <c r="C44" s="49">
        <f t="shared" si="5"/>
        <v>398.2</v>
      </c>
      <c r="D44" s="48"/>
      <c r="E44" s="49">
        <f>'15W40'!E44</f>
        <v>173.5</v>
      </c>
      <c r="F44" s="48">
        <f>'15W40'!F44</f>
        <v>55</v>
      </c>
      <c r="G44" s="49">
        <f>F44*G4</f>
        <v>216.7</v>
      </c>
      <c r="H44" s="49">
        <v>8</v>
      </c>
      <c r="I44" s="55">
        <f t="shared" si="2"/>
        <v>146.79000000000002</v>
      </c>
      <c r="J44" s="56">
        <f t="shared" si="3"/>
        <v>0.73065560835978638</v>
      </c>
      <c r="K44" s="56">
        <f t="shared" si="0"/>
        <v>0.26934439164021362</v>
      </c>
      <c r="Q44" s="50"/>
      <c r="R44" s="50"/>
      <c r="S44" s="50"/>
    </row>
    <row r="45" spans="1:19" ht="12.75" customHeight="1" x14ac:dyDescent="0.2">
      <c r="A45" s="48" t="s">
        <v>656</v>
      </c>
      <c r="B45" s="48">
        <f>'15W40'!B45+'T5'!M2</f>
        <v>342.99</v>
      </c>
      <c r="C45" s="49">
        <f t="shared" si="5"/>
        <v>208.10399999999998</v>
      </c>
      <c r="D45" s="48"/>
      <c r="E45" s="49">
        <f>'15W40'!E45</f>
        <v>50.384</v>
      </c>
      <c r="F45" s="48">
        <f>'15W40'!F45</f>
        <v>38</v>
      </c>
      <c r="G45" s="49">
        <f>F45*G4</f>
        <v>149.72</v>
      </c>
      <c r="H45" s="49">
        <v>8</v>
      </c>
      <c r="I45" s="55">
        <f t="shared" si="2"/>
        <v>134.88600000000002</v>
      </c>
      <c r="J45" s="56">
        <f t="shared" si="3"/>
        <v>0.60673489023003579</v>
      </c>
      <c r="K45" s="56">
        <f t="shared" si="0"/>
        <v>0.39326510976996421</v>
      </c>
      <c r="Q45" s="50"/>
      <c r="R45" s="50"/>
      <c r="S45" s="50"/>
    </row>
    <row r="46" spans="1:19" ht="12.75" customHeight="1" x14ac:dyDescent="0.2">
      <c r="A46" s="48" t="s">
        <v>657</v>
      </c>
      <c r="B46" s="48">
        <f>'15W40'!B46+'T5'!M4</f>
        <v>412.99</v>
      </c>
      <c r="C46" s="49">
        <f t="shared" si="5"/>
        <v>263.26400000000001</v>
      </c>
      <c r="D46" s="48"/>
      <c r="E46" s="49">
        <f>'15W40'!E46</f>
        <v>50.384</v>
      </c>
      <c r="F46" s="48">
        <f>'15W40'!F46</f>
        <v>52</v>
      </c>
      <c r="G46" s="49">
        <f>F46*G4</f>
        <v>204.88</v>
      </c>
      <c r="H46" s="49">
        <v>8</v>
      </c>
      <c r="I46" s="55">
        <f t="shared" si="2"/>
        <v>149.726</v>
      </c>
      <c r="J46" s="56">
        <f t="shared" si="3"/>
        <v>0.63745853410494202</v>
      </c>
      <c r="K46" s="56">
        <f t="shared" si="0"/>
        <v>0.36254146589505798</v>
      </c>
      <c r="Q46" s="50"/>
      <c r="R46" s="50"/>
      <c r="S46" s="50"/>
    </row>
    <row r="47" spans="1:19" x14ac:dyDescent="0.2">
      <c r="A47" s="48" t="s">
        <v>658</v>
      </c>
      <c r="B47" s="48">
        <f>'15W40'!B47+'T5'!M2</f>
        <v>451.99</v>
      </c>
      <c r="C47" s="49">
        <f t="shared" si="5"/>
        <v>319.11</v>
      </c>
      <c r="D47" s="48"/>
      <c r="E47" s="49">
        <f>'15W40'!E47</f>
        <v>161.38999999999999</v>
      </c>
      <c r="F47" s="48">
        <f>'15W40'!F47</f>
        <v>38</v>
      </c>
      <c r="G47" s="49">
        <f>F47*G4</f>
        <v>149.72</v>
      </c>
      <c r="H47" s="49">
        <v>8</v>
      </c>
      <c r="I47" s="55">
        <f t="shared" si="2"/>
        <v>132.88</v>
      </c>
      <c r="J47" s="56">
        <f t="shared" si="3"/>
        <v>0.70601119493794107</v>
      </c>
      <c r="K47" s="56">
        <f t="shared" si="0"/>
        <v>0.29398880506205893</v>
      </c>
      <c r="Q47" s="50"/>
      <c r="R47" s="50"/>
      <c r="S47" s="50"/>
    </row>
    <row r="48" spans="1:19" x14ac:dyDescent="0.2">
      <c r="A48" s="48" t="s">
        <v>659</v>
      </c>
      <c r="B48" s="48">
        <f>'15W40'!B48+'T5'!M4</f>
        <v>524.99</v>
      </c>
      <c r="C48" s="49">
        <f t="shared" si="5"/>
        <v>374.27</v>
      </c>
      <c r="D48" s="48"/>
      <c r="E48" s="49">
        <f>'15W40'!E48</f>
        <v>161.38999999999999</v>
      </c>
      <c r="F48" s="48">
        <f>'15W40'!F48</f>
        <v>52</v>
      </c>
      <c r="G48" s="49">
        <f>F48*G4</f>
        <v>204.88</v>
      </c>
      <c r="H48" s="49">
        <v>8</v>
      </c>
      <c r="I48" s="55">
        <f t="shared" si="2"/>
        <v>150.72000000000003</v>
      </c>
      <c r="J48" s="56">
        <f t="shared" si="3"/>
        <v>0.71290881731080591</v>
      </c>
      <c r="K48" s="56">
        <f t="shared" si="0"/>
        <v>0.28709118268919409</v>
      </c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Q49" s="50"/>
      <c r="R49" s="50"/>
      <c r="S49" s="50"/>
    </row>
    <row r="50" spans="1:19" x14ac:dyDescent="0.2">
      <c r="A50" s="48" t="s">
        <v>660</v>
      </c>
      <c r="B50" s="48">
        <f>'15W40'!B50+'T5'!M2</f>
        <v>460.99</v>
      </c>
      <c r="C50" s="49">
        <f t="shared" si="5"/>
        <v>333.12</v>
      </c>
      <c r="D50" s="48"/>
      <c r="E50" s="49">
        <f>'15W40'!E50</f>
        <v>222.68</v>
      </c>
      <c r="F50" s="48">
        <f>'15W40'!F50</f>
        <v>26</v>
      </c>
      <c r="G50" s="49">
        <f>F50*G4</f>
        <v>102.44</v>
      </c>
      <c r="H50" s="49">
        <v>8</v>
      </c>
      <c r="I50" s="55">
        <f t="shared" si="2"/>
        <v>127.87</v>
      </c>
      <c r="J50" s="56">
        <f t="shared" si="3"/>
        <v>0.72261871190264426</v>
      </c>
      <c r="K50" s="56">
        <f t="shared" si="0"/>
        <v>0.27738128809735574</v>
      </c>
      <c r="Q50" s="50"/>
      <c r="R50" s="50"/>
      <c r="S50" s="50"/>
    </row>
    <row r="51" spans="1:19" x14ac:dyDescent="0.2">
      <c r="A51" s="48" t="s">
        <v>661</v>
      </c>
      <c r="B51" s="48">
        <f>'15W40'!B51+'T5'!M2</f>
        <v>381.99</v>
      </c>
      <c r="C51" s="49">
        <f t="shared" si="5"/>
        <v>255.61599999999999</v>
      </c>
      <c r="D51" s="48"/>
      <c r="E51" s="49">
        <f>'15W40'!E51</f>
        <v>145.17599999999999</v>
      </c>
      <c r="F51" s="48">
        <f>'15W40'!F51</f>
        <v>26</v>
      </c>
      <c r="G51" s="49">
        <f>F51*G4</f>
        <v>102.44</v>
      </c>
      <c r="H51" s="49">
        <v>8</v>
      </c>
      <c r="I51" s="55">
        <f t="shared" si="2"/>
        <v>126.37400000000002</v>
      </c>
      <c r="J51" s="56">
        <f t="shared" si="3"/>
        <v>0.66916934998298383</v>
      </c>
      <c r="K51" s="56">
        <f t="shared" si="0"/>
        <v>0.33083065001701617</v>
      </c>
      <c r="Q51" s="50"/>
      <c r="R51" s="50"/>
      <c r="S51" s="50"/>
    </row>
    <row r="52" spans="1:19" x14ac:dyDescent="0.2">
      <c r="A52" s="48" t="s">
        <v>662</v>
      </c>
      <c r="B52" s="48">
        <f>'15W40'!B52+'T5'!M2</f>
        <v>459.99</v>
      </c>
      <c r="C52" s="49">
        <f t="shared" si="5"/>
        <v>322.40999999999997</v>
      </c>
      <c r="D52" s="48"/>
      <c r="E52" s="49">
        <f>'15W40'!E52</f>
        <v>164.69</v>
      </c>
      <c r="F52" s="48">
        <f>'15W40'!F52</f>
        <v>38</v>
      </c>
      <c r="G52" s="49">
        <f>F52*G4</f>
        <v>149.72</v>
      </c>
      <c r="H52" s="49">
        <v>8</v>
      </c>
      <c r="I52" s="55">
        <f t="shared" si="2"/>
        <v>137.58000000000004</v>
      </c>
      <c r="J52" s="56">
        <f t="shared" si="3"/>
        <v>0.70090654144655307</v>
      </c>
      <c r="K52" s="56">
        <f t="shared" si="0"/>
        <v>0.29909345855344693</v>
      </c>
      <c r="Q52" s="50"/>
      <c r="R52" s="50"/>
      <c r="S52" s="50"/>
    </row>
    <row r="53" spans="1:19" x14ac:dyDescent="0.2">
      <c r="A53" s="48" t="s">
        <v>663</v>
      </c>
      <c r="B53" s="48">
        <f>'15W40'!B53+'T5'!M2</f>
        <v>381.99</v>
      </c>
      <c r="C53" s="49">
        <f t="shared" si="5"/>
        <v>246.52319999999997</v>
      </c>
      <c r="D53" s="48"/>
      <c r="E53" s="49">
        <f>'15W40'!E53</f>
        <v>88.80319999999999</v>
      </c>
      <c r="F53" s="48">
        <f>'15W40'!F53</f>
        <v>38</v>
      </c>
      <c r="G53" s="49">
        <f>F53*G4</f>
        <v>149.72</v>
      </c>
      <c r="H53" s="49">
        <v>8</v>
      </c>
      <c r="I53" s="55">
        <f t="shared" si="2"/>
        <v>135.46680000000003</v>
      </c>
      <c r="J53" s="56">
        <f t="shared" si="3"/>
        <v>0.645365585486531</v>
      </c>
      <c r="K53" s="56">
        <f t="shared" si="0"/>
        <v>0.354634414513469</v>
      </c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Q54" s="50"/>
      <c r="R54" s="50"/>
      <c r="S54" s="50"/>
    </row>
    <row r="55" spans="1:19" x14ac:dyDescent="0.2">
      <c r="A55" s="48" t="s">
        <v>665</v>
      </c>
      <c r="B55" s="48">
        <f>'15W40'!B55+'T5'!M3</f>
        <v>394.99</v>
      </c>
      <c r="C55" s="49">
        <f t="shared" ref="C55:C60" si="6">E55+G55+H55</f>
        <v>243.19</v>
      </c>
      <c r="D55" s="48"/>
      <c r="E55" s="49">
        <f>'15W40'!E55</f>
        <v>50.010000000000005</v>
      </c>
      <c r="F55" s="48">
        <f>'15W40'!F55</f>
        <v>47</v>
      </c>
      <c r="G55" s="49">
        <f>F55*G4</f>
        <v>185.18</v>
      </c>
      <c r="H55" s="49">
        <v>8</v>
      </c>
      <c r="I55" s="55">
        <f t="shared" si="2"/>
        <v>151.80000000000001</v>
      </c>
      <c r="J55" s="56">
        <f t="shared" si="3"/>
        <v>0.61568647307526769</v>
      </c>
      <c r="K55" s="56">
        <f t="shared" si="0"/>
        <v>0.38431352692473231</v>
      </c>
      <c r="Q55" s="50"/>
      <c r="R55" s="50"/>
      <c r="S55" s="50"/>
    </row>
    <row r="56" spans="1:19" x14ac:dyDescent="0.2">
      <c r="A56" s="48" t="s">
        <v>666</v>
      </c>
      <c r="B56" s="48">
        <f>'15W40'!B56+'T5'!M3</f>
        <v>372.99</v>
      </c>
      <c r="C56" s="49">
        <f t="shared" si="6"/>
        <v>234.6216</v>
      </c>
      <c r="D56" s="48"/>
      <c r="E56" s="49">
        <f>'15W40'!E56</f>
        <v>41.441600000000001</v>
      </c>
      <c r="F56" s="48">
        <f>'15W40'!F56</f>
        <v>47</v>
      </c>
      <c r="G56" s="49">
        <f>F56*G4</f>
        <v>185.18</v>
      </c>
      <c r="H56" s="49">
        <v>8</v>
      </c>
      <c r="I56" s="55">
        <f t="shared" si="2"/>
        <v>138.36840000000001</v>
      </c>
      <c r="J56" s="56">
        <f t="shared" si="3"/>
        <v>0.62902919649320355</v>
      </c>
      <c r="K56" s="56">
        <f t="shared" si="0"/>
        <v>0.37097080350679645</v>
      </c>
      <c r="Q56" s="50"/>
      <c r="R56" s="50"/>
      <c r="S56" s="50"/>
    </row>
    <row r="57" spans="1:19" x14ac:dyDescent="0.2">
      <c r="A57" s="48" t="s">
        <v>667</v>
      </c>
      <c r="B57" s="48">
        <f>'15W40'!B57+'T5'!M2</f>
        <v>304.99</v>
      </c>
      <c r="C57" s="49">
        <f t="shared" si="6"/>
        <v>157.99</v>
      </c>
      <c r="D57" s="48"/>
      <c r="E57" s="49">
        <f>'15W40'!E57</f>
        <v>47.55</v>
      </c>
      <c r="F57" s="48">
        <f>'15W40'!F57</f>
        <v>26</v>
      </c>
      <c r="G57" s="49">
        <f>F57*G4</f>
        <v>102.44</v>
      </c>
      <c r="H57" s="49">
        <v>8</v>
      </c>
      <c r="I57" s="55">
        <f t="shared" si="2"/>
        <v>147</v>
      </c>
      <c r="J57" s="56">
        <f t="shared" si="3"/>
        <v>0.51801698416341524</v>
      </c>
      <c r="K57" s="56">
        <f t="shared" si="0"/>
        <v>0.48198301583658476</v>
      </c>
      <c r="Q57" s="50"/>
      <c r="R57" s="50"/>
      <c r="S57" s="50"/>
    </row>
    <row r="58" spans="1:19" x14ac:dyDescent="0.2">
      <c r="A58" s="48" t="s">
        <v>668</v>
      </c>
      <c r="B58" s="48">
        <f>'15W40'!B58+'T5'!M2</f>
        <v>266.99</v>
      </c>
      <c r="C58" s="49">
        <f t="shared" si="6"/>
        <v>143.916</v>
      </c>
      <c r="D58" s="48"/>
      <c r="E58" s="49">
        <f>'15W40'!E58</f>
        <v>33.475999999999999</v>
      </c>
      <c r="F58" s="48">
        <f>'15W40'!F58</f>
        <v>26</v>
      </c>
      <c r="G58" s="49">
        <f>F58*G4</f>
        <v>102.44</v>
      </c>
      <c r="H58" s="49">
        <v>8</v>
      </c>
      <c r="I58" s="55">
        <f t="shared" si="2"/>
        <v>123.07400000000001</v>
      </c>
      <c r="J58" s="56">
        <f t="shared" si="3"/>
        <v>0.53903142439791751</v>
      </c>
      <c r="K58" s="56">
        <f t="shared" si="0"/>
        <v>0.46096857560208249</v>
      </c>
      <c r="Q58" s="50"/>
      <c r="R58" s="50"/>
      <c r="S58" s="50"/>
    </row>
    <row r="59" spans="1:19" x14ac:dyDescent="0.2">
      <c r="A59" s="48" t="s">
        <v>669</v>
      </c>
      <c r="B59" s="48">
        <f>'15W40'!B59+'T5'!M2</f>
        <v>244.99</v>
      </c>
      <c r="C59" s="49">
        <f t="shared" si="6"/>
        <v>102.56</v>
      </c>
      <c r="D59" s="48"/>
      <c r="E59" s="49">
        <f>'15W40'!E59</f>
        <v>0</v>
      </c>
      <c r="F59" s="48">
        <f>'15W40'!F59</f>
        <v>24</v>
      </c>
      <c r="G59" s="49">
        <f>F59*G4</f>
        <v>94.56</v>
      </c>
      <c r="H59" s="49">
        <v>8</v>
      </c>
      <c r="I59" s="55">
        <f t="shared" si="2"/>
        <v>142.43</v>
      </c>
      <c r="J59" s="56">
        <f t="shared" si="3"/>
        <v>0.4186293318094616</v>
      </c>
      <c r="K59" s="56">
        <f t="shared" si="0"/>
        <v>0.5813706681905384</v>
      </c>
      <c r="Q59" s="50"/>
      <c r="R59" s="50"/>
      <c r="S59" s="50"/>
    </row>
    <row r="60" spans="1:19" x14ac:dyDescent="0.2">
      <c r="A60" s="48" t="s">
        <v>691</v>
      </c>
      <c r="B60" s="48">
        <f>'15W40'!B60+'T5'!M1</f>
        <v>244.99</v>
      </c>
      <c r="C60" s="49">
        <f t="shared" si="6"/>
        <v>132.46</v>
      </c>
      <c r="D60" s="48"/>
      <c r="E60" s="49">
        <f>'15W40'!E60</f>
        <v>73.240000000000009</v>
      </c>
      <c r="F60" s="48">
        <f>'15W40'!F60</f>
        <v>13</v>
      </c>
      <c r="G60" s="49">
        <f>F60*G4</f>
        <v>51.22</v>
      </c>
      <c r="H60" s="49">
        <v>8</v>
      </c>
      <c r="I60" s="55">
        <f t="shared" si="2"/>
        <v>112.53</v>
      </c>
      <c r="J60" s="56">
        <f t="shared" si="3"/>
        <v>0.54067512959712638</v>
      </c>
      <c r="K60" s="56">
        <f t="shared" si="0"/>
        <v>0.45932487040287362</v>
      </c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Q62" s="50"/>
      <c r="R62" s="50"/>
      <c r="S62" s="50"/>
    </row>
    <row r="63" spans="1:19" x14ac:dyDescent="0.2">
      <c r="A63" s="48" t="s">
        <v>673</v>
      </c>
      <c r="B63" s="48">
        <f>'15W40'!B63+'T5'!M2</f>
        <v>271.99</v>
      </c>
      <c r="C63" s="49">
        <f>E63+G63+H63</f>
        <v>148.46639999999999</v>
      </c>
      <c r="D63" s="48"/>
      <c r="E63" s="49">
        <f>'15W40'!E63</f>
        <v>38.026400000000002</v>
      </c>
      <c r="F63" s="48">
        <f>'15W40'!F63</f>
        <v>26</v>
      </c>
      <c r="G63" s="49">
        <f>F63*G4</f>
        <v>102.44</v>
      </c>
      <c r="H63" s="49">
        <v>8</v>
      </c>
      <c r="I63" s="55">
        <f t="shared" si="2"/>
        <v>123.52360000000002</v>
      </c>
      <c r="J63" s="56">
        <f t="shared" si="3"/>
        <v>0.54585242104489129</v>
      </c>
      <c r="K63" s="56">
        <f t="shared" si="0"/>
        <v>0.45414757895510871</v>
      </c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Q64" s="50"/>
      <c r="R64" s="50"/>
      <c r="S64" s="50"/>
    </row>
    <row r="65" spans="1:19" x14ac:dyDescent="0.2">
      <c r="A65" s="48" t="s">
        <v>674</v>
      </c>
      <c r="B65" s="48">
        <f>'15W40'!B65+'T5'!M3</f>
        <v>488.99</v>
      </c>
      <c r="C65" s="49">
        <f>E65+G65+H65</f>
        <v>351.29</v>
      </c>
      <c r="D65" s="48"/>
      <c r="E65" s="49">
        <f>'15W40'!E65</f>
        <v>162.05000000000001</v>
      </c>
      <c r="F65" s="48">
        <f>'15W40'!F65</f>
        <v>46</v>
      </c>
      <c r="G65" s="49">
        <f>F65*G4</f>
        <v>181.24</v>
      </c>
      <c r="H65" s="49">
        <v>8</v>
      </c>
      <c r="I65" s="55">
        <f t="shared" si="2"/>
        <v>137.69999999999999</v>
      </c>
      <c r="J65" s="56">
        <f t="shared" si="3"/>
        <v>0.71839914926685622</v>
      </c>
      <c r="K65" s="56">
        <f t="shared" si="0"/>
        <v>0.28160085073314378</v>
      </c>
      <c r="Q65" s="50"/>
      <c r="R65" s="50"/>
      <c r="S65" s="50"/>
    </row>
    <row r="66" spans="1:19" x14ac:dyDescent="0.2">
      <c r="A66" s="48" t="s">
        <v>675</v>
      </c>
      <c r="B66" s="48">
        <f>'15W40'!B66+'T5'!M3</f>
        <v>409.99</v>
      </c>
      <c r="C66" s="49">
        <f>E66+G66+H66</f>
        <v>269.0872</v>
      </c>
      <c r="D66" s="48"/>
      <c r="E66" s="49">
        <f>'15W40'!E66</f>
        <v>79.847200000000001</v>
      </c>
      <c r="F66" s="48">
        <f>'15W40'!F66</f>
        <v>46</v>
      </c>
      <c r="G66" s="49">
        <f>F66*G4</f>
        <v>181.24</v>
      </c>
      <c r="H66" s="49">
        <v>8</v>
      </c>
      <c r="I66" s="55">
        <f t="shared" si="2"/>
        <v>140.90280000000001</v>
      </c>
      <c r="J66" s="56">
        <f t="shared" si="3"/>
        <v>0.65632625185980142</v>
      </c>
      <c r="K66" s="56">
        <f t="shared" si="0"/>
        <v>0.34367374814019858</v>
      </c>
      <c r="Q66" s="50"/>
      <c r="R66" s="50"/>
      <c r="S66" s="50"/>
    </row>
    <row r="67" spans="1:19" x14ac:dyDescent="0.2">
      <c r="A67" s="48" t="s">
        <v>676</v>
      </c>
      <c r="B67" s="48">
        <f>'15W40'!B67+'T5'!M2</f>
        <v>254.99</v>
      </c>
      <c r="C67" s="49">
        <f>E67+G67+H67</f>
        <v>129.24799999999999</v>
      </c>
      <c r="D67" s="48"/>
      <c r="E67" s="49">
        <f>'15W40'!E67</f>
        <v>26.688000000000002</v>
      </c>
      <c r="F67" s="48">
        <f>'15W40'!F67</f>
        <v>24</v>
      </c>
      <c r="G67" s="49">
        <f>F67*G4</f>
        <v>94.56</v>
      </c>
      <c r="H67" s="49">
        <v>8</v>
      </c>
      <c r="I67" s="55">
        <f t="shared" si="2"/>
        <v>125.74200000000002</v>
      </c>
      <c r="J67" s="56">
        <f t="shared" si="3"/>
        <v>0.50687477940311376</v>
      </c>
      <c r="K67" s="56">
        <f t="shared" si="0"/>
        <v>0.49312522059688624</v>
      </c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Q68" s="50"/>
      <c r="R68" s="50"/>
      <c r="S68" s="50"/>
    </row>
    <row r="69" spans="1:19" x14ac:dyDescent="0.2">
      <c r="A69" s="48" t="s">
        <v>677</v>
      </c>
      <c r="B69" s="48">
        <f>'15W40'!B69+'T5'!M2</f>
        <v>370.99</v>
      </c>
      <c r="C69" s="49">
        <f t="shared" ref="C69:C74" si="7">E69+G69+H69</f>
        <v>228.56480000000002</v>
      </c>
      <c r="D69" s="48"/>
      <c r="E69" s="49">
        <f>'15W40'!E69</f>
        <v>86.604800000000012</v>
      </c>
      <c r="F69" s="48">
        <f>'15W40'!F69</f>
        <v>34</v>
      </c>
      <c r="G69" s="49">
        <f>F69*G4</f>
        <v>133.96</v>
      </c>
      <c r="H69" s="49">
        <v>8</v>
      </c>
      <c r="I69" s="55">
        <f t="shared" si="2"/>
        <v>142.42519999999999</v>
      </c>
      <c r="J69" s="56">
        <f t="shared" si="3"/>
        <v>0.61609423434593924</v>
      </c>
      <c r="K69" s="56">
        <f t="shared" si="0"/>
        <v>0.38390576565406076</v>
      </c>
      <c r="Q69" s="50"/>
      <c r="R69" s="50"/>
      <c r="S69" s="50"/>
    </row>
    <row r="70" spans="1:19" x14ac:dyDescent="0.2">
      <c r="A70" s="48" t="s">
        <v>678</v>
      </c>
      <c r="B70" s="48">
        <f>'15W40'!B70+'T5'!M3</f>
        <v>409.99</v>
      </c>
      <c r="C70" s="49">
        <f t="shared" si="7"/>
        <v>260.08479999999997</v>
      </c>
      <c r="D70" s="48"/>
      <c r="E70" s="49">
        <f>'15W40'!E70</f>
        <v>86.604800000000012</v>
      </c>
      <c r="F70" s="48">
        <f>'15W40'!F70</f>
        <v>42</v>
      </c>
      <c r="G70" s="49">
        <f>F70*G4</f>
        <v>165.48</v>
      </c>
      <c r="H70" s="49">
        <v>8</v>
      </c>
      <c r="I70" s="55">
        <f t="shared" si="2"/>
        <v>149.90520000000004</v>
      </c>
      <c r="J70" s="56">
        <f t="shared" si="3"/>
        <v>0.63436864313763741</v>
      </c>
      <c r="K70" s="56">
        <f t="shared" si="0"/>
        <v>0.36563135686236259</v>
      </c>
      <c r="Q70" s="50"/>
      <c r="R70" s="50"/>
      <c r="S70" s="50"/>
    </row>
    <row r="71" spans="1:19" x14ac:dyDescent="0.2">
      <c r="A71" s="48" t="s">
        <v>679</v>
      </c>
      <c r="B71" s="48">
        <f>'15W40'!B71+'T5'!M4</f>
        <v>459.99</v>
      </c>
      <c r="C71" s="49">
        <f t="shared" si="7"/>
        <v>299.48480000000001</v>
      </c>
      <c r="D71" s="48"/>
      <c r="E71" s="49">
        <f>'15W40'!E71</f>
        <v>86.604800000000012</v>
      </c>
      <c r="F71" s="48">
        <f>'15W40'!F71</f>
        <v>52</v>
      </c>
      <c r="G71" s="49">
        <f>F71*G4</f>
        <v>204.88</v>
      </c>
      <c r="H71" s="49">
        <v>8</v>
      </c>
      <c r="I71" s="55">
        <f t="shared" si="2"/>
        <v>160.5052</v>
      </c>
      <c r="J71" s="56">
        <f t="shared" si="3"/>
        <v>0.65106806669710215</v>
      </c>
      <c r="K71" s="56">
        <f t="shared" si="0"/>
        <v>0.34893193330289785</v>
      </c>
      <c r="Q71" s="50"/>
      <c r="R71" s="50"/>
      <c r="S71" s="50"/>
    </row>
    <row r="72" spans="1:19" x14ac:dyDescent="0.2">
      <c r="A72" s="48" t="s">
        <v>680</v>
      </c>
      <c r="B72" s="48">
        <f>'15W40'!B72+'T5'!M2</f>
        <v>439.99</v>
      </c>
      <c r="C72" s="49">
        <f t="shared" si="7"/>
        <v>308.25</v>
      </c>
      <c r="D72" s="48"/>
      <c r="E72" s="49">
        <f>'15W40'!E72</f>
        <v>166.29</v>
      </c>
      <c r="F72" s="48">
        <f>'15W40'!F72</f>
        <v>34</v>
      </c>
      <c r="G72" s="49">
        <f>F72*G4</f>
        <v>133.96</v>
      </c>
      <c r="H72" s="49">
        <v>8</v>
      </c>
      <c r="I72" s="55">
        <f t="shared" si="2"/>
        <v>131.74</v>
      </c>
      <c r="J72" s="56">
        <f t="shared" si="3"/>
        <v>0.70058410418418604</v>
      </c>
      <c r="K72" s="56">
        <f t="shared" si="0"/>
        <v>0.29941589581581396</v>
      </c>
      <c r="Q72" s="50"/>
      <c r="R72" s="50"/>
      <c r="S72" s="50"/>
    </row>
    <row r="73" spans="1:19" x14ac:dyDescent="0.2">
      <c r="A73" s="48" t="s">
        <v>681</v>
      </c>
      <c r="B73" s="48">
        <f>'15W40'!B73+'T5'!M3</f>
        <v>479.99</v>
      </c>
      <c r="C73" s="49">
        <f t="shared" si="7"/>
        <v>339.77</v>
      </c>
      <c r="D73" s="48"/>
      <c r="E73" s="49">
        <f>'15W40'!E73</f>
        <v>166.29</v>
      </c>
      <c r="F73" s="48">
        <f>'15W40'!F73</f>
        <v>42</v>
      </c>
      <c r="G73" s="49">
        <f>F73*G4</f>
        <v>165.48</v>
      </c>
      <c r="H73" s="49">
        <v>8</v>
      </c>
      <c r="I73" s="55">
        <f t="shared" si="2"/>
        <v>140.22000000000003</v>
      </c>
      <c r="J73" s="56">
        <f t="shared" si="3"/>
        <v>0.70786891393570694</v>
      </c>
      <c r="K73" s="56">
        <f t="shared" si="0"/>
        <v>0.29213108606429306</v>
      </c>
      <c r="Q73" s="50"/>
      <c r="R73" s="50"/>
      <c r="S73" s="50"/>
    </row>
    <row r="74" spans="1:19" x14ac:dyDescent="0.2">
      <c r="A74" s="48" t="s">
        <v>682</v>
      </c>
      <c r="B74" s="48">
        <f>'15W40'!B74+'T5'!M4</f>
        <v>527.99</v>
      </c>
      <c r="C74" s="49">
        <f t="shared" si="7"/>
        <v>379.16999999999996</v>
      </c>
      <c r="D74" s="48"/>
      <c r="E74" s="49">
        <f>'15W40'!E74</f>
        <v>166.29</v>
      </c>
      <c r="F74" s="48">
        <f>'15W40'!F74</f>
        <v>52</v>
      </c>
      <c r="G74" s="49">
        <f>F74*G4</f>
        <v>204.88</v>
      </c>
      <c r="H74" s="49">
        <v>8</v>
      </c>
      <c r="I74" s="55">
        <f t="shared" si="2"/>
        <v>148.82000000000005</v>
      </c>
      <c r="J74" s="56">
        <f t="shared" si="3"/>
        <v>0.71813860110986938</v>
      </c>
      <c r="K74" s="56">
        <f t="shared" ref="K74" si="8">1-J74</f>
        <v>0.28186139889013062</v>
      </c>
      <c r="Q74" s="50"/>
      <c r="R74" s="50"/>
      <c r="S74" s="5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8"/>
  <sheetViews>
    <sheetView zoomScale="120" zoomScaleNormal="120" workbookViewId="0">
      <pane ySplit="4" topLeftCell="A5" activePane="bottomLeft" state="frozen"/>
      <selection pane="bottomLeft" activeCell="B79" sqref="B79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4.8554687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5703125" style="46" customWidth="1"/>
    <col min="14" max="14" width="7.42578125" style="46" customWidth="1"/>
    <col min="15" max="15" width="7.140625" style="46" customWidth="1"/>
    <col min="16" max="16384" width="9.140625" style="46"/>
  </cols>
  <sheetData>
    <row r="1" spans="1:19" ht="12.75" customHeight="1" x14ac:dyDescent="0.2">
      <c r="A1" s="46" t="s">
        <v>625</v>
      </c>
      <c r="B1" s="197" t="s">
        <v>706</v>
      </c>
      <c r="G1" s="50">
        <f>'Oil Price'!F9</f>
        <v>6.530666666666666</v>
      </c>
      <c r="H1" s="46">
        <v>0.05</v>
      </c>
      <c r="L1" s="48" t="s">
        <v>693</v>
      </c>
      <c r="M1" s="48">
        <v>10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1250</v>
      </c>
      <c r="O3" s="48" t="s">
        <v>1251</v>
      </c>
    </row>
    <row r="4" spans="1:19" ht="12.75" customHeight="1" x14ac:dyDescent="0.2">
      <c r="G4" s="50">
        <f>G1+H1</f>
        <v>6.5806666666666658</v>
      </c>
      <c r="H4" s="50"/>
      <c r="J4" s="46">
        <v>1</v>
      </c>
      <c r="L4" s="48" t="s">
        <v>696</v>
      </c>
      <c r="M4" s="48">
        <v>25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'T5'!B6+('T5 Gallon'!G4-'T5'!G4)*'T5 Gallon'!F6+'T5 Gallon'!M2</f>
        <v>372.00666666666666</v>
      </c>
      <c r="C6" s="49">
        <f>E6+G6+H6</f>
        <v>225.80666666666667</v>
      </c>
      <c r="D6" s="48"/>
      <c r="E6" s="49">
        <f>'15W40'!E6</f>
        <v>53.290000000000006</v>
      </c>
      <c r="F6" s="48">
        <f>'15W40'!F6</f>
        <v>25</v>
      </c>
      <c r="G6" s="49">
        <f>F6*G4</f>
        <v>164.51666666666665</v>
      </c>
      <c r="H6" s="49">
        <v>8</v>
      </c>
      <c r="I6" s="55">
        <f>B6-C6</f>
        <v>146.19999999999999</v>
      </c>
      <c r="J6" s="56">
        <f>C6/B6</f>
        <v>0.60699629038906111</v>
      </c>
      <c r="K6" s="56">
        <f>1-J6</f>
        <v>0.39300370961093889</v>
      </c>
      <c r="L6" s="48"/>
      <c r="M6" s="48"/>
      <c r="N6" s="49">
        <f>B6-'T5'!B6</f>
        <v>81.016666666666652</v>
      </c>
      <c r="O6" s="49">
        <f>C6-'T5'!C6</f>
        <v>66.016666666666652</v>
      </c>
      <c r="P6" s="49"/>
      <c r="Q6" s="50"/>
      <c r="R6" s="50"/>
      <c r="S6" s="50"/>
    </row>
    <row r="7" spans="1:19" ht="12.75" customHeight="1" x14ac:dyDescent="0.2">
      <c r="A7" s="48" t="s">
        <v>633</v>
      </c>
      <c r="B7" s="48">
        <f>'T5'!B7+('T5 Gallon'!G4-'T5'!G4)*'T5 Gallon'!F7+'T5 Gallon'!M2</f>
        <v>350.00666666666666</v>
      </c>
      <c r="C7" s="49">
        <f>E7+G7+H7</f>
        <v>194.31586666666664</v>
      </c>
      <c r="D7" s="48"/>
      <c r="E7" s="49">
        <f>'15W40'!E7</f>
        <v>21.799199999999999</v>
      </c>
      <c r="F7" s="48">
        <f>'15W40'!F7</f>
        <v>25</v>
      </c>
      <c r="G7" s="49">
        <f>F7*G4</f>
        <v>164.51666666666665</v>
      </c>
      <c r="H7" s="49">
        <v>8</v>
      </c>
      <c r="I7" s="55">
        <f>B7-C7</f>
        <v>155.69080000000002</v>
      </c>
      <c r="J7" s="56">
        <f>C7/B7</f>
        <v>0.55517761566446344</v>
      </c>
      <c r="K7" s="56">
        <f t="shared" ref="K7:K73" si="0">1-J7</f>
        <v>0.44482238433553656</v>
      </c>
      <c r="L7" s="48"/>
      <c r="M7" s="48"/>
      <c r="N7" s="49">
        <f>B7-'T5'!B7</f>
        <v>81.016666666666652</v>
      </c>
      <c r="O7" s="49">
        <f>C7-'T5'!C7</f>
        <v>66.016666666666652</v>
      </c>
      <c r="P7" s="48"/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L8" s="48"/>
      <c r="M8" s="48"/>
      <c r="N8" s="48"/>
      <c r="O8" s="49"/>
      <c r="P8" s="48"/>
      <c r="Q8" s="50"/>
      <c r="R8" s="50"/>
      <c r="S8" s="50"/>
    </row>
    <row r="9" spans="1:19" ht="12.75" customHeight="1" x14ac:dyDescent="0.2">
      <c r="A9" s="48" t="s">
        <v>634</v>
      </c>
      <c r="B9" s="48">
        <f>'T5'!B9+('T5 Gallon'!G4-'T5'!G4)*'T5 Gallon'!F9+'T5 Gallon'!M2</f>
        <v>475.33533333333332</v>
      </c>
      <c r="C9" s="49">
        <f>E9+G9+H9</f>
        <v>328.64533333333327</v>
      </c>
      <c r="D9" s="48"/>
      <c r="E9" s="49">
        <f>'15W40'!E9</f>
        <v>70.58</v>
      </c>
      <c r="F9" s="48">
        <f>'15W40'!F9</f>
        <v>38</v>
      </c>
      <c r="G9" s="49">
        <f>F9*G4</f>
        <v>250.06533333333329</v>
      </c>
      <c r="H9" s="49">
        <v>8</v>
      </c>
      <c r="I9" s="55">
        <f>B9-C9</f>
        <v>146.69000000000005</v>
      </c>
      <c r="J9" s="56">
        <f>C9/B9</f>
        <v>0.69139681039210199</v>
      </c>
      <c r="K9" s="56">
        <f t="shared" si="0"/>
        <v>0.30860318960789801</v>
      </c>
      <c r="L9" s="48"/>
      <c r="M9" s="48"/>
      <c r="N9" s="49">
        <f>B9-'T5'!B9</f>
        <v>115.34533333333331</v>
      </c>
      <c r="O9" s="49">
        <f>C9-'T5'!C9</f>
        <v>100.34533333333326</v>
      </c>
      <c r="P9" s="48"/>
      <c r="Q9" s="50"/>
      <c r="R9" s="50"/>
      <c r="S9" s="50"/>
    </row>
    <row r="10" spans="1:19" ht="12.75" customHeight="1" x14ac:dyDescent="0.2">
      <c r="A10" s="48" t="s">
        <v>635</v>
      </c>
      <c r="B10" s="48">
        <f>'T5'!B10+('T5 Gallon'!G4-'T5'!G4)*'T5 Gallon'!F10+'T5 Gallon'!M2</f>
        <v>434.33533333333332</v>
      </c>
      <c r="C10" s="49">
        <f>E10+G10+H10</f>
        <v>289.11013333333329</v>
      </c>
      <c r="D10" s="48"/>
      <c r="E10" s="49">
        <f>'15W40'!E10</f>
        <v>31.044799999999999</v>
      </c>
      <c r="F10" s="48">
        <f>'15W40'!F10</f>
        <v>38</v>
      </c>
      <c r="G10" s="49">
        <f>F10*G4</f>
        <v>250.06533333333329</v>
      </c>
      <c r="H10" s="49">
        <v>8</v>
      </c>
      <c r="I10" s="55">
        <f>B10-C10</f>
        <v>145.22520000000003</v>
      </c>
      <c r="J10" s="56">
        <f>C10/B10</f>
        <v>0.66563807073797043</v>
      </c>
      <c r="K10" s="56">
        <f t="shared" si="0"/>
        <v>0.33436192926202957</v>
      </c>
      <c r="L10" s="48"/>
      <c r="M10" s="48"/>
      <c r="N10" s="49">
        <f>B10-'T5'!B10</f>
        <v>115.34533333333331</v>
      </c>
      <c r="O10" s="49">
        <f>C10-'T5'!C10</f>
        <v>100.34533333333329</v>
      </c>
      <c r="P10" s="48"/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8"/>
      <c r="M11" s="48"/>
      <c r="N11" s="49"/>
      <c r="O11" s="49"/>
      <c r="P11" s="48"/>
      <c r="Q11" s="50"/>
      <c r="R11" s="50"/>
      <c r="S11" s="50"/>
    </row>
    <row r="12" spans="1:19" ht="12.75" customHeight="1" x14ac:dyDescent="0.2">
      <c r="A12" s="48" t="s">
        <v>637</v>
      </c>
      <c r="B12" s="49">
        <f>'T5'!B12+('T5 Gallon'!G4-'T5'!G4)*'T5 Gallon'!F12+'T5 Gallon'!M3</f>
        <v>518.53866666666659</v>
      </c>
      <c r="C12" s="49">
        <f>E12+G12+H12</f>
        <v>361.54866666666663</v>
      </c>
      <c r="D12" s="48"/>
      <c r="E12" s="49">
        <f>'15W40'!E12</f>
        <v>70.58</v>
      </c>
      <c r="F12" s="48">
        <f>'15W40'!F12</f>
        <v>43</v>
      </c>
      <c r="G12" s="49">
        <f>F12*G4</f>
        <v>282.96866666666665</v>
      </c>
      <c r="H12" s="49">
        <v>8</v>
      </c>
      <c r="I12" s="55">
        <f>B12-C12</f>
        <v>156.98999999999995</v>
      </c>
      <c r="J12" s="56">
        <f>C12/B12</f>
        <v>0.69724533560981639</v>
      </c>
      <c r="K12" s="56">
        <f t="shared" si="0"/>
        <v>0.30275466439018361</v>
      </c>
      <c r="L12" s="48"/>
      <c r="M12" s="48"/>
      <c r="N12" s="49">
        <f>B12-'T5'!B12</f>
        <v>133.54866666666658</v>
      </c>
      <c r="O12" s="49">
        <f>C12-'T5'!C12</f>
        <v>113.54866666666663</v>
      </c>
      <c r="P12" s="48"/>
      <c r="Q12" s="50"/>
      <c r="R12" s="50"/>
      <c r="S12" s="50"/>
    </row>
    <row r="13" spans="1:19" ht="12.75" customHeight="1" x14ac:dyDescent="0.2">
      <c r="A13" s="48" t="s">
        <v>638</v>
      </c>
      <c r="B13" s="49">
        <f>'T5'!B13+('T5 Gallon'!G4-'T5'!G4)*'T5 Gallon'!F13+'T5 Gallon'!M3</f>
        <v>477.53866666666664</v>
      </c>
      <c r="C13" s="49">
        <f>E13+G13+H13</f>
        <v>322.01346666666666</v>
      </c>
      <c r="D13" s="48"/>
      <c r="E13" s="49">
        <f>'15W40'!E13</f>
        <v>31.044799999999999</v>
      </c>
      <c r="F13" s="48">
        <f>'15W40'!F13</f>
        <v>43</v>
      </c>
      <c r="G13" s="49">
        <f>F13*G4</f>
        <v>282.96866666666665</v>
      </c>
      <c r="H13" s="49">
        <v>8</v>
      </c>
      <c r="I13" s="55">
        <f>B13-C13</f>
        <v>155.52519999999998</v>
      </c>
      <c r="J13" s="56">
        <f>C13/B13</f>
        <v>0.67431914762923217</v>
      </c>
      <c r="K13" s="56">
        <f t="shared" si="0"/>
        <v>0.32568085237076783</v>
      </c>
      <c r="L13" s="48"/>
      <c r="M13" s="48"/>
      <c r="N13" s="49">
        <f>B13-'T5'!B13</f>
        <v>133.54866666666663</v>
      </c>
      <c r="O13" s="49">
        <f>C13-'T5'!C13</f>
        <v>113.54866666666666</v>
      </c>
      <c r="P13" s="48"/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8"/>
      <c r="M14" s="48"/>
      <c r="N14" s="49"/>
      <c r="O14" s="49"/>
      <c r="P14" s="48"/>
      <c r="Q14" s="50"/>
      <c r="R14" s="50"/>
      <c r="S14" s="50"/>
    </row>
    <row r="15" spans="1:19" ht="12.75" customHeight="1" x14ac:dyDescent="0.2">
      <c r="A15" s="48" t="s">
        <v>639</v>
      </c>
      <c r="B15" s="48">
        <f>'T5'!B15+('T5 Gallon'!G4-'T5'!G4)*'T5 Gallon'!F15+'T5 Gallon'!M3</f>
        <v>457.61666666666667</v>
      </c>
      <c r="C15" s="49">
        <f t="shared" ref="C15:C21" si="1">E15+G15+H15</f>
        <v>302.65786666666662</v>
      </c>
      <c r="D15" s="48"/>
      <c r="E15" s="49">
        <f>'15W40'!E15</f>
        <v>31.4312</v>
      </c>
      <c r="F15" s="48">
        <f>'15W40'!F15</f>
        <v>40</v>
      </c>
      <c r="G15" s="49">
        <f>F15*G4</f>
        <v>263.22666666666663</v>
      </c>
      <c r="H15" s="49">
        <v>8</v>
      </c>
      <c r="I15" s="55">
        <f t="shared" ref="I15:I74" si="2">B15-C15</f>
        <v>154.95880000000005</v>
      </c>
      <c r="J15" s="56">
        <f t="shared" ref="J15:J74" si="3">C15/B15</f>
        <v>0.66137859198018711</v>
      </c>
      <c r="K15" s="56">
        <f t="shared" si="0"/>
        <v>0.33862140801981289</v>
      </c>
      <c r="L15" s="48"/>
      <c r="M15" s="48"/>
      <c r="N15" s="49">
        <f>B15-'T5'!B15</f>
        <v>125.62666666666667</v>
      </c>
      <c r="O15" s="49">
        <f>C15-'T5'!C15</f>
        <v>105.62666666666664</v>
      </c>
      <c r="P15" s="48"/>
      <c r="Q15" s="50"/>
      <c r="R15" s="50"/>
      <c r="S15" s="50"/>
    </row>
    <row r="16" spans="1:19" ht="12.75" customHeight="1" x14ac:dyDescent="0.2">
      <c r="A16" s="48" t="s">
        <v>640</v>
      </c>
      <c r="B16" s="48">
        <f>'T5'!B16+('T5 Gallon'!G4-'T5'!G4)*'T5 Gallon'!F16+'T5 Gallon'!M1</f>
        <v>232.95933333333335</v>
      </c>
      <c r="C16" s="49">
        <f t="shared" si="1"/>
        <v>106.84933333333332</v>
      </c>
      <c r="D16" s="48"/>
      <c r="E16" s="49">
        <f>'15W40'!E16</f>
        <v>6.7200000000000006</v>
      </c>
      <c r="F16" s="48">
        <f>'15W40'!F16</f>
        <v>14</v>
      </c>
      <c r="G16" s="49">
        <f>F16*G4</f>
        <v>92.129333333333321</v>
      </c>
      <c r="H16" s="49">
        <v>8</v>
      </c>
      <c r="I16" s="55">
        <f t="shared" si="2"/>
        <v>126.11000000000003</v>
      </c>
      <c r="J16" s="56">
        <f t="shared" si="3"/>
        <v>0.45866088215682843</v>
      </c>
      <c r="K16" s="56">
        <f t="shared" si="0"/>
        <v>0.54133911784317157</v>
      </c>
      <c r="L16" s="48"/>
      <c r="M16" s="48"/>
      <c r="N16" s="49">
        <f>B16-'T5'!B16</f>
        <v>46.969333333333338</v>
      </c>
      <c r="O16" s="49">
        <f>C16-'T5'!C16</f>
        <v>36.969333333333324</v>
      </c>
      <c r="P16" s="48"/>
      <c r="Q16" s="50"/>
      <c r="R16" s="50"/>
      <c r="S16" s="50"/>
    </row>
    <row r="17" spans="1:19" ht="12.75" customHeight="1" x14ac:dyDescent="0.2">
      <c r="A17" s="48" t="s">
        <v>641</v>
      </c>
      <c r="B17" s="48">
        <f>'T5'!B17+('T5 Gallon'!G4-'T5'!G4)*'T5 Gallon'!F17+'T5 Gallon'!M2</f>
        <v>364.00666666666666</v>
      </c>
      <c r="C17" s="49">
        <f t="shared" si="1"/>
        <v>223.32706666666667</v>
      </c>
      <c r="D17" s="48"/>
      <c r="E17" s="49">
        <f>'15W40'!E17</f>
        <v>50.810400000000001</v>
      </c>
      <c r="F17" s="48">
        <f>'15W40'!F17</f>
        <v>25</v>
      </c>
      <c r="G17" s="49">
        <f>F17*G4</f>
        <v>164.51666666666665</v>
      </c>
      <c r="H17" s="49">
        <v>8</v>
      </c>
      <c r="I17" s="55">
        <f t="shared" si="2"/>
        <v>140.67959999999999</v>
      </c>
      <c r="J17" s="56">
        <f t="shared" si="3"/>
        <v>0.6135246607204996</v>
      </c>
      <c r="K17" s="56">
        <f t="shared" si="0"/>
        <v>0.3864753392795004</v>
      </c>
      <c r="L17" s="48"/>
      <c r="M17" s="48"/>
      <c r="N17" s="49">
        <f>B17-'T5'!B17</f>
        <v>81.016666666666652</v>
      </c>
      <c r="O17" s="49">
        <f>C17-'T5'!C17</f>
        <v>66.016666666666652</v>
      </c>
      <c r="P17" s="48"/>
      <c r="Q17" s="50"/>
      <c r="R17" s="50"/>
      <c r="S17" s="50"/>
    </row>
    <row r="18" spans="1:19" ht="12.75" customHeight="1" x14ac:dyDescent="0.2">
      <c r="A18" s="48" t="s">
        <v>642</v>
      </c>
      <c r="B18" s="48">
        <f>'T5'!B18+('T5 Gallon'!G4-'T5'!G4)*'T5 Gallon'!F18+'T5 Gallon'!M2</f>
        <v>362.00666666666666</v>
      </c>
      <c r="C18" s="49">
        <f>E18+G18+H18</f>
        <v>199.20466666666664</v>
      </c>
      <c r="D18" s="48"/>
      <c r="E18" s="49">
        <f>'15W40'!E18</f>
        <v>26.688000000000002</v>
      </c>
      <c r="F18" s="48">
        <f>'15W40'!F18</f>
        <v>25</v>
      </c>
      <c r="G18" s="49">
        <f>F18*G4</f>
        <v>164.51666666666665</v>
      </c>
      <c r="H18" s="49">
        <v>8</v>
      </c>
      <c r="I18" s="55">
        <f t="shared" si="2"/>
        <v>162.80200000000002</v>
      </c>
      <c r="J18" s="56">
        <f t="shared" si="3"/>
        <v>0.55027900038673316</v>
      </c>
      <c r="K18" s="56">
        <f t="shared" si="0"/>
        <v>0.44972099961326684</v>
      </c>
      <c r="L18" s="48"/>
      <c r="M18" s="48"/>
      <c r="N18" s="49">
        <f>B18-'T5'!B18</f>
        <v>81.016666666666652</v>
      </c>
      <c r="O18" s="49">
        <f>C18-'T5'!C18</f>
        <v>66.016666666666652</v>
      </c>
      <c r="P18" s="48"/>
      <c r="Q18" s="50"/>
      <c r="R18" s="50"/>
      <c r="S18" s="50"/>
    </row>
    <row r="19" spans="1:19" ht="12.75" customHeight="1" x14ac:dyDescent="0.2">
      <c r="A19" s="48" t="s">
        <v>643</v>
      </c>
      <c r="B19" s="48">
        <f>'T5'!B19+('T5 Gallon'!G4-'T5'!G4)*'T5 Gallon'!F19+'T5 Gallon'!M2</f>
        <v>428.05399999999997</v>
      </c>
      <c r="C19" s="49">
        <f t="shared" si="1"/>
        <v>284.73839999999996</v>
      </c>
      <c r="D19" s="48"/>
      <c r="E19" s="49">
        <f>'15W40'!E19</f>
        <v>39.834400000000002</v>
      </c>
      <c r="F19" s="48">
        <f>'15W40'!F19</f>
        <v>36</v>
      </c>
      <c r="G19" s="49">
        <f>F19*G4</f>
        <v>236.90399999999997</v>
      </c>
      <c r="H19" s="49">
        <v>8</v>
      </c>
      <c r="I19" s="55">
        <f t="shared" si="2"/>
        <v>143.31560000000002</v>
      </c>
      <c r="J19" s="56">
        <f t="shared" si="3"/>
        <v>0.66519270933106567</v>
      </c>
      <c r="K19" s="56">
        <f t="shared" si="0"/>
        <v>0.33480729066893433</v>
      </c>
      <c r="L19" s="48"/>
      <c r="M19" s="48"/>
      <c r="N19" s="49">
        <f>B19-'T5'!B19</f>
        <v>110.06399999999996</v>
      </c>
      <c r="O19" s="49">
        <f>C19-'T5'!C19</f>
        <v>95.063999999999965</v>
      </c>
      <c r="P19" s="48"/>
      <c r="Q19" s="50"/>
      <c r="R19" s="50"/>
      <c r="S19" s="50"/>
    </row>
    <row r="20" spans="1:19" ht="12.75" customHeight="1" x14ac:dyDescent="0.2">
      <c r="A20" s="48" t="s">
        <v>645</v>
      </c>
      <c r="B20" s="48">
        <f>'T5'!B20+('T5 Gallon'!G4-'T5'!G4)*'T5 Gallon'!F20+'T5 Gallon'!M3</f>
        <v>545.17933333333326</v>
      </c>
      <c r="C20" s="49">
        <f t="shared" si="1"/>
        <v>383.19893333333329</v>
      </c>
      <c r="D20" s="48"/>
      <c r="E20" s="49">
        <f>'15W40'!E20</f>
        <v>85.649600000000007</v>
      </c>
      <c r="F20" s="48">
        <f>'15W40'!F20</f>
        <v>44</v>
      </c>
      <c r="G20" s="49">
        <f>F20*G4</f>
        <v>289.54933333333327</v>
      </c>
      <c r="H20" s="49">
        <v>8</v>
      </c>
      <c r="I20" s="55">
        <f t="shared" si="2"/>
        <v>161.98039999999997</v>
      </c>
      <c r="J20" s="56">
        <f t="shared" si="3"/>
        <v>0.70288602282551671</v>
      </c>
      <c r="K20" s="56">
        <f t="shared" si="0"/>
        <v>0.29711397717448329</v>
      </c>
      <c r="L20" s="48"/>
      <c r="M20" s="48"/>
      <c r="N20" s="49">
        <f>B20-'T5'!B20</f>
        <v>136.18933333333325</v>
      </c>
      <c r="O20" s="49">
        <f>C20-'T5'!C20</f>
        <v>116.18933333333331</v>
      </c>
      <c r="P20" s="48"/>
      <c r="Q20" s="50"/>
      <c r="R20" s="50"/>
      <c r="S20" s="50"/>
    </row>
    <row r="21" spans="1:19" ht="12.75" customHeight="1" x14ac:dyDescent="0.2">
      <c r="A21" s="48" t="s">
        <v>646</v>
      </c>
      <c r="B21" s="48">
        <f>'T5'!B21+('T5 Gallon'!G4-'T5'!G4)*'T5 Gallon'!F21+'T5 Gallon'!M2</f>
        <v>405.77266666666662</v>
      </c>
      <c r="C21" s="49">
        <f t="shared" si="1"/>
        <v>263.17386666666664</v>
      </c>
      <c r="D21" s="48"/>
      <c r="E21" s="49">
        <f>'15W40'!E21</f>
        <v>31.4312</v>
      </c>
      <c r="F21" s="48">
        <f>'15W40'!F21</f>
        <v>34</v>
      </c>
      <c r="G21" s="49">
        <f>F21*G4</f>
        <v>223.74266666666665</v>
      </c>
      <c r="H21" s="49">
        <v>8</v>
      </c>
      <c r="I21" s="55">
        <f t="shared" si="2"/>
        <v>142.59879999999998</v>
      </c>
      <c r="J21" s="56">
        <f t="shared" si="3"/>
        <v>0.6485746534594905</v>
      </c>
      <c r="K21" s="56">
        <f t="shared" si="0"/>
        <v>0.3514253465405095</v>
      </c>
      <c r="L21" s="48"/>
      <c r="M21" s="48"/>
      <c r="N21" s="49">
        <f>B21-'T5'!B21</f>
        <v>104.78266666666661</v>
      </c>
      <c r="O21" s="49">
        <f>C21-'T5'!C21</f>
        <v>89.782666666666643</v>
      </c>
      <c r="P21" s="48"/>
      <c r="Q21" s="50"/>
      <c r="R21" s="50"/>
      <c r="S21" s="50"/>
    </row>
    <row r="22" spans="1:19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L22" s="48"/>
      <c r="M22" s="48"/>
      <c r="N22" s="49"/>
      <c r="O22" s="49"/>
      <c r="P22" s="48"/>
      <c r="Q22" s="50"/>
      <c r="R22" s="50"/>
      <c r="S22" s="50"/>
    </row>
    <row r="23" spans="1:19" ht="12.75" customHeight="1" x14ac:dyDescent="0.2">
      <c r="A23" s="48" t="s">
        <v>647</v>
      </c>
      <c r="B23" s="48">
        <f>'T5'!B23+('T5 Gallon'!G4-'T5'!G4)*'T5 Gallon'!F23+'T5 Gallon'!M2</f>
        <v>490.33533333333332</v>
      </c>
      <c r="C23" s="49">
        <f t="shared" ref="C23:C28" si="4">E23+G23+H23</f>
        <v>335.68533333333329</v>
      </c>
      <c r="D23" s="48"/>
      <c r="E23" s="49">
        <f>'15W40'!E23</f>
        <v>77.62</v>
      </c>
      <c r="F23" s="48">
        <f>'15W40'!F23</f>
        <v>38</v>
      </c>
      <c r="G23" s="49">
        <f>F23*G4</f>
        <v>250.06533333333329</v>
      </c>
      <c r="H23" s="49">
        <v>8</v>
      </c>
      <c r="I23" s="55">
        <f t="shared" si="2"/>
        <v>154.65000000000003</v>
      </c>
      <c r="J23" s="56">
        <f t="shared" si="3"/>
        <v>0.68460359780993407</v>
      </c>
      <c r="K23" s="56">
        <f t="shared" si="0"/>
        <v>0.31539640219006593</v>
      </c>
      <c r="L23" s="48"/>
      <c r="M23" s="48"/>
      <c r="N23" s="49">
        <f>B23-'T5'!B23</f>
        <v>115.34533333333331</v>
      </c>
      <c r="O23" s="49">
        <f>C23-'T5'!C23</f>
        <v>100.34533333333329</v>
      </c>
      <c r="P23" s="48"/>
      <c r="Q23" s="50"/>
      <c r="R23" s="50"/>
      <c r="S23" s="50"/>
    </row>
    <row r="24" spans="1:19" ht="12.75" customHeight="1" x14ac:dyDescent="0.2">
      <c r="A24" s="48" t="s">
        <v>648</v>
      </c>
      <c r="B24" s="48">
        <f>'T5'!B24+('T5 Gallon'!G4-'T5'!G4)*'T5 Gallon'!F24+'T5 Gallon'!M2</f>
        <v>534.49133333333327</v>
      </c>
      <c r="C24" s="49">
        <f t="shared" si="4"/>
        <v>387.43133333333333</v>
      </c>
      <c r="D24" s="48"/>
      <c r="E24" s="49">
        <f>'15W40'!E24</f>
        <v>168.85000000000002</v>
      </c>
      <c r="F24" s="48">
        <f>'15W40'!F24</f>
        <v>32</v>
      </c>
      <c r="G24" s="49">
        <f>F24*G4</f>
        <v>210.5813333333333</v>
      </c>
      <c r="H24" s="49">
        <v>8</v>
      </c>
      <c r="I24" s="55">
        <f t="shared" si="2"/>
        <v>147.05999999999995</v>
      </c>
      <c r="J24" s="56">
        <f t="shared" si="3"/>
        <v>0.72485989794658356</v>
      </c>
      <c r="K24" s="56">
        <f t="shared" si="0"/>
        <v>0.27514010205341644</v>
      </c>
      <c r="L24" s="48"/>
      <c r="M24" s="48"/>
      <c r="N24" s="49">
        <f>B24-'T5'!B24</f>
        <v>99.501333333333264</v>
      </c>
      <c r="O24" s="49">
        <f>C24-'T5'!C24</f>
        <v>84.501333333333321</v>
      </c>
      <c r="P24" s="48"/>
      <c r="Q24" s="50"/>
      <c r="R24" s="50"/>
      <c r="S24" s="50"/>
    </row>
    <row r="25" spans="1:19" ht="12.75" customHeight="1" x14ac:dyDescent="0.2">
      <c r="A25" s="48" t="s">
        <v>649</v>
      </c>
      <c r="B25" s="48">
        <f>'T5'!B25+('T5 Gallon'!G4-'T5'!G4)*'T5 Gallon'!F25+'T5 Gallon'!M3</f>
        <v>576.89799999999991</v>
      </c>
      <c r="C25" s="49">
        <f t="shared" si="4"/>
        <v>422.178</v>
      </c>
      <c r="D25" s="48"/>
      <c r="E25" s="49">
        <f>'15W40'!E25</f>
        <v>137.79000000000002</v>
      </c>
      <c r="F25" s="48">
        <f>'15W40'!F25</f>
        <v>42</v>
      </c>
      <c r="G25" s="49">
        <f>F25*G4</f>
        <v>276.38799999999998</v>
      </c>
      <c r="H25" s="49">
        <v>8</v>
      </c>
      <c r="I25" s="55">
        <f t="shared" si="2"/>
        <v>154.71999999999991</v>
      </c>
      <c r="J25" s="56">
        <f t="shared" si="3"/>
        <v>0.73180700921133379</v>
      </c>
      <c r="K25" s="56">
        <f t="shared" si="0"/>
        <v>0.26819299078866621</v>
      </c>
      <c r="L25" s="48"/>
      <c r="M25" s="48"/>
      <c r="N25" s="49">
        <f>B25-'T5'!B25</f>
        <v>130.9079999999999</v>
      </c>
      <c r="O25" s="49">
        <f>C25-'T5'!C25</f>
        <v>110.90800000000002</v>
      </c>
      <c r="P25" s="48"/>
      <c r="Q25" s="50"/>
      <c r="R25" s="50"/>
      <c r="S25" s="50"/>
    </row>
    <row r="26" spans="1:19" ht="12.75" customHeight="1" x14ac:dyDescent="0.2">
      <c r="A26" s="48" t="s">
        <v>650</v>
      </c>
      <c r="B26" s="48">
        <f>'T5'!B26+('T5 Gallon'!G4-'T5'!G4)*'T5 Gallon'!F26+'T5 Gallon'!M3</f>
        <v>554.89799999999991</v>
      </c>
      <c r="C26" s="49">
        <f t="shared" si="4"/>
        <v>398.44079999999997</v>
      </c>
      <c r="D26" s="48"/>
      <c r="E26" s="49">
        <f>'15W40'!E26</f>
        <v>114.05280000000002</v>
      </c>
      <c r="F26" s="48">
        <f>'15W40'!F26</f>
        <v>42</v>
      </c>
      <c r="G26" s="49">
        <f>F26*G4</f>
        <v>276.38799999999998</v>
      </c>
      <c r="H26" s="49">
        <v>8</v>
      </c>
      <c r="I26" s="55">
        <f t="shared" si="2"/>
        <v>156.45719999999994</v>
      </c>
      <c r="J26" s="56">
        <f t="shared" si="3"/>
        <v>0.71804331606889915</v>
      </c>
      <c r="K26" s="56">
        <f t="shared" si="0"/>
        <v>0.28195668393110085</v>
      </c>
      <c r="L26" s="48"/>
      <c r="M26" s="48"/>
      <c r="N26" s="49">
        <f>B26-'T5'!B26</f>
        <v>130.9079999999999</v>
      </c>
      <c r="O26" s="49">
        <f>C26-'T5'!C26</f>
        <v>110.90799999999996</v>
      </c>
      <c r="P26" s="48"/>
      <c r="Q26" s="50"/>
      <c r="R26" s="50"/>
      <c r="S26" s="50"/>
    </row>
    <row r="27" spans="1:19" ht="12.75" customHeight="1" x14ac:dyDescent="0.2">
      <c r="A27" s="48" t="s">
        <v>651</v>
      </c>
      <c r="B27" s="48">
        <f>'T5'!B27+('T5 Gallon'!G4-'T5'!G4)*'T5 Gallon'!F27+'T5 Gallon'!M2</f>
        <v>443.33533333333332</v>
      </c>
      <c r="C27" s="49">
        <f t="shared" si="4"/>
        <v>303.45653333333325</v>
      </c>
      <c r="D27" s="48"/>
      <c r="E27" s="49">
        <f>'15W40'!E27</f>
        <v>45.391199999999998</v>
      </c>
      <c r="F27" s="48">
        <f>'15W40'!F27</f>
        <v>38</v>
      </c>
      <c r="G27" s="49">
        <f>F27*G4</f>
        <v>250.06533333333329</v>
      </c>
      <c r="H27" s="49">
        <v>8</v>
      </c>
      <c r="I27" s="55">
        <f t="shared" si="2"/>
        <v>139.87880000000007</v>
      </c>
      <c r="J27" s="56">
        <f t="shared" si="3"/>
        <v>0.68448533314887283</v>
      </c>
      <c r="K27" s="56">
        <f t="shared" si="0"/>
        <v>0.31551466685112717</v>
      </c>
      <c r="L27" s="48"/>
      <c r="M27" s="48"/>
      <c r="N27" s="49">
        <f>B27-'T5'!B27</f>
        <v>115.34533333333331</v>
      </c>
      <c r="O27" s="49">
        <f>C27-'T5'!C27</f>
        <v>100.34533333333326</v>
      </c>
      <c r="P27" s="48"/>
      <c r="Q27" s="50"/>
      <c r="R27" s="50"/>
      <c r="S27" s="50"/>
    </row>
    <row r="28" spans="1:19" ht="12.75" customHeight="1" x14ac:dyDescent="0.2">
      <c r="A28" s="48" t="s">
        <v>652</v>
      </c>
      <c r="B28" s="48">
        <f>'T5'!B28+('T5 Gallon'!G4-'T5'!G4)*'T5 Gallon'!F28+'T5 Gallon'!M1</f>
        <v>232.95933333333335</v>
      </c>
      <c r="C28" s="49">
        <f t="shared" si="4"/>
        <v>110.23173333333332</v>
      </c>
      <c r="D28" s="48"/>
      <c r="E28" s="49">
        <f>'15W40'!E28</f>
        <v>10.102400000000001</v>
      </c>
      <c r="F28" s="48">
        <f>'15W40'!F28</f>
        <v>14</v>
      </c>
      <c r="G28" s="49">
        <f>F28*G4</f>
        <v>92.129333333333321</v>
      </c>
      <c r="H28" s="49">
        <v>8</v>
      </c>
      <c r="I28" s="55">
        <f t="shared" si="2"/>
        <v>122.72760000000002</v>
      </c>
      <c r="J28" s="56">
        <f t="shared" si="3"/>
        <v>0.47318015447617462</v>
      </c>
      <c r="K28" s="56">
        <f t="shared" si="0"/>
        <v>0.52681984552382533</v>
      </c>
      <c r="L28" s="48"/>
      <c r="M28" s="48"/>
      <c r="N28" s="49">
        <f>B28-'T5'!B28</f>
        <v>46.969333333333338</v>
      </c>
      <c r="O28" s="49">
        <f>C28-'T5'!C28</f>
        <v>36.969333333333324</v>
      </c>
      <c r="P28" s="48"/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8"/>
      <c r="M29" s="48"/>
      <c r="N29" s="49"/>
      <c r="O29" s="49"/>
      <c r="P29" s="48"/>
      <c r="Q29" s="50"/>
      <c r="R29" s="50"/>
      <c r="S29" s="50"/>
    </row>
    <row r="30" spans="1:19" ht="12.75" customHeight="1" x14ac:dyDescent="0.2">
      <c r="A30" s="48" t="s">
        <v>653</v>
      </c>
      <c r="B30" s="48">
        <f>'T5'!B30+('T5 Gallon'!G4-'T5'!G4)*'T5 Gallon'!F30+'T5 Gallon'!M1</f>
        <v>232.95933333333335</v>
      </c>
      <c r="C30" s="49">
        <f>E30+G30+H30</f>
        <v>114.54613333333333</v>
      </c>
      <c r="D30" s="48"/>
      <c r="E30" s="49">
        <f>'15W40'!E30</f>
        <v>14.416800000000002</v>
      </c>
      <c r="F30" s="48">
        <f>'15W40'!F30</f>
        <v>14</v>
      </c>
      <c r="G30" s="49">
        <f>F30*G4</f>
        <v>92.129333333333321</v>
      </c>
      <c r="H30" s="49">
        <v>8</v>
      </c>
      <c r="I30" s="55">
        <f t="shared" si="2"/>
        <v>118.41320000000002</v>
      </c>
      <c r="J30" s="56">
        <f t="shared" si="3"/>
        <v>0.49170012505759225</v>
      </c>
      <c r="K30" s="56">
        <f t="shared" si="0"/>
        <v>0.50829987494240769</v>
      </c>
      <c r="L30" s="48"/>
      <c r="M30" s="48"/>
      <c r="N30" s="49">
        <f>B30-'T5'!B30</f>
        <v>46.969333333333338</v>
      </c>
      <c r="O30" s="49">
        <f>C30-'T5'!C30</f>
        <v>36.969333333333338</v>
      </c>
      <c r="P30" s="48"/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8"/>
      <c r="M31" s="48"/>
      <c r="N31" s="49"/>
      <c r="O31" s="49"/>
      <c r="P31" s="48"/>
      <c r="Q31" s="50"/>
      <c r="R31" s="50"/>
      <c r="S31" s="50"/>
    </row>
    <row r="32" spans="1:19" ht="12.75" customHeight="1" x14ac:dyDescent="0.2">
      <c r="A32" s="48" t="s">
        <v>423</v>
      </c>
      <c r="B32" s="48">
        <f>'T5'!B32+('T5 Gallon'!G4-'T5'!G4)*'T5 Gallon'!F32+'T5 Gallon'!M1</f>
        <v>331.95933333333335</v>
      </c>
      <c r="C32" s="49">
        <f>E32+G32+H32</f>
        <v>196.12933333333331</v>
      </c>
      <c r="D32" s="48"/>
      <c r="E32" s="49">
        <f>'15W40'!E32</f>
        <v>96</v>
      </c>
      <c r="F32" s="48">
        <f>'15W40'!F32</f>
        <v>14</v>
      </c>
      <c r="G32" s="49">
        <f>F32*G4</f>
        <v>92.129333333333321</v>
      </c>
      <c r="H32" s="49">
        <v>8</v>
      </c>
      <c r="I32" s="55">
        <f t="shared" si="2"/>
        <v>135.83000000000004</v>
      </c>
      <c r="J32" s="56">
        <f t="shared" si="3"/>
        <v>0.59082337394741113</v>
      </c>
      <c r="K32" s="56">
        <f t="shared" si="0"/>
        <v>0.40917662605258887</v>
      </c>
      <c r="L32" s="48"/>
      <c r="M32" s="48"/>
      <c r="N32" s="49">
        <f>B32-'T5'!B32</f>
        <v>46.969333333333338</v>
      </c>
      <c r="O32" s="49">
        <f>C32-'T5'!C32</f>
        <v>36.96933333333331</v>
      </c>
      <c r="P32" s="48"/>
      <c r="Q32" s="50"/>
      <c r="R32" s="50"/>
      <c r="S32" s="50"/>
    </row>
    <row r="33" spans="1:19" ht="12.75" customHeight="1" x14ac:dyDescent="0.2">
      <c r="A33" s="48" t="s">
        <v>654</v>
      </c>
      <c r="B33" s="48">
        <f>'T5'!B33+('T5 Gallon'!G4-'T5'!G4)*'T5 Gallon'!F33+'T5 Gallon'!M1</f>
        <v>261.95933333333335</v>
      </c>
      <c r="C33" s="49">
        <f>E33+G33+H33</f>
        <v>127.55093333333332</v>
      </c>
      <c r="D33" s="48"/>
      <c r="E33" s="49">
        <f>'15W40'!E33</f>
        <v>27.421599999999998</v>
      </c>
      <c r="F33" s="48">
        <f>'15W40'!F33</f>
        <v>14</v>
      </c>
      <c r="G33" s="49">
        <f>F33*G4</f>
        <v>92.129333333333321</v>
      </c>
      <c r="H33" s="49">
        <v>8</v>
      </c>
      <c r="I33" s="55">
        <f t="shared" si="2"/>
        <v>134.40840000000003</v>
      </c>
      <c r="J33" s="56">
        <f t="shared" si="3"/>
        <v>0.48691119995724519</v>
      </c>
      <c r="K33" s="56">
        <f t="shared" si="0"/>
        <v>0.51308880004275481</v>
      </c>
      <c r="L33" s="48"/>
      <c r="M33" s="48"/>
      <c r="N33" s="49">
        <f>B33-'T5'!B33</f>
        <v>46.969333333333338</v>
      </c>
      <c r="O33" s="49">
        <f>C33-'T5'!C33</f>
        <v>36.969333333333324</v>
      </c>
      <c r="P33" s="48"/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8"/>
      <c r="M34" s="48"/>
      <c r="N34" s="49"/>
      <c r="O34" s="49"/>
      <c r="P34" s="48"/>
      <c r="Q34" s="50"/>
      <c r="R34" s="50"/>
      <c r="S34" s="50"/>
    </row>
    <row r="35" spans="1:19" ht="12.75" customHeight="1" x14ac:dyDescent="0.2">
      <c r="A35" s="48" t="s">
        <v>655</v>
      </c>
      <c r="B35" s="48">
        <f>'T5'!B35+('T5 Gallon'!G4-'T5'!G4)*'T5 Gallon'!F35+'T5 Gallon'!M2</f>
        <v>374.64733333333334</v>
      </c>
      <c r="C35" s="49">
        <f>E35+G35+H35</f>
        <v>232.66613333333333</v>
      </c>
      <c r="D35" s="49"/>
      <c r="E35" s="49">
        <f>'15W40'!E35</f>
        <v>53.56880000000001</v>
      </c>
      <c r="F35" s="48">
        <f>'15W40'!F35</f>
        <v>26</v>
      </c>
      <c r="G35" s="49">
        <f>F35*G4</f>
        <v>171.09733333333332</v>
      </c>
      <c r="H35" s="49">
        <v>8</v>
      </c>
      <c r="I35" s="55">
        <f t="shared" si="2"/>
        <v>141.9812</v>
      </c>
      <c r="J35" s="56">
        <f t="shared" si="3"/>
        <v>0.62102706367410421</v>
      </c>
      <c r="K35" s="56">
        <f t="shared" si="0"/>
        <v>0.37897293632589579</v>
      </c>
      <c r="L35" s="48"/>
      <c r="M35" s="48"/>
      <c r="N35" s="49">
        <f>B35-'T5'!B35</f>
        <v>83.657333333333327</v>
      </c>
      <c r="O35" s="49">
        <f>C35-'T5'!C35</f>
        <v>68.657333333333327</v>
      </c>
      <c r="P35" s="48"/>
      <c r="Q35" s="50"/>
      <c r="R35" s="50"/>
      <c r="S35" s="50"/>
    </row>
    <row r="36" spans="1:19" ht="12.75" customHeight="1" x14ac:dyDescent="0.2">
      <c r="A36" s="48" t="s">
        <v>1245</v>
      </c>
      <c r="B36" s="48">
        <f>'T5'!B36+('T5 Gallon'!G4-'T5'!G4)*'T5 Gallon'!F36+'T5 Gallon'!M3</f>
        <v>671.46066666666661</v>
      </c>
      <c r="C36" s="49">
        <f>E36+G36+H36</f>
        <v>489.51066666666662</v>
      </c>
      <c r="D36" s="49"/>
      <c r="E36" s="49">
        <f>'15W40'!E36</f>
        <v>178.8</v>
      </c>
      <c r="F36" s="48">
        <f>'15W40'!F36</f>
        <v>46</v>
      </c>
      <c r="G36" s="49">
        <f>F36*G4</f>
        <v>302.71066666666661</v>
      </c>
      <c r="H36" s="49">
        <v>8</v>
      </c>
      <c r="I36" s="55">
        <f t="shared" si="2"/>
        <v>181.95</v>
      </c>
      <c r="J36" s="56">
        <f t="shared" si="3"/>
        <v>0.72902359135456929</v>
      </c>
      <c r="K36" s="56">
        <f t="shared" si="0"/>
        <v>0.27097640864543071</v>
      </c>
      <c r="L36" s="48"/>
      <c r="M36" s="48"/>
      <c r="N36" s="49"/>
      <c r="O36" s="49">
        <f>C36-'T5'!C36</f>
        <v>121.4706666666666</v>
      </c>
      <c r="P36" s="48"/>
      <c r="Q36" s="50"/>
      <c r="R36" s="50"/>
      <c r="S36" s="50"/>
    </row>
    <row r="37" spans="1:19" ht="12.75" customHeight="1" x14ac:dyDescent="0.2">
      <c r="A37" s="48" t="s">
        <v>1249</v>
      </c>
      <c r="B37" s="48">
        <f>'T5'!B37+('T5 Gallon'!G4-'T5'!G4)*'T5 Gallon'!F37+'T5 Gallon'!M1</f>
        <v>311.95933333333335</v>
      </c>
      <c r="C37" s="49">
        <f>E37+G37+H37</f>
        <v>158.00213333333332</v>
      </c>
      <c r="D37" s="49"/>
      <c r="E37" s="49">
        <f>'15W40'!E37</f>
        <v>57.872799999999998</v>
      </c>
      <c r="F37" s="48">
        <f>'15W40'!F37</f>
        <v>14</v>
      </c>
      <c r="G37" s="49">
        <f>F37*G4</f>
        <v>92.129333333333321</v>
      </c>
      <c r="H37" s="49">
        <v>8</v>
      </c>
      <c r="I37" s="55">
        <f t="shared" si="2"/>
        <v>153.95720000000003</v>
      </c>
      <c r="J37" s="56">
        <f t="shared" si="3"/>
        <v>0.50648310997800994</v>
      </c>
      <c r="K37" s="56">
        <f t="shared" si="0"/>
        <v>0.49351689002199006</v>
      </c>
      <c r="L37" s="48"/>
      <c r="M37" s="48"/>
      <c r="N37" s="49"/>
      <c r="O37" s="49"/>
      <c r="P37" s="48"/>
      <c r="Q37" s="50"/>
      <c r="R37" s="50"/>
      <c r="S37" s="50"/>
    </row>
    <row r="38" spans="1:19" ht="12.75" customHeight="1" x14ac:dyDescent="0.2">
      <c r="A38" s="48" t="s">
        <v>1124</v>
      </c>
      <c r="B38" s="48">
        <f>'T5'!B38+('T5 Gallon'!G4-'T5'!G4)*'T5 Gallon'!F38+'T5 Gallon'!M1</f>
        <v>277.95933333333335</v>
      </c>
      <c r="C38" s="49">
        <f t="shared" ref="C38:C53" si="5">E38+G38+H38</f>
        <v>144.27013333333332</v>
      </c>
      <c r="D38" s="48"/>
      <c r="E38" s="49">
        <f>'15W40'!E38</f>
        <v>44.140799999999999</v>
      </c>
      <c r="F38" s="48">
        <f>'15W40'!F38</f>
        <v>14</v>
      </c>
      <c r="G38" s="49">
        <f>F38*G4</f>
        <v>92.129333333333321</v>
      </c>
      <c r="H38" s="49">
        <v>8</v>
      </c>
      <c r="I38" s="55">
        <f t="shared" si="2"/>
        <v>133.68920000000003</v>
      </c>
      <c r="J38" s="56">
        <f t="shared" si="3"/>
        <v>0.51903323987441796</v>
      </c>
      <c r="K38" s="56">
        <f t="shared" si="0"/>
        <v>0.48096676012558204</v>
      </c>
      <c r="L38" s="48"/>
      <c r="M38" s="48"/>
      <c r="N38" s="49">
        <f>B38-'T5'!B38</f>
        <v>46.969333333333338</v>
      </c>
      <c r="O38" s="49">
        <f>C38-'T5'!C38</f>
        <v>36.969333333333324</v>
      </c>
      <c r="P38" s="48"/>
      <c r="Q38" s="50"/>
      <c r="R38" s="50"/>
      <c r="S38" s="50"/>
    </row>
    <row r="39" spans="1:19" ht="12.75" customHeight="1" x14ac:dyDescent="0.2">
      <c r="A39" s="48" t="s">
        <v>425</v>
      </c>
      <c r="B39" s="48">
        <f>'T5'!B39+('T5 Gallon'!G4-'T5'!G4)*'T5 Gallon'!F39+'T5 Gallon'!M1</f>
        <v>337.95933333333335</v>
      </c>
      <c r="C39" s="49">
        <f t="shared" si="5"/>
        <v>169.09933333333333</v>
      </c>
      <c r="D39" s="48"/>
      <c r="E39" s="49">
        <f>'15W40'!E39</f>
        <v>68.97</v>
      </c>
      <c r="F39" s="48">
        <f>'15W40'!F39</f>
        <v>14</v>
      </c>
      <c r="G39" s="49">
        <f>F39*G4</f>
        <v>92.129333333333321</v>
      </c>
      <c r="H39" s="49">
        <v>8</v>
      </c>
      <c r="I39" s="55">
        <f t="shared" si="2"/>
        <v>168.86</v>
      </c>
      <c r="J39" s="56">
        <f t="shared" si="3"/>
        <v>0.50035408599456732</v>
      </c>
      <c r="K39" s="56">
        <f t="shared" si="0"/>
        <v>0.49964591400543268</v>
      </c>
      <c r="L39" s="48"/>
      <c r="M39" s="48"/>
      <c r="N39" s="49"/>
      <c r="O39" s="49">
        <f>C39-'T5'!C39</f>
        <v>36.969333333333338</v>
      </c>
      <c r="P39" s="48"/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8"/>
      <c r="M40" s="48"/>
      <c r="N40" s="49"/>
      <c r="O40" s="49"/>
      <c r="P40" s="48"/>
      <c r="Q40" s="50"/>
      <c r="R40" s="50"/>
      <c r="S40" s="50"/>
    </row>
    <row r="41" spans="1:19" ht="12.75" customHeight="1" x14ac:dyDescent="0.2">
      <c r="A41" s="48" t="s">
        <v>907</v>
      </c>
      <c r="B41" s="48">
        <f>'T5'!B41+('T5 Gallon'!G4-'T5'!G4)*'T5 Gallon'!F41+'T5 Gallon'!M2</f>
        <v>504.33533333333332</v>
      </c>
      <c r="C41" s="49">
        <f t="shared" si="5"/>
        <v>344.6701333333333</v>
      </c>
      <c r="D41" s="48"/>
      <c r="E41" s="49">
        <f>'15W40'!E41</f>
        <v>86.604800000000012</v>
      </c>
      <c r="F41" s="48">
        <f>'15W40'!F41</f>
        <v>38</v>
      </c>
      <c r="G41" s="49">
        <f>F41*G4</f>
        <v>250.06533333333329</v>
      </c>
      <c r="H41" s="49">
        <v>8</v>
      </c>
      <c r="I41" s="55">
        <f t="shared" si="2"/>
        <v>159.66520000000003</v>
      </c>
      <c r="J41" s="56">
        <f t="shared" si="3"/>
        <v>0.68341460641927387</v>
      </c>
      <c r="K41" s="56">
        <f t="shared" si="0"/>
        <v>0.31658539358072613</v>
      </c>
      <c r="L41" s="48"/>
      <c r="M41" s="48"/>
      <c r="N41" s="49">
        <f>B41-'T5'!B41</f>
        <v>115.34533333333331</v>
      </c>
      <c r="O41" s="49">
        <f>C41-'T5'!C41</f>
        <v>100.34533333333329</v>
      </c>
      <c r="P41" s="48"/>
      <c r="Q41" s="50"/>
      <c r="R41" s="50"/>
      <c r="S41" s="50"/>
    </row>
    <row r="42" spans="1:19" ht="12.75" customHeight="1" x14ac:dyDescent="0.2">
      <c r="A42" s="48" t="s">
        <v>911</v>
      </c>
      <c r="B42" s="48">
        <f>'T5'!B42+('T5 Gallon'!G4-'T5'!G4)*'T5 Gallon'!F42+'T5 Gallon'!M2</f>
        <v>575.33533333333332</v>
      </c>
      <c r="C42" s="49">
        <f t="shared" si="5"/>
        <v>431.56533333333329</v>
      </c>
      <c r="D42" s="48"/>
      <c r="E42" s="49">
        <f>'15W40'!E42</f>
        <v>173.5</v>
      </c>
      <c r="F42" s="48">
        <f>'15W40'!F42</f>
        <v>38</v>
      </c>
      <c r="G42" s="49">
        <f>F42*G4</f>
        <v>250.06533333333329</v>
      </c>
      <c r="H42" s="49">
        <v>8</v>
      </c>
      <c r="I42" s="55">
        <f t="shared" si="2"/>
        <v>143.77000000000004</v>
      </c>
      <c r="J42" s="56">
        <f t="shared" si="3"/>
        <v>0.75011094978812354</v>
      </c>
      <c r="K42" s="56">
        <f t="shared" si="0"/>
        <v>0.24988905021187646</v>
      </c>
      <c r="L42" s="48"/>
      <c r="M42" s="48"/>
      <c r="N42" s="49">
        <f>B42-'T5'!B42</f>
        <v>115.34533333333331</v>
      </c>
      <c r="O42" s="49">
        <f>C42-'T5'!C42</f>
        <v>100.34533333333326</v>
      </c>
      <c r="P42" s="48"/>
      <c r="Q42" s="50"/>
      <c r="R42" s="50"/>
      <c r="S42" s="50"/>
    </row>
    <row r="43" spans="1:19" ht="12.75" customHeight="1" x14ac:dyDescent="0.2">
      <c r="A43" s="48" t="s">
        <v>909</v>
      </c>
      <c r="B43" s="48">
        <f>'T5'!B43+('T5 Gallon'!G4-'T5'!G4)*'T5 Gallon'!F43+'T5 Gallon'!M3</f>
        <v>637.22666666666669</v>
      </c>
      <c r="C43" s="49">
        <f t="shared" si="5"/>
        <v>456.54146666666662</v>
      </c>
      <c r="D43" s="48"/>
      <c r="E43" s="49">
        <f>'15W40'!E43</f>
        <v>86.604800000000012</v>
      </c>
      <c r="F43" s="48">
        <f>'15W40'!F43</f>
        <v>55</v>
      </c>
      <c r="G43" s="49">
        <f>F43*G4</f>
        <v>361.93666666666661</v>
      </c>
      <c r="H43" s="49">
        <v>8</v>
      </c>
      <c r="I43" s="55">
        <f t="shared" si="2"/>
        <v>180.68520000000007</v>
      </c>
      <c r="J43" s="56">
        <f t="shared" si="3"/>
        <v>0.71645066119852685</v>
      </c>
      <c r="K43" s="56">
        <f t="shared" si="0"/>
        <v>0.28354933880147315</v>
      </c>
      <c r="L43" s="48"/>
      <c r="M43" s="48"/>
      <c r="N43" s="49"/>
      <c r="O43" s="49">
        <f>C43-'T5'!C43</f>
        <v>145.23666666666662</v>
      </c>
      <c r="P43" s="48"/>
      <c r="Q43" s="50"/>
      <c r="R43" s="50"/>
      <c r="S43" s="50"/>
    </row>
    <row r="44" spans="1:19" ht="12.75" customHeight="1" x14ac:dyDescent="0.2">
      <c r="A44" s="48" t="s">
        <v>910</v>
      </c>
      <c r="B44" s="48">
        <f>'T5'!B44+('T5 Gallon'!G4-'T5'!G4)*'T5 Gallon'!F44+'T5 Gallon'!M3</f>
        <v>710.22666666666669</v>
      </c>
      <c r="C44" s="49">
        <f t="shared" si="5"/>
        <v>543.43666666666661</v>
      </c>
      <c r="D44" s="48"/>
      <c r="E44" s="49">
        <f>'15W40'!E44</f>
        <v>173.5</v>
      </c>
      <c r="F44" s="48">
        <f>'15W40'!F44</f>
        <v>55</v>
      </c>
      <c r="G44" s="49">
        <f>F44*G4</f>
        <v>361.93666666666661</v>
      </c>
      <c r="H44" s="49">
        <v>8</v>
      </c>
      <c r="I44" s="55">
        <f t="shared" si="2"/>
        <v>166.79000000000008</v>
      </c>
      <c r="J44" s="56">
        <f t="shared" si="3"/>
        <v>0.76515947960275588</v>
      </c>
      <c r="K44" s="56">
        <f t="shared" si="0"/>
        <v>0.23484052039724412</v>
      </c>
      <c r="L44" s="48"/>
      <c r="M44" s="48"/>
      <c r="N44" s="49"/>
      <c r="O44" s="49">
        <f>C44-'T5'!C44</f>
        <v>145.23666666666662</v>
      </c>
      <c r="P44" s="48"/>
      <c r="Q44" s="50"/>
      <c r="R44" s="50"/>
      <c r="S44" s="50"/>
    </row>
    <row r="45" spans="1:19" ht="12.75" customHeight="1" x14ac:dyDescent="0.2">
      <c r="A45" s="48" t="s">
        <v>656</v>
      </c>
      <c r="B45" s="48">
        <f>'T5'!B45+('T5 Gallon'!G4-'T5'!G4)*'T5 Gallon'!F45+'T5 Gallon'!M2</f>
        <v>458.33533333333332</v>
      </c>
      <c r="C45" s="49">
        <f t="shared" si="5"/>
        <v>308.4493333333333</v>
      </c>
      <c r="D45" s="48"/>
      <c r="E45" s="49">
        <f>'15W40'!E45</f>
        <v>50.384</v>
      </c>
      <c r="F45" s="48">
        <f>'15W40'!F45</f>
        <v>38</v>
      </c>
      <c r="G45" s="49">
        <f>F45*G4</f>
        <v>250.06533333333329</v>
      </c>
      <c r="H45" s="49">
        <v>8</v>
      </c>
      <c r="I45" s="55">
        <f t="shared" si="2"/>
        <v>149.88600000000002</v>
      </c>
      <c r="J45" s="56">
        <f t="shared" si="3"/>
        <v>0.67297742700759122</v>
      </c>
      <c r="K45" s="56">
        <f t="shared" si="0"/>
        <v>0.32702257299240878</v>
      </c>
      <c r="L45" s="48"/>
      <c r="M45" s="48"/>
      <c r="N45" s="49">
        <f>B45-'T5'!B45</f>
        <v>115.34533333333331</v>
      </c>
      <c r="O45" s="49">
        <f>C45-'T5'!C45</f>
        <v>100.34533333333331</v>
      </c>
      <c r="P45" s="48"/>
      <c r="Q45" s="50"/>
      <c r="R45" s="50"/>
      <c r="S45" s="50"/>
    </row>
    <row r="46" spans="1:19" ht="12.75" customHeight="1" x14ac:dyDescent="0.2">
      <c r="A46" s="48" t="s">
        <v>657</v>
      </c>
      <c r="B46" s="48">
        <f>'T5'!B46+('T5 Gallon'!G4-'T5'!G4)*'T5 Gallon'!F46+'T5 Gallon'!M4</f>
        <v>575.30466666666666</v>
      </c>
      <c r="C46" s="49">
        <f t="shared" si="5"/>
        <v>400.57866666666666</v>
      </c>
      <c r="D46" s="48"/>
      <c r="E46" s="49">
        <f>'15W40'!E46</f>
        <v>50.384</v>
      </c>
      <c r="F46" s="48">
        <f>'15W40'!F46</f>
        <v>52</v>
      </c>
      <c r="G46" s="49">
        <f>F46*G4</f>
        <v>342.19466666666665</v>
      </c>
      <c r="H46" s="49">
        <v>8</v>
      </c>
      <c r="I46" s="55">
        <f t="shared" si="2"/>
        <v>174.726</v>
      </c>
      <c r="J46" s="56">
        <f t="shared" si="3"/>
        <v>0.69628961813856305</v>
      </c>
      <c r="K46" s="56">
        <f t="shared" si="0"/>
        <v>0.30371038186143695</v>
      </c>
      <c r="L46" s="48"/>
      <c r="M46" s="48"/>
      <c r="N46" s="49">
        <f>B46-'T5'!B46</f>
        <v>162.31466666666665</v>
      </c>
      <c r="O46" s="49">
        <f>C46-'T5'!C46</f>
        <v>137.31466666666665</v>
      </c>
      <c r="P46" s="48"/>
      <c r="Q46" s="50"/>
      <c r="R46" s="50"/>
      <c r="S46" s="50"/>
    </row>
    <row r="47" spans="1:19" x14ac:dyDescent="0.2">
      <c r="A47" s="48" t="s">
        <v>658</v>
      </c>
      <c r="B47" s="48">
        <f>'T5'!B47+('T5 Gallon'!G4-'T5'!G4)*'T5 Gallon'!F47+'T5 Gallon'!M2</f>
        <v>567.33533333333332</v>
      </c>
      <c r="C47" s="49">
        <f t="shared" si="5"/>
        <v>419.45533333333327</v>
      </c>
      <c r="D47" s="48"/>
      <c r="E47" s="49">
        <f>'15W40'!E47</f>
        <v>161.38999999999999</v>
      </c>
      <c r="F47" s="48">
        <f>'15W40'!F47</f>
        <v>38</v>
      </c>
      <c r="G47" s="49">
        <f>F47*G4</f>
        <v>250.06533333333329</v>
      </c>
      <c r="H47" s="49">
        <v>8</v>
      </c>
      <c r="I47" s="55">
        <f t="shared" si="2"/>
        <v>147.88000000000005</v>
      </c>
      <c r="J47" s="56">
        <f t="shared" si="3"/>
        <v>0.73934286953159967</v>
      </c>
      <c r="K47" s="56">
        <f t="shared" si="0"/>
        <v>0.26065713046840033</v>
      </c>
      <c r="L47" s="48"/>
      <c r="M47" s="48"/>
      <c r="N47" s="49">
        <f>B47-'T5'!B47</f>
        <v>115.34533333333331</v>
      </c>
      <c r="O47" s="49">
        <f>C47-'T5'!C47</f>
        <v>100.34533333333326</v>
      </c>
      <c r="P47" s="48"/>
      <c r="Q47" s="50"/>
      <c r="R47" s="50"/>
      <c r="S47" s="50"/>
    </row>
    <row r="48" spans="1:19" x14ac:dyDescent="0.2">
      <c r="A48" s="48" t="s">
        <v>659</v>
      </c>
      <c r="B48" s="48">
        <f>'T5'!B48+('T5 Gallon'!G4-'T5'!G4)*'T5 Gallon'!F48+'T5 Gallon'!M4</f>
        <v>687.30466666666666</v>
      </c>
      <c r="C48" s="49">
        <f t="shared" si="5"/>
        <v>511.58466666666664</v>
      </c>
      <c r="D48" s="48"/>
      <c r="E48" s="49">
        <f>'15W40'!E48</f>
        <v>161.38999999999999</v>
      </c>
      <c r="F48" s="48">
        <f>'15W40'!F48</f>
        <v>52</v>
      </c>
      <c r="G48" s="49">
        <f>F48*G4</f>
        <v>342.19466666666665</v>
      </c>
      <c r="H48" s="49">
        <v>8</v>
      </c>
      <c r="I48" s="55">
        <f t="shared" si="2"/>
        <v>175.72000000000003</v>
      </c>
      <c r="J48" s="56">
        <f t="shared" si="3"/>
        <v>0.74433463277323886</v>
      </c>
      <c r="K48" s="56">
        <f t="shared" si="0"/>
        <v>0.25566536722676114</v>
      </c>
      <c r="L48" s="48"/>
      <c r="M48" s="48"/>
      <c r="N48" s="49">
        <f>B48-'T5'!B48</f>
        <v>162.31466666666665</v>
      </c>
      <c r="O48" s="49">
        <f>C48-'T5'!C48</f>
        <v>137.31466666666665</v>
      </c>
      <c r="P48" s="48"/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8"/>
      <c r="M49" s="48"/>
      <c r="N49" s="49"/>
      <c r="O49" s="49"/>
      <c r="P49" s="48"/>
      <c r="Q49" s="50"/>
      <c r="R49" s="50"/>
      <c r="S49" s="50"/>
    </row>
    <row r="50" spans="1:19" x14ac:dyDescent="0.2">
      <c r="A50" s="48" t="s">
        <v>660</v>
      </c>
      <c r="B50" s="48">
        <f>'T5'!B50+('T5 Gallon'!G4-'T5'!G4)*'T5 Gallon'!F50+'T5 Gallon'!M2</f>
        <v>544.64733333333334</v>
      </c>
      <c r="C50" s="49">
        <f t="shared" si="5"/>
        <v>401.77733333333333</v>
      </c>
      <c r="D50" s="48"/>
      <c r="E50" s="49">
        <f>'15W40'!E50</f>
        <v>222.68</v>
      </c>
      <c r="F50" s="48">
        <f>'15W40'!F50</f>
        <v>26</v>
      </c>
      <c r="G50" s="49">
        <f>F50*G4</f>
        <v>171.09733333333332</v>
      </c>
      <c r="H50" s="49">
        <v>8</v>
      </c>
      <c r="I50" s="55">
        <f t="shared" si="2"/>
        <v>142.87</v>
      </c>
      <c r="J50" s="56">
        <f t="shared" si="3"/>
        <v>0.73768346734461809</v>
      </c>
      <c r="K50" s="56">
        <f t="shared" si="0"/>
        <v>0.26231653265538191</v>
      </c>
      <c r="L50" s="48"/>
      <c r="M50" s="48"/>
      <c r="N50" s="49">
        <f>B50-'T5'!B50</f>
        <v>83.657333333333327</v>
      </c>
      <c r="O50" s="49">
        <f>C50-'T5'!C50</f>
        <v>68.657333333333327</v>
      </c>
      <c r="P50" s="48"/>
      <c r="Q50" s="50"/>
      <c r="R50" s="50"/>
      <c r="S50" s="50"/>
    </row>
    <row r="51" spans="1:19" x14ac:dyDescent="0.2">
      <c r="A51" s="48" t="s">
        <v>661</v>
      </c>
      <c r="B51" s="48">
        <f>'T5'!B51+('T5 Gallon'!G4-'T5'!G4)*'T5 Gallon'!F51+'T5 Gallon'!M2</f>
        <v>465.64733333333334</v>
      </c>
      <c r="C51" s="49">
        <f t="shared" si="5"/>
        <v>324.27333333333331</v>
      </c>
      <c r="D51" s="48"/>
      <c r="E51" s="49">
        <f>'15W40'!E51</f>
        <v>145.17599999999999</v>
      </c>
      <c r="F51" s="48">
        <f>'15W40'!F51</f>
        <v>26</v>
      </c>
      <c r="G51" s="49">
        <f>F51*G4</f>
        <v>171.09733333333332</v>
      </c>
      <c r="H51" s="49">
        <v>8</v>
      </c>
      <c r="I51" s="55">
        <f t="shared" si="2"/>
        <v>141.37400000000002</v>
      </c>
      <c r="J51" s="56">
        <f t="shared" si="3"/>
        <v>0.69639254886745472</v>
      </c>
      <c r="K51" s="56">
        <f t="shared" si="0"/>
        <v>0.30360745113254528</v>
      </c>
      <c r="L51" s="48"/>
      <c r="M51" s="48"/>
      <c r="N51" s="49">
        <f>B51-'T5'!B51</f>
        <v>83.657333333333327</v>
      </c>
      <c r="O51" s="49">
        <f>C51-'T5'!C51</f>
        <v>68.657333333333327</v>
      </c>
      <c r="P51" s="48"/>
      <c r="Q51" s="50"/>
      <c r="R51" s="50"/>
      <c r="S51" s="50"/>
    </row>
    <row r="52" spans="1:19" x14ac:dyDescent="0.2">
      <c r="A52" s="48" t="s">
        <v>662</v>
      </c>
      <c r="B52" s="48">
        <f>'T5'!B52+('T5 Gallon'!G4-'T5'!G4)*'T5 Gallon'!F52+'T5 Gallon'!M2</f>
        <v>575.33533333333332</v>
      </c>
      <c r="C52" s="49">
        <f t="shared" si="5"/>
        <v>422.75533333333328</v>
      </c>
      <c r="D52" s="48"/>
      <c r="E52" s="49">
        <f>'15W40'!E52</f>
        <v>164.69</v>
      </c>
      <c r="F52" s="48">
        <f>'15W40'!F52</f>
        <v>38</v>
      </c>
      <c r="G52" s="49">
        <f>F52*G4</f>
        <v>250.06533333333329</v>
      </c>
      <c r="H52" s="49">
        <v>8</v>
      </c>
      <c r="I52" s="55">
        <f t="shared" si="2"/>
        <v>152.58000000000004</v>
      </c>
      <c r="J52" s="56">
        <f t="shared" si="3"/>
        <v>0.7347981409102865</v>
      </c>
      <c r="K52" s="56">
        <f t="shared" si="0"/>
        <v>0.2652018590897135</v>
      </c>
      <c r="L52" s="48"/>
      <c r="M52" s="48"/>
      <c r="N52" s="49">
        <f>B52-'T5'!B52</f>
        <v>115.34533333333331</v>
      </c>
      <c r="O52" s="49">
        <f>C52-'T5'!C52</f>
        <v>100.34533333333331</v>
      </c>
      <c r="P52" s="48"/>
      <c r="Q52" s="50"/>
      <c r="R52" s="50"/>
      <c r="S52" s="50"/>
    </row>
    <row r="53" spans="1:19" x14ac:dyDescent="0.2">
      <c r="A53" s="48" t="s">
        <v>663</v>
      </c>
      <c r="B53" s="48">
        <f>'T5'!B53+('T5 Gallon'!G4-'T5'!G4)*'T5 Gallon'!F53+'T5 Gallon'!M2</f>
        <v>497.33533333333332</v>
      </c>
      <c r="C53" s="49">
        <f t="shared" si="5"/>
        <v>346.86853333333329</v>
      </c>
      <c r="D53" s="48"/>
      <c r="E53" s="49">
        <f>'15W40'!E53</f>
        <v>88.80319999999999</v>
      </c>
      <c r="F53" s="48">
        <f>'15W40'!F53</f>
        <v>38</v>
      </c>
      <c r="G53" s="49">
        <f>F53*G4</f>
        <v>250.06533333333329</v>
      </c>
      <c r="H53" s="49">
        <v>8</v>
      </c>
      <c r="I53" s="55">
        <f t="shared" si="2"/>
        <v>150.46680000000003</v>
      </c>
      <c r="J53" s="56">
        <f t="shared" si="3"/>
        <v>0.69745403168619957</v>
      </c>
      <c r="K53" s="56">
        <f t="shared" si="0"/>
        <v>0.30254596831380043</v>
      </c>
      <c r="L53" s="48"/>
      <c r="M53" s="48"/>
      <c r="N53" s="49">
        <f>B53-'T5'!B53</f>
        <v>115.34533333333331</v>
      </c>
      <c r="O53" s="49">
        <f>C53-'T5'!C53</f>
        <v>100.34533333333331</v>
      </c>
      <c r="P53" s="48"/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8"/>
      <c r="M54" s="48"/>
      <c r="N54" s="49"/>
      <c r="O54" s="49"/>
      <c r="P54" s="48"/>
      <c r="Q54" s="50"/>
      <c r="R54" s="50"/>
      <c r="S54" s="50"/>
    </row>
    <row r="55" spans="1:19" x14ac:dyDescent="0.2">
      <c r="A55" s="48" t="s">
        <v>665</v>
      </c>
      <c r="B55" s="48">
        <f>'T5'!B55+('T5 Gallon'!G4-'T5'!G4)*'T5 Gallon'!F55+'T5 Gallon'!M3</f>
        <v>539.10133333333329</v>
      </c>
      <c r="C55" s="49">
        <f t="shared" ref="C55:C60" si="6">E55+G55+H55</f>
        <v>367.30133333333328</v>
      </c>
      <c r="D55" s="48"/>
      <c r="E55" s="49">
        <f>'15W40'!E55</f>
        <v>50.010000000000005</v>
      </c>
      <c r="F55" s="48">
        <f>'15W40'!F55</f>
        <v>47</v>
      </c>
      <c r="G55" s="49">
        <f>F55*G4</f>
        <v>309.29133333333328</v>
      </c>
      <c r="H55" s="49">
        <v>8</v>
      </c>
      <c r="I55" s="55">
        <f t="shared" si="2"/>
        <v>171.8</v>
      </c>
      <c r="J55" s="56">
        <f t="shared" si="3"/>
        <v>0.68132150789214641</v>
      </c>
      <c r="K55" s="56">
        <f t="shared" si="0"/>
        <v>0.31867849210785359</v>
      </c>
      <c r="L55" s="48"/>
      <c r="M55" s="48"/>
      <c r="N55" s="49">
        <f>B55-'T5'!B55</f>
        <v>144.11133333333328</v>
      </c>
      <c r="O55" s="49">
        <f>C55-'T5'!C55</f>
        <v>124.11133333333328</v>
      </c>
      <c r="P55" s="48"/>
      <c r="Q55" s="50"/>
      <c r="R55" s="50"/>
      <c r="S55" s="50"/>
    </row>
    <row r="56" spans="1:19" x14ac:dyDescent="0.2">
      <c r="A56" s="48" t="s">
        <v>666</v>
      </c>
      <c r="B56" s="48">
        <f>'T5'!B56+('T5 Gallon'!G4-'T5'!G4)*'T5 Gallon'!F56+'T5 Gallon'!M3</f>
        <v>517.10133333333329</v>
      </c>
      <c r="C56" s="49">
        <f t="shared" si="6"/>
        <v>358.73293333333328</v>
      </c>
      <c r="D56" s="48"/>
      <c r="E56" s="49">
        <f>'15W40'!E56</f>
        <v>41.441600000000001</v>
      </c>
      <c r="F56" s="48">
        <f>'15W40'!F56</f>
        <v>47</v>
      </c>
      <c r="G56" s="49">
        <f>F56*G4</f>
        <v>309.29133333333328</v>
      </c>
      <c r="H56" s="49">
        <v>8</v>
      </c>
      <c r="I56" s="55">
        <f t="shared" si="2"/>
        <v>158.36840000000001</v>
      </c>
      <c r="J56" s="56">
        <f t="shared" si="3"/>
        <v>0.69373817124174242</v>
      </c>
      <c r="K56" s="56">
        <f t="shared" si="0"/>
        <v>0.30626182875825758</v>
      </c>
      <c r="L56" s="48"/>
      <c r="M56" s="48"/>
      <c r="N56" s="49">
        <f>B56-'T5'!B56</f>
        <v>144.11133333333328</v>
      </c>
      <c r="O56" s="49">
        <f>C56-'T5'!C56</f>
        <v>124.11133333333328</v>
      </c>
      <c r="P56" s="48"/>
      <c r="Q56" s="50"/>
      <c r="R56" s="50"/>
      <c r="S56" s="50"/>
    </row>
    <row r="57" spans="1:19" x14ac:dyDescent="0.2">
      <c r="A57" s="48" t="s">
        <v>667</v>
      </c>
      <c r="B57" s="48">
        <f>'T5'!B57+('T5 Gallon'!G4-'T5'!G4)*'T5 Gallon'!F57+'T5 Gallon'!M2</f>
        <v>388.64733333333334</v>
      </c>
      <c r="C57" s="49">
        <f t="shared" si="6"/>
        <v>226.64733333333334</v>
      </c>
      <c r="D57" s="48"/>
      <c r="E57" s="49">
        <f>'15W40'!E57</f>
        <v>47.55</v>
      </c>
      <c r="F57" s="48">
        <f>'15W40'!F57</f>
        <v>26</v>
      </c>
      <c r="G57" s="49">
        <f>F57*G4</f>
        <v>171.09733333333332</v>
      </c>
      <c r="H57" s="49">
        <v>8</v>
      </c>
      <c r="I57" s="55">
        <f t="shared" si="2"/>
        <v>162</v>
      </c>
      <c r="J57" s="56">
        <f t="shared" si="3"/>
        <v>0.5831696602403893</v>
      </c>
      <c r="K57" s="56">
        <f t="shared" si="0"/>
        <v>0.4168303397596107</v>
      </c>
      <c r="L57" s="48"/>
      <c r="M57" s="48"/>
      <c r="N57" s="49">
        <f>B57-'T5'!B57</f>
        <v>83.657333333333327</v>
      </c>
      <c r="O57" s="49">
        <f>C57-'T5'!C57</f>
        <v>68.657333333333327</v>
      </c>
      <c r="P57" s="48"/>
      <c r="Q57" s="50"/>
      <c r="R57" s="50"/>
      <c r="S57" s="50"/>
    </row>
    <row r="58" spans="1:19" x14ac:dyDescent="0.2">
      <c r="A58" s="48" t="s">
        <v>668</v>
      </c>
      <c r="B58" s="48">
        <f>'T5'!B58+('T5 Gallon'!G4-'T5'!G4)*'T5 Gallon'!F58+'T5 Gallon'!M2</f>
        <v>350.64733333333334</v>
      </c>
      <c r="C58" s="49">
        <f t="shared" si="6"/>
        <v>212.57333333333332</v>
      </c>
      <c r="D58" s="48"/>
      <c r="E58" s="49">
        <f>'15W40'!E58</f>
        <v>33.475999999999999</v>
      </c>
      <c r="F58" s="48">
        <f>'15W40'!F58</f>
        <v>26</v>
      </c>
      <c r="G58" s="49">
        <f>F58*G4</f>
        <v>171.09733333333332</v>
      </c>
      <c r="H58" s="49">
        <v>8</v>
      </c>
      <c r="I58" s="55">
        <f t="shared" si="2"/>
        <v>138.07400000000001</v>
      </c>
      <c r="J58" s="56">
        <f t="shared" si="3"/>
        <v>0.60623114202113804</v>
      </c>
      <c r="K58" s="56">
        <f t="shared" si="0"/>
        <v>0.39376885797886196</v>
      </c>
      <c r="L58" s="48"/>
      <c r="M58" s="48"/>
      <c r="N58" s="49">
        <f>B58-'T5'!B58</f>
        <v>83.657333333333327</v>
      </c>
      <c r="O58" s="49">
        <f>C58-'T5'!C58</f>
        <v>68.657333333333327</v>
      </c>
      <c r="P58" s="48"/>
      <c r="Q58" s="50"/>
      <c r="R58" s="50"/>
      <c r="S58" s="50"/>
    </row>
    <row r="59" spans="1:19" x14ac:dyDescent="0.2">
      <c r="A59" s="48" t="s">
        <v>669</v>
      </c>
      <c r="B59" s="48">
        <f>'T5'!B59+('T5 Gallon'!G4-'T5'!G4)*'T5 Gallon'!F59+'T5 Gallon'!M1</f>
        <v>318.36599999999999</v>
      </c>
      <c r="C59" s="49">
        <f t="shared" si="6"/>
        <v>165.93599999999998</v>
      </c>
      <c r="D59" s="48"/>
      <c r="E59" s="49">
        <f>'15W40'!E59</f>
        <v>0</v>
      </c>
      <c r="F59" s="48">
        <f>'15W40'!F59</f>
        <v>24</v>
      </c>
      <c r="G59" s="49">
        <f>F59*G4</f>
        <v>157.93599999999998</v>
      </c>
      <c r="H59" s="49">
        <v>8</v>
      </c>
      <c r="I59" s="55">
        <f t="shared" si="2"/>
        <v>152.43</v>
      </c>
      <c r="J59" s="56">
        <f t="shared" si="3"/>
        <v>0.52121143589453645</v>
      </c>
      <c r="K59" s="56">
        <f t="shared" si="0"/>
        <v>0.47878856410546355</v>
      </c>
      <c r="L59" s="48"/>
      <c r="M59" s="48"/>
      <c r="N59" s="49">
        <f>B59-'T5'!B59</f>
        <v>73.375999999999976</v>
      </c>
      <c r="O59" s="49">
        <f>C59-'T5'!C59</f>
        <v>63.375999999999976</v>
      </c>
      <c r="P59" s="48"/>
      <c r="Q59" s="50"/>
      <c r="R59" s="50"/>
      <c r="S59" s="50"/>
    </row>
    <row r="60" spans="1:19" x14ac:dyDescent="0.2">
      <c r="A60" s="48" t="s">
        <v>691</v>
      </c>
      <c r="B60" s="48">
        <f>'T5'!B60+('T5 Gallon'!G4-'T5'!G4)*'T5 Gallon'!F60+'T5 Gallon'!M1</f>
        <v>289.31866666666667</v>
      </c>
      <c r="C60" s="49">
        <f t="shared" si="6"/>
        <v>166.78866666666667</v>
      </c>
      <c r="D60" s="48"/>
      <c r="E60" s="49">
        <f>'15W40'!E60</f>
        <v>73.240000000000009</v>
      </c>
      <c r="F60" s="48">
        <f>'15W40'!F60</f>
        <v>13</v>
      </c>
      <c r="G60" s="49">
        <f>F60*G4</f>
        <v>85.548666666666662</v>
      </c>
      <c r="H60" s="49">
        <v>8</v>
      </c>
      <c r="I60" s="55">
        <f t="shared" si="2"/>
        <v>122.53</v>
      </c>
      <c r="J60" s="56">
        <f t="shared" si="3"/>
        <v>0.57648774822686866</v>
      </c>
      <c r="K60" s="56">
        <f t="shared" si="0"/>
        <v>0.42351225177313134</v>
      </c>
      <c r="L60" s="48"/>
      <c r="M60" s="48"/>
      <c r="N60" s="49">
        <f>B60-'T5'!B60</f>
        <v>44.328666666666663</v>
      </c>
      <c r="O60" s="49">
        <f>C60-'T5'!C60</f>
        <v>34.328666666666663</v>
      </c>
      <c r="P60" s="48"/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8"/>
      <c r="M61" s="48"/>
      <c r="N61" s="49"/>
      <c r="O61" s="49"/>
      <c r="P61" s="48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8"/>
      <c r="M62" s="48"/>
      <c r="N62" s="49"/>
      <c r="O62" s="49"/>
      <c r="P62" s="48"/>
      <c r="Q62" s="50"/>
      <c r="R62" s="50"/>
      <c r="S62" s="50"/>
    </row>
    <row r="63" spans="1:19" x14ac:dyDescent="0.2">
      <c r="A63" s="48" t="s">
        <v>673</v>
      </c>
      <c r="B63" s="48">
        <f>'T5'!B63+('T5 Gallon'!G4-'T5'!G4)*'T5 Gallon'!F63+'T5 Gallon'!M2</f>
        <v>355.64733333333334</v>
      </c>
      <c r="C63" s="49">
        <f>E63+G63+H63</f>
        <v>217.12373333333332</v>
      </c>
      <c r="D63" s="48"/>
      <c r="E63" s="49">
        <f>'15W40'!E63</f>
        <v>38.026400000000002</v>
      </c>
      <c r="F63" s="48">
        <f>'15W40'!F63</f>
        <v>26</v>
      </c>
      <c r="G63" s="49">
        <f>F63*G4</f>
        <v>171.09733333333332</v>
      </c>
      <c r="H63" s="49">
        <v>8</v>
      </c>
      <c r="I63" s="55">
        <f t="shared" si="2"/>
        <v>138.52360000000002</v>
      </c>
      <c r="J63" s="56">
        <f t="shared" si="3"/>
        <v>0.6105029139353404</v>
      </c>
      <c r="K63" s="56">
        <f t="shared" si="0"/>
        <v>0.3894970860646596</v>
      </c>
      <c r="L63" s="48"/>
      <c r="M63" s="48"/>
      <c r="N63" s="49">
        <f>B63-'T5'!B63</f>
        <v>83.657333333333327</v>
      </c>
      <c r="O63" s="49">
        <f>C63-'T5'!C63</f>
        <v>68.657333333333327</v>
      </c>
      <c r="P63" s="48"/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8"/>
      <c r="M64" s="48"/>
      <c r="N64" s="49"/>
      <c r="O64" s="49"/>
      <c r="P64" s="48"/>
      <c r="Q64" s="50"/>
      <c r="R64" s="50"/>
      <c r="S64" s="50"/>
    </row>
    <row r="65" spans="1:19" x14ac:dyDescent="0.2">
      <c r="A65" s="48" t="s">
        <v>674</v>
      </c>
      <c r="B65" s="48">
        <f>'T5'!B65+('T5 Gallon'!G4-'T5'!G4)*'T5 Gallon'!F65+'T5 Gallon'!M3</f>
        <v>630.46066666666661</v>
      </c>
      <c r="C65" s="49">
        <f>E65+G65+H65</f>
        <v>472.76066666666662</v>
      </c>
      <c r="D65" s="48"/>
      <c r="E65" s="49">
        <f>'15W40'!E65</f>
        <v>162.05000000000001</v>
      </c>
      <c r="F65" s="48">
        <f>'15W40'!F65</f>
        <v>46</v>
      </c>
      <c r="G65" s="49">
        <f>F65*G4</f>
        <v>302.71066666666661</v>
      </c>
      <c r="H65" s="49">
        <v>8</v>
      </c>
      <c r="I65" s="55">
        <f t="shared" si="2"/>
        <v>157.69999999999999</v>
      </c>
      <c r="J65" s="56">
        <f t="shared" si="3"/>
        <v>0.74986544230620789</v>
      </c>
      <c r="K65" s="56">
        <f t="shared" si="0"/>
        <v>0.25013455769379211</v>
      </c>
      <c r="L65" s="48"/>
      <c r="M65" s="48"/>
      <c r="N65" s="49">
        <f>B65-'T5'!B65</f>
        <v>141.4706666666666</v>
      </c>
      <c r="O65" s="49">
        <f>C65-'T5'!C65</f>
        <v>121.4706666666666</v>
      </c>
      <c r="P65" s="48"/>
      <c r="Q65" s="50"/>
      <c r="R65" s="50"/>
      <c r="S65" s="50"/>
    </row>
    <row r="66" spans="1:19" x14ac:dyDescent="0.2">
      <c r="A66" s="48" t="s">
        <v>675</v>
      </c>
      <c r="B66" s="48">
        <f>'T5'!B66+('T5 Gallon'!G4-'T5'!G4)*'T5 Gallon'!F66+'T5 Gallon'!M3</f>
        <v>551.46066666666661</v>
      </c>
      <c r="C66" s="49">
        <f>E66+G66+H66</f>
        <v>390.5578666666666</v>
      </c>
      <c r="D66" s="48"/>
      <c r="E66" s="49">
        <f>'15W40'!E66</f>
        <v>79.847200000000001</v>
      </c>
      <c r="F66" s="48">
        <f>'15W40'!F66</f>
        <v>46</v>
      </c>
      <c r="G66" s="49">
        <f>F66*G4</f>
        <v>302.71066666666661</v>
      </c>
      <c r="H66" s="49">
        <v>8</v>
      </c>
      <c r="I66" s="55">
        <f t="shared" si="2"/>
        <v>160.90280000000001</v>
      </c>
      <c r="J66" s="56">
        <f t="shared" si="3"/>
        <v>0.7082243399650141</v>
      </c>
      <c r="K66" s="56">
        <f t="shared" si="0"/>
        <v>0.2917756600349859</v>
      </c>
      <c r="L66" s="48"/>
      <c r="M66" s="48"/>
      <c r="N66" s="49">
        <f>B66-'T5'!B66</f>
        <v>141.4706666666666</v>
      </c>
      <c r="O66" s="49">
        <f>C66-'T5'!C66</f>
        <v>121.4706666666666</v>
      </c>
      <c r="P66" s="48"/>
      <c r="Q66" s="50"/>
      <c r="R66" s="50"/>
      <c r="S66" s="50"/>
    </row>
    <row r="67" spans="1:19" x14ac:dyDescent="0.2">
      <c r="A67" s="48" t="s">
        <v>676</v>
      </c>
      <c r="B67" s="48">
        <f>'T5'!B67+('T5 Gallon'!G4-'T5'!G4)*'T5 Gallon'!F67+'T5 Gallon'!M2</f>
        <v>333.36599999999999</v>
      </c>
      <c r="C67" s="49">
        <f>E67+G67+H67</f>
        <v>192.62399999999997</v>
      </c>
      <c r="D67" s="48"/>
      <c r="E67" s="49">
        <f>'15W40'!E67</f>
        <v>26.688000000000002</v>
      </c>
      <c r="F67" s="48">
        <f>'15W40'!F67</f>
        <v>24</v>
      </c>
      <c r="G67" s="49">
        <f>F67*G4</f>
        <v>157.93599999999998</v>
      </c>
      <c r="H67" s="49">
        <v>8</v>
      </c>
      <c r="I67" s="55">
        <f t="shared" si="2"/>
        <v>140.74200000000002</v>
      </c>
      <c r="J67" s="56">
        <f t="shared" si="3"/>
        <v>0.57781537409333883</v>
      </c>
      <c r="K67" s="56">
        <f t="shared" si="0"/>
        <v>0.42218462590666117</v>
      </c>
      <c r="L67" s="48"/>
      <c r="M67" s="48"/>
      <c r="N67" s="49">
        <f>B67-'T5'!B67</f>
        <v>78.375999999999976</v>
      </c>
      <c r="O67" s="49">
        <f>C67-'T5'!C67</f>
        <v>63.375999999999976</v>
      </c>
      <c r="P67" s="48"/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8"/>
      <c r="M68" s="48"/>
      <c r="N68" s="49"/>
      <c r="O68" s="49"/>
      <c r="P68" s="48"/>
      <c r="Q68" s="50"/>
      <c r="R68" s="50"/>
      <c r="S68" s="50"/>
    </row>
    <row r="69" spans="1:19" x14ac:dyDescent="0.2">
      <c r="A69" s="48" t="s">
        <v>677</v>
      </c>
      <c r="B69" s="48">
        <f>'T5'!B69+('T5 Gallon'!G4-'T5'!G4)*'T5 Gallon'!F69+'T5 Gallon'!M2</f>
        <v>475.77266666666662</v>
      </c>
      <c r="C69" s="49">
        <f t="shared" ref="C69:C74" si="7">E69+G69+H69</f>
        <v>318.34746666666666</v>
      </c>
      <c r="D69" s="48"/>
      <c r="E69" s="49">
        <f>'15W40'!E69</f>
        <v>86.604800000000012</v>
      </c>
      <c r="F69" s="48">
        <f>'15W40'!F69</f>
        <v>34</v>
      </c>
      <c r="G69" s="49">
        <f>F69*G4</f>
        <v>223.74266666666665</v>
      </c>
      <c r="H69" s="49">
        <v>8</v>
      </c>
      <c r="I69" s="55">
        <f t="shared" si="2"/>
        <v>157.42519999999996</v>
      </c>
      <c r="J69" s="56">
        <f t="shared" si="3"/>
        <v>0.66911676304789824</v>
      </c>
      <c r="K69" s="56">
        <f t="shared" si="0"/>
        <v>0.33088323695210176</v>
      </c>
      <c r="L69" s="48"/>
      <c r="M69" s="48"/>
      <c r="N69" s="49">
        <f>B69-'T5'!B69</f>
        <v>104.78266666666661</v>
      </c>
      <c r="O69" s="49">
        <f>C69-'T5'!C69</f>
        <v>89.782666666666643</v>
      </c>
      <c r="P69" s="48"/>
      <c r="Q69" s="50"/>
      <c r="R69" s="50"/>
      <c r="S69" s="50"/>
    </row>
    <row r="70" spans="1:19" x14ac:dyDescent="0.2">
      <c r="A70" s="48" t="s">
        <v>678</v>
      </c>
      <c r="B70" s="48">
        <f>'T5'!B70+('T5 Gallon'!G4-'T5'!G4)*'T5 Gallon'!F70+'T5 Gallon'!M3</f>
        <v>540.89799999999991</v>
      </c>
      <c r="C70" s="49">
        <f t="shared" si="7"/>
        <v>370.99279999999999</v>
      </c>
      <c r="D70" s="48"/>
      <c r="E70" s="49">
        <f>'15W40'!E70</f>
        <v>86.604800000000012</v>
      </c>
      <c r="F70" s="48">
        <f>'15W40'!F70</f>
        <v>42</v>
      </c>
      <c r="G70" s="49">
        <f>F70*G4</f>
        <v>276.38799999999998</v>
      </c>
      <c r="H70" s="49">
        <v>8</v>
      </c>
      <c r="I70" s="55">
        <f t="shared" si="2"/>
        <v>169.90519999999992</v>
      </c>
      <c r="J70" s="56">
        <f t="shared" si="3"/>
        <v>0.68588310550233145</v>
      </c>
      <c r="K70" s="56">
        <f t="shared" si="0"/>
        <v>0.31411689449766855</v>
      </c>
      <c r="L70" s="48"/>
      <c r="M70" s="48"/>
      <c r="N70" s="49">
        <f>B70-'T5'!B70</f>
        <v>130.9079999999999</v>
      </c>
      <c r="O70" s="49">
        <f>C70-'T5'!C70</f>
        <v>110.90800000000002</v>
      </c>
      <c r="P70" s="48"/>
      <c r="Q70" s="50"/>
      <c r="R70" s="50"/>
      <c r="S70" s="50"/>
    </row>
    <row r="71" spans="1:19" x14ac:dyDescent="0.2">
      <c r="A71" s="48" t="s">
        <v>679</v>
      </c>
      <c r="B71" s="48">
        <f>'T5'!B71+('T5 Gallon'!G4-'T5'!G4)*'T5 Gallon'!F71+'T5 Gallon'!M4</f>
        <v>622.30466666666666</v>
      </c>
      <c r="C71" s="49">
        <f t="shared" si="7"/>
        <v>436.79946666666666</v>
      </c>
      <c r="D71" s="48"/>
      <c r="E71" s="49">
        <f>'15W40'!E71</f>
        <v>86.604800000000012</v>
      </c>
      <c r="F71" s="48">
        <f>'15W40'!F71</f>
        <v>52</v>
      </c>
      <c r="G71" s="49">
        <f>F71*G4</f>
        <v>342.19466666666665</v>
      </c>
      <c r="H71" s="49">
        <v>8</v>
      </c>
      <c r="I71" s="55">
        <f t="shared" si="2"/>
        <v>185.5052</v>
      </c>
      <c r="J71" s="56">
        <f t="shared" si="3"/>
        <v>0.70190614029355392</v>
      </c>
      <c r="K71" s="56">
        <f t="shared" si="0"/>
        <v>0.29809385970644608</v>
      </c>
      <c r="L71" s="48"/>
      <c r="M71" s="48"/>
      <c r="N71" s="49">
        <f>B71-'T5'!B71</f>
        <v>162.31466666666665</v>
      </c>
      <c r="O71" s="49">
        <f>C71-'T5'!C71</f>
        <v>137.31466666666665</v>
      </c>
      <c r="P71" s="48"/>
      <c r="Q71" s="50"/>
      <c r="R71" s="50"/>
      <c r="S71" s="50"/>
    </row>
    <row r="72" spans="1:19" x14ac:dyDescent="0.2">
      <c r="A72" s="48" t="s">
        <v>680</v>
      </c>
      <c r="B72" s="48">
        <f>'T5'!B72+('T5 Gallon'!G4-'T5'!G4)*'T5 Gallon'!F72+'T5 Gallon'!M2</f>
        <v>544.77266666666662</v>
      </c>
      <c r="C72" s="49">
        <f t="shared" si="7"/>
        <v>398.03266666666661</v>
      </c>
      <c r="D72" s="48"/>
      <c r="E72" s="49">
        <f>'15W40'!E72</f>
        <v>166.29</v>
      </c>
      <c r="F72" s="48">
        <f>'15W40'!F72</f>
        <v>34</v>
      </c>
      <c r="G72" s="49">
        <f>F72*G4</f>
        <v>223.74266666666665</v>
      </c>
      <c r="H72" s="49">
        <v>8</v>
      </c>
      <c r="I72" s="55">
        <f t="shared" si="2"/>
        <v>146.74</v>
      </c>
      <c r="J72" s="56">
        <f t="shared" si="3"/>
        <v>0.73063993665859395</v>
      </c>
      <c r="K72" s="56">
        <f t="shared" si="0"/>
        <v>0.26936006334140605</v>
      </c>
      <c r="L72" s="48"/>
      <c r="M72" s="48"/>
      <c r="N72" s="49">
        <f>B72-'T5'!B72</f>
        <v>104.78266666666661</v>
      </c>
      <c r="O72" s="49">
        <f>C72-'T5'!C72</f>
        <v>89.782666666666614</v>
      </c>
      <c r="P72" s="48"/>
      <c r="Q72" s="50"/>
      <c r="R72" s="50"/>
      <c r="S72" s="50"/>
    </row>
    <row r="73" spans="1:19" x14ac:dyDescent="0.2">
      <c r="A73" s="48" t="s">
        <v>681</v>
      </c>
      <c r="B73" s="48">
        <f>'T5'!B73+('T5 Gallon'!G4-'T5'!G4)*'T5 Gallon'!F73+'T5 Gallon'!M3</f>
        <v>610.89799999999991</v>
      </c>
      <c r="C73" s="49">
        <f t="shared" si="7"/>
        <v>450.678</v>
      </c>
      <c r="D73" s="48"/>
      <c r="E73" s="49">
        <f>'15W40'!E73</f>
        <v>166.29</v>
      </c>
      <c r="F73" s="48">
        <f>'15W40'!F73</f>
        <v>42</v>
      </c>
      <c r="G73" s="49">
        <f>F73*G4</f>
        <v>276.38799999999998</v>
      </c>
      <c r="H73" s="49">
        <v>8</v>
      </c>
      <c r="I73" s="55">
        <f t="shared" si="2"/>
        <v>160.21999999999991</v>
      </c>
      <c r="J73" s="56">
        <f t="shared" si="3"/>
        <v>0.73773035760470662</v>
      </c>
      <c r="K73" s="56">
        <f t="shared" si="0"/>
        <v>0.26226964239529338</v>
      </c>
      <c r="L73" s="48"/>
      <c r="M73" s="48"/>
      <c r="N73" s="49">
        <f>B73-'T5'!B73</f>
        <v>130.9079999999999</v>
      </c>
      <c r="O73" s="49">
        <f>C73-'T5'!C73</f>
        <v>110.90800000000002</v>
      </c>
      <c r="P73" s="48"/>
      <c r="Q73" s="50"/>
      <c r="R73" s="50"/>
      <c r="S73" s="50"/>
    </row>
    <row r="74" spans="1:19" x14ac:dyDescent="0.2">
      <c r="A74" s="48" t="s">
        <v>682</v>
      </c>
      <c r="B74" s="48">
        <f>'T5'!B74+('T5 Gallon'!G4-'T5'!G4)*'T5 Gallon'!F74+'T5 Gallon'!M4</f>
        <v>690.30466666666666</v>
      </c>
      <c r="C74" s="49">
        <f t="shared" si="7"/>
        <v>516.48466666666661</v>
      </c>
      <c r="D74" s="48"/>
      <c r="E74" s="49">
        <f>'15W40'!E74</f>
        <v>166.29</v>
      </c>
      <c r="F74" s="48">
        <f>'15W40'!F74</f>
        <v>52</v>
      </c>
      <c r="G74" s="49">
        <f>F74*G4</f>
        <v>342.19466666666665</v>
      </c>
      <c r="H74" s="49">
        <v>8</v>
      </c>
      <c r="I74" s="55">
        <f t="shared" si="2"/>
        <v>173.82000000000005</v>
      </c>
      <c r="J74" s="56">
        <f t="shared" si="3"/>
        <v>0.74819813859967133</v>
      </c>
      <c r="K74" s="56">
        <f t="shared" ref="K74" si="8">1-J74</f>
        <v>0.25180186140032867</v>
      </c>
      <c r="L74" s="48"/>
      <c r="M74" s="48"/>
      <c r="N74" s="49">
        <f>B74-'T5'!B74</f>
        <v>162.31466666666665</v>
      </c>
      <c r="O74" s="49">
        <f>C74-'T5'!C74</f>
        <v>137.31466666666665</v>
      </c>
      <c r="P74" s="48"/>
      <c r="Q74" s="50"/>
      <c r="R74" s="50"/>
      <c r="S74" s="50"/>
    </row>
    <row r="75" spans="1:19" ht="12.75" customHeight="1" x14ac:dyDescent="0.2">
      <c r="N75" s="50"/>
    </row>
    <row r="76" spans="1:19" ht="12.75" customHeight="1" x14ac:dyDescent="0.2">
      <c r="N76" s="50"/>
    </row>
    <row r="77" spans="1:19" ht="12.75" customHeight="1" x14ac:dyDescent="0.2">
      <c r="N77" s="50"/>
    </row>
    <row r="78" spans="1:19" ht="12.75" customHeight="1" x14ac:dyDescent="0.2">
      <c r="N78" s="5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C4CE-173A-480D-9D29-85A0D702F0CB}">
  <dimension ref="A1:S74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5.4257812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140625" style="46" customWidth="1"/>
    <col min="14" max="16384" width="9.140625" style="46"/>
  </cols>
  <sheetData>
    <row r="1" spans="1:19" ht="12.75" customHeight="1" x14ac:dyDescent="0.2">
      <c r="A1" s="46" t="s">
        <v>625</v>
      </c>
      <c r="B1" s="58" t="s">
        <v>1256</v>
      </c>
      <c r="C1" s="47" t="s">
        <v>692</v>
      </c>
      <c r="D1" s="46" t="s">
        <v>1293</v>
      </c>
      <c r="G1" s="50">
        <v>3.5</v>
      </c>
      <c r="H1" s="46">
        <v>0.05</v>
      </c>
      <c r="L1" s="48" t="s">
        <v>693</v>
      </c>
      <c r="M1" s="48">
        <v>15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25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30</v>
      </c>
    </row>
    <row r="4" spans="1:19" ht="12.75" customHeight="1" x14ac:dyDescent="0.2">
      <c r="G4" s="50">
        <f>G1+H1</f>
        <v>3.55</v>
      </c>
      <c r="H4" s="50"/>
      <c r="J4" s="46">
        <v>1</v>
      </c>
      <c r="L4" s="48" t="s">
        <v>696</v>
      </c>
      <c r="M4" s="48">
        <v>35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'15W40'!B6+'Petro 10W30'!M2</f>
        <v>290.99</v>
      </c>
      <c r="C6" s="49">
        <f>E6+G6+H6</f>
        <v>150.04000000000002</v>
      </c>
      <c r="D6" s="48"/>
      <c r="E6" s="49">
        <f>'15W40'!E6</f>
        <v>53.290000000000006</v>
      </c>
      <c r="F6" s="48">
        <f>'15W40'!F6</f>
        <v>25</v>
      </c>
      <c r="G6" s="49">
        <f>F6*G4</f>
        <v>88.75</v>
      </c>
      <c r="H6" s="49">
        <v>8</v>
      </c>
      <c r="I6" s="55">
        <f>B6-C6</f>
        <v>140.94999999999999</v>
      </c>
      <c r="J6" s="56">
        <f>C6/B6</f>
        <v>0.51561909343963719</v>
      </c>
      <c r="K6" s="56">
        <f>1-J6</f>
        <v>0.48438090656036281</v>
      </c>
      <c r="Q6" s="50"/>
      <c r="R6" s="50"/>
      <c r="S6" s="50"/>
    </row>
    <row r="7" spans="1:19" ht="12.75" customHeight="1" x14ac:dyDescent="0.2">
      <c r="A7" s="48" t="s">
        <v>633</v>
      </c>
      <c r="B7" s="48">
        <f>'15W40'!B7+'Petro 10W30'!M2</f>
        <v>268.99</v>
      </c>
      <c r="C7" s="49">
        <f>E7+G7+H7</f>
        <v>118.5492</v>
      </c>
      <c r="D7" s="48"/>
      <c r="E7" s="49">
        <f>'15W40'!E7</f>
        <v>21.799199999999999</v>
      </c>
      <c r="F7" s="48">
        <f>'15W40'!F7</f>
        <v>25</v>
      </c>
      <c r="G7" s="49">
        <f>F7*G4</f>
        <v>88.75</v>
      </c>
      <c r="H7" s="49">
        <v>8</v>
      </c>
      <c r="I7" s="55">
        <f>B7-C7</f>
        <v>150.44080000000002</v>
      </c>
      <c r="J7" s="56">
        <f>C7/B7</f>
        <v>0.44071972935796866</v>
      </c>
      <c r="K7" s="56">
        <f t="shared" ref="K7:K73" si="0">1-J7</f>
        <v>0.55928027064203134</v>
      </c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Q8" s="50"/>
      <c r="R8" s="50"/>
      <c r="S8" s="50"/>
    </row>
    <row r="9" spans="1:19" ht="12.75" customHeight="1" x14ac:dyDescent="0.2">
      <c r="A9" s="48" t="s">
        <v>634</v>
      </c>
      <c r="B9" s="48">
        <f>'15W40'!B9+'Petro 10W30'!M2</f>
        <v>359.99</v>
      </c>
      <c r="C9" s="49">
        <f>E9+G9+H9</f>
        <v>213.48000000000002</v>
      </c>
      <c r="D9" s="48"/>
      <c r="E9" s="49">
        <f>'15W40'!E9</f>
        <v>70.58</v>
      </c>
      <c r="F9" s="48">
        <f>'15W40'!F9</f>
        <v>38</v>
      </c>
      <c r="G9" s="49">
        <f>F9*G4</f>
        <v>134.9</v>
      </c>
      <c r="H9" s="49">
        <v>8</v>
      </c>
      <c r="I9" s="55">
        <f>B9-C9</f>
        <v>146.51</v>
      </c>
      <c r="J9" s="56">
        <f>C9/B9</f>
        <v>0.59301647267979674</v>
      </c>
      <c r="K9" s="56">
        <f t="shared" si="0"/>
        <v>0.40698352732020326</v>
      </c>
      <c r="Q9" s="50"/>
      <c r="R9" s="50"/>
      <c r="S9" s="50"/>
    </row>
    <row r="10" spans="1:19" ht="12.75" customHeight="1" x14ac:dyDescent="0.2">
      <c r="A10" s="48" t="s">
        <v>635</v>
      </c>
      <c r="B10" s="48">
        <f>'15W40'!B10+'Petro 10W30'!M2</f>
        <v>318.99</v>
      </c>
      <c r="C10" s="49">
        <f>E10+G10+H10</f>
        <v>173.94480000000001</v>
      </c>
      <c r="D10" s="48"/>
      <c r="E10" s="49">
        <f>'15W40'!E10</f>
        <v>31.044799999999999</v>
      </c>
      <c r="F10" s="48">
        <f>'15W40'!F10</f>
        <v>38</v>
      </c>
      <c r="G10" s="49">
        <f>F10*G4</f>
        <v>134.9</v>
      </c>
      <c r="H10" s="49">
        <v>8</v>
      </c>
      <c r="I10" s="55">
        <f>B10-C10</f>
        <v>145.04519999999999</v>
      </c>
      <c r="J10" s="56">
        <f>C10/B10</f>
        <v>0.54529859870215369</v>
      </c>
      <c r="K10" s="56">
        <f t="shared" si="0"/>
        <v>0.45470140129784631</v>
      </c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Q11" s="50"/>
      <c r="R11" s="50"/>
      <c r="S11" s="50"/>
    </row>
    <row r="12" spans="1:19" ht="12.75" customHeight="1" x14ac:dyDescent="0.2">
      <c r="A12" s="48" t="s">
        <v>637</v>
      </c>
      <c r="B12" s="48">
        <f>'15W40'!B12+'Petro 10W30'!M3</f>
        <v>384.99</v>
      </c>
      <c r="C12" s="49">
        <f>E12+G12+H12</f>
        <v>231.23000000000002</v>
      </c>
      <c r="D12" s="48"/>
      <c r="E12" s="49">
        <f>'15W40'!E12</f>
        <v>70.58</v>
      </c>
      <c r="F12" s="48">
        <f>'15W40'!F12</f>
        <v>43</v>
      </c>
      <c r="G12" s="49">
        <f>F12*G4</f>
        <v>152.65</v>
      </c>
      <c r="H12" s="49">
        <v>8</v>
      </c>
      <c r="I12" s="55">
        <f>B12-C12</f>
        <v>153.76</v>
      </c>
      <c r="J12" s="56">
        <f>C12/B12</f>
        <v>0.60061300293514119</v>
      </c>
      <c r="K12" s="56">
        <f t="shared" si="0"/>
        <v>0.39938699706485881</v>
      </c>
      <c r="Q12" s="50"/>
      <c r="R12" s="50"/>
      <c r="S12" s="50"/>
    </row>
    <row r="13" spans="1:19" ht="12.75" customHeight="1" x14ac:dyDescent="0.2">
      <c r="A13" s="48" t="s">
        <v>638</v>
      </c>
      <c r="B13" s="48">
        <f>'15W40'!B13+'Petro 10W30'!M3</f>
        <v>343.99</v>
      </c>
      <c r="C13" s="49">
        <f>E13+G13+H13</f>
        <v>191.69480000000001</v>
      </c>
      <c r="D13" s="48"/>
      <c r="E13" s="49">
        <f>'15W40'!E13</f>
        <v>31.044799999999999</v>
      </c>
      <c r="F13" s="48">
        <f>'15W40'!F13</f>
        <v>43</v>
      </c>
      <c r="G13" s="49">
        <f>F13*G4</f>
        <v>152.65</v>
      </c>
      <c r="H13" s="49">
        <v>8</v>
      </c>
      <c r="I13" s="55">
        <f>B13-C13</f>
        <v>152.29519999999999</v>
      </c>
      <c r="J13" s="56">
        <f>C13/B13</f>
        <v>0.557268525247827</v>
      </c>
      <c r="K13" s="56">
        <f t="shared" si="0"/>
        <v>0.442731474752173</v>
      </c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Q14" s="50"/>
      <c r="R14" s="50"/>
      <c r="S14" s="50"/>
    </row>
    <row r="15" spans="1:19" ht="12.75" customHeight="1" x14ac:dyDescent="0.2">
      <c r="A15" s="48" t="s">
        <v>639</v>
      </c>
      <c r="B15" s="48">
        <f>'15W40'!B15+'Petro 10W30'!M3</f>
        <v>331.99</v>
      </c>
      <c r="C15" s="49">
        <f t="shared" ref="C15:C21" si="1">E15+G15+H15</f>
        <v>181.43119999999999</v>
      </c>
      <c r="D15" s="48"/>
      <c r="E15" s="49">
        <f>'15W40'!E15</f>
        <v>31.4312</v>
      </c>
      <c r="F15" s="48">
        <f>'15W40'!F15</f>
        <v>40</v>
      </c>
      <c r="G15" s="49">
        <f>F15*G4</f>
        <v>142</v>
      </c>
      <c r="H15" s="49">
        <v>8</v>
      </c>
      <c r="I15" s="55">
        <f t="shared" ref="I15:I74" si="2">B15-C15</f>
        <v>150.55880000000002</v>
      </c>
      <c r="J15" s="56">
        <f t="shared" ref="J15:J74" si="3">C15/B15</f>
        <v>0.54649597879454193</v>
      </c>
      <c r="K15" s="56">
        <f t="shared" si="0"/>
        <v>0.45350402120545807</v>
      </c>
      <c r="Q15" s="50"/>
      <c r="R15" s="50"/>
      <c r="S15" s="50"/>
    </row>
    <row r="16" spans="1:19" ht="12.75" customHeight="1" x14ac:dyDescent="0.2">
      <c r="A16" s="48" t="s">
        <v>640</v>
      </c>
      <c r="B16" s="48">
        <f>'15W40'!B16+'Petro 10W30'!M1</f>
        <v>185.99</v>
      </c>
      <c r="C16" s="49">
        <f t="shared" si="1"/>
        <v>64.419999999999987</v>
      </c>
      <c r="D16" s="48"/>
      <c r="E16" s="49">
        <f>'15W40'!E16</f>
        <v>6.7200000000000006</v>
      </c>
      <c r="F16" s="48">
        <f>'15W40'!F16</f>
        <v>14</v>
      </c>
      <c r="G16" s="49">
        <f>F16*G4</f>
        <v>49.699999999999996</v>
      </c>
      <c r="H16" s="49">
        <v>8</v>
      </c>
      <c r="I16" s="55">
        <f t="shared" si="2"/>
        <v>121.57000000000002</v>
      </c>
      <c r="J16" s="56">
        <f t="shared" si="3"/>
        <v>0.34636270767245542</v>
      </c>
      <c r="K16" s="56">
        <f t="shared" si="0"/>
        <v>0.65363729232754464</v>
      </c>
      <c r="Q16" s="50"/>
      <c r="R16" s="50"/>
      <c r="S16" s="50"/>
    </row>
    <row r="17" spans="1:19" ht="12.75" customHeight="1" x14ac:dyDescent="0.2">
      <c r="A17" s="48" t="s">
        <v>641</v>
      </c>
      <c r="B17" s="48">
        <f>'15W40'!B17+'Petro 10W30'!M2</f>
        <v>282.99</v>
      </c>
      <c r="C17" s="49">
        <f t="shared" si="1"/>
        <v>147.56040000000002</v>
      </c>
      <c r="D17" s="48"/>
      <c r="E17" s="49">
        <f>'15W40'!E17</f>
        <v>50.810400000000001</v>
      </c>
      <c r="F17" s="48">
        <f>'15W40'!F17</f>
        <v>25</v>
      </c>
      <c r="G17" s="49">
        <f>F17*G4</f>
        <v>88.75</v>
      </c>
      <c r="H17" s="49">
        <v>8</v>
      </c>
      <c r="I17" s="55">
        <f t="shared" si="2"/>
        <v>135.42959999999999</v>
      </c>
      <c r="J17" s="56">
        <f t="shared" si="3"/>
        <v>0.52143326619315178</v>
      </c>
      <c r="K17" s="56">
        <f t="shared" si="0"/>
        <v>0.47856673380684822</v>
      </c>
      <c r="Q17" s="50"/>
      <c r="R17" s="50"/>
      <c r="S17" s="50"/>
    </row>
    <row r="18" spans="1:19" ht="12.75" customHeight="1" x14ac:dyDescent="0.2">
      <c r="A18" s="48" t="s">
        <v>642</v>
      </c>
      <c r="B18" s="48">
        <f>'15W40'!B18+'Petro 10W30'!M2</f>
        <v>280.99</v>
      </c>
      <c r="C18" s="49">
        <f>E18+G18+H18</f>
        <v>123.438</v>
      </c>
      <c r="D18" s="48"/>
      <c r="E18" s="49">
        <f>'15W40'!E18</f>
        <v>26.688000000000002</v>
      </c>
      <c r="F18" s="48">
        <f>'15W40'!F18</f>
        <v>25</v>
      </c>
      <c r="G18" s="49">
        <f>F18*G4</f>
        <v>88.75</v>
      </c>
      <c r="H18" s="49">
        <v>8</v>
      </c>
      <c r="I18" s="55">
        <f t="shared" si="2"/>
        <v>157.55200000000002</v>
      </c>
      <c r="J18" s="56">
        <f t="shared" si="3"/>
        <v>0.43929677212712198</v>
      </c>
      <c r="K18" s="56">
        <f t="shared" si="0"/>
        <v>0.56070322787287807</v>
      </c>
      <c r="Q18" s="50"/>
      <c r="R18" s="50"/>
      <c r="S18" s="50"/>
    </row>
    <row r="19" spans="1:19" ht="12.75" customHeight="1" x14ac:dyDescent="0.2">
      <c r="A19" s="48" t="s">
        <v>643</v>
      </c>
      <c r="B19" s="48">
        <f>'15W40'!B19+'Petro 10W30'!M2</f>
        <v>317.99</v>
      </c>
      <c r="C19" s="49">
        <f t="shared" si="1"/>
        <v>175.6344</v>
      </c>
      <c r="D19" s="48"/>
      <c r="E19" s="49">
        <f>'15W40'!E19</f>
        <v>39.834400000000002</v>
      </c>
      <c r="F19" s="48">
        <f>'15W40'!F19</f>
        <v>36</v>
      </c>
      <c r="G19" s="49">
        <f>F19*G4</f>
        <v>127.8</v>
      </c>
      <c r="H19" s="49">
        <v>8</v>
      </c>
      <c r="I19" s="55">
        <f t="shared" si="2"/>
        <v>142.35560000000001</v>
      </c>
      <c r="J19" s="56">
        <f t="shared" si="3"/>
        <v>0.55232680272964552</v>
      </c>
      <c r="K19" s="56">
        <f t="shared" si="0"/>
        <v>0.44767319727035448</v>
      </c>
      <c r="Q19" s="50"/>
      <c r="R19" s="50"/>
      <c r="S19" s="50"/>
    </row>
    <row r="20" spans="1:19" ht="12.75" customHeight="1" x14ac:dyDescent="0.2">
      <c r="A20" s="48" t="s">
        <v>645</v>
      </c>
      <c r="B20" s="48">
        <f>'15W40'!B20+'Petro 10W30'!M3</f>
        <v>408.99</v>
      </c>
      <c r="C20" s="49">
        <f t="shared" si="1"/>
        <v>249.84960000000001</v>
      </c>
      <c r="D20" s="48"/>
      <c r="E20" s="49">
        <f>'15W40'!E20</f>
        <v>85.649600000000007</v>
      </c>
      <c r="F20" s="48">
        <f>'15W40'!F20</f>
        <v>44</v>
      </c>
      <c r="G20" s="49">
        <f>F20*G4</f>
        <v>156.19999999999999</v>
      </c>
      <c r="H20" s="49">
        <v>8</v>
      </c>
      <c r="I20" s="55">
        <f t="shared" si="2"/>
        <v>159.1404</v>
      </c>
      <c r="J20" s="56">
        <f t="shared" si="3"/>
        <v>0.6108941538912932</v>
      </c>
      <c r="K20" s="56">
        <f t="shared" si="0"/>
        <v>0.3891058461087068</v>
      </c>
      <c r="Q20" s="50"/>
      <c r="R20" s="50"/>
      <c r="S20" s="50"/>
    </row>
    <row r="21" spans="1:19" ht="12.75" customHeight="1" x14ac:dyDescent="0.2">
      <c r="A21" s="48" t="s">
        <v>646</v>
      </c>
      <c r="B21" s="48">
        <f>'15W40'!B21+'Petro 10W30'!M2</f>
        <v>300.99</v>
      </c>
      <c r="C21" s="49">
        <f t="shared" si="1"/>
        <v>160.13119999999998</v>
      </c>
      <c r="D21" s="48"/>
      <c r="E21" s="49">
        <f>'15W40'!E21</f>
        <v>31.4312</v>
      </c>
      <c r="F21" s="48">
        <f>'15W40'!F21</f>
        <v>34</v>
      </c>
      <c r="G21" s="49">
        <f>F21*G4</f>
        <v>120.69999999999999</v>
      </c>
      <c r="H21" s="49">
        <v>8</v>
      </c>
      <c r="I21" s="55">
        <f t="shared" si="2"/>
        <v>140.85880000000003</v>
      </c>
      <c r="J21" s="56">
        <f t="shared" si="3"/>
        <v>0.53201501711020294</v>
      </c>
      <c r="K21" s="56">
        <f t="shared" si="0"/>
        <v>0.46798498288979706</v>
      </c>
      <c r="Q21" s="50"/>
      <c r="R21" s="50"/>
      <c r="S21" s="50"/>
    </row>
    <row r="22" spans="1:19" ht="12.75" customHeight="1" x14ac:dyDescent="0.2">
      <c r="A22" s="48"/>
      <c r="E22" s="49"/>
      <c r="F22" s="48"/>
      <c r="G22" s="49"/>
      <c r="H22" s="49"/>
      <c r="I22" s="55"/>
      <c r="J22" s="56"/>
      <c r="K22" s="56"/>
      <c r="Q22" s="50"/>
      <c r="R22" s="50"/>
      <c r="S22" s="50"/>
    </row>
    <row r="23" spans="1:19" ht="12.75" customHeight="1" x14ac:dyDescent="0.2">
      <c r="A23" s="48" t="s">
        <v>647</v>
      </c>
      <c r="B23" s="48">
        <f>'15W40'!B23+'Petro 10W30'!M2</f>
        <v>374.99</v>
      </c>
      <c r="C23" s="49">
        <f t="shared" ref="C23:C28" si="4">E23+G23+H23</f>
        <v>220.52</v>
      </c>
      <c r="D23" s="48"/>
      <c r="E23" s="49">
        <f>'15W40'!E23</f>
        <v>77.62</v>
      </c>
      <c r="F23" s="48">
        <f>'15W40'!F23</f>
        <v>38</v>
      </c>
      <c r="G23" s="49">
        <f>F23*G4</f>
        <v>134.9</v>
      </c>
      <c r="H23" s="49">
        <v>8</v>
      </c>
      <c r="I23" s="55">
        <f t="shared" si="2"/>
        <v>154.47</v>
      </c>
      <c r="J23" s="56">
        <f t="shared" si="3"/>
        <v>0.588069015173738</v>
      </c>
      <c r="K23" s="56">
        <f t="shared" si="0"/>
        <v>0.411930984826262</v>
      </c>
      <c r="Q23" s="50"/>
      <c r="R23" s="50"/>
      <c r="S23" s="50"/>
    </row>
    <row r="24" spans="1:19" ht="12.75" customHeight="1" x14ac:dyDescent="0.2">
      <c r="A24" s="48" t="s">
        <v>648</v>
      </c>
      <c r="B24" s="48">
        <f>'15W40'!B24+'Petro 10W30'!M2</f>
        <v>434.99</v>
      </c>
      <c r="C24" s="49">
        <f t="shared" si="4"/>
        <v>290.45000000000005</v>
      </c>
      <c r="D24" s="48"/>
      <c r="E24" s="49">
        <f>'15W40'!E24</f>
        <v>168.85000000000002</v>
      </c>
      <c r="F24" s="48">
        <f>'15W40'!F24</f>
        <v>32</v>
      </c>
      <c r="G24" s="49">
        <f>F24*G4</f>
        <v>113.6</v>
      </c>
      <c r="H24" s="49">
        <v>8</v>
      </c>
      <c r="I24" s="55">
        <f t="shared" si="2"/>
        <v>144.53999999999996</v>
      </c>
      <c r="J24" s="56">
        <f t="shared" si="3"/>
        <v>0.66771649922986742</v>
      </c>
      <c r="K24" s="56">
        <f t="shared" si="0"/>
        <v>0.33228350077013258</v>
      </c>
      <c r="Q24" s="50"/>
      <c r="R24" s="50"/>
      <c r="S24" s="50"/>
    </row>
    <row r="25" spans="1:19" ht="12.75" customHeight="1" x14ac:dyDescent="0.2">
      <c r="A25" s="48" t="s">
        <v>649</v>
      </c>
      <c r="B25" s="48">
        <f>'15W40'!B25+'Petro 10W30'!M3</f>
        <v>445.99</v>
      </c>
      <c r="C25" s="49">
        <f t="shared" si="4"/>
        <v>294.89</v>
      </c>
      <c r="D25" s="48"/>
      <c r="E25" s="49">
        <f>'15W40'!E25</f>
        <v>137.79000000000002</v>
      </c>
      <c r="F25" s="48">
        <f>'15W40'!F25</f>
        <v>42</v>
      </c>
      <c r="G25" s="49">
        <f>F25*G4</f>
        <v>149.1</v>
      </c>
      <c r="H25" s="49">
        <v>8</v>
      </c>
      <c r="I25" s="55">
        <f t="shared" si="2"/>
        <v>151.10000000000002</v>
      </c>
      <c r="J25" s="56">
        <f t="shared" si="3"/>
        <v>0.66120316599026885</v>
      </c>
      <c r="K25" s="56">
        <f t="shared" si="0"/>
        <v>0.33879683400973115</v>
      </c>
      <c r="Q25" s="50"/>
      <c r="R25" s="50"/>
      <c r="S25" s="50"/>
    </row>
    <row r="26" spans="1:19" ht="12.75" customHeight="1" x14ac:dyDescent="0.2">
      <c r="A26" s="48" t="s">
        <v>650</v>
      </c>
      <c r="B26" s="48">
        <f>'15W40'!B26+'Petro 10W30'!M3</f>
        <v>423.99</v>
      </c>
      <c r="C26" s="49">
        <f t="shared" si="4"/>
        <v>271.15280000000001</v>
      </c>
      <c r="D26" s="48"/>
      <c r="E26" s="49">
        <f>'15W40'!E26</f>
        <v>114.05280000000002</v>
      </c>
      <c r="F26" s="48">
        <f>'15W40'!F26</f>
        <v>42</v>
      </c>
      <c r="G26" s="49">
        <f>F26*G4</f>
        <v>149.1</v>
      </c>
      <c r="H26" s="49">
        <v>8</v>
      </c>
      <c r="I26" s="55">
        <f t="shared" si="2"/>
        <v>152.8372</v>
      </c>
      <c r="J26" s="56">
        <f t="shared" si="3"/>
        <v>0.6395264039246209</v>
      </c>
      <c r="K26" s="56">
        <f t="shared" si="0"/>
        <v>0.3604735960753791</v>
      </c>
      <c r="Q26" s="50"/>
      <c r="R26" s="50"/>
      <c r="S26" s="50"/>
    </row>
    <row r="27" spans="1:19" ht="12.75" customHeight="1" x14ac:dyDescent="0.2">
      <c r="A27" s="48" t="s">
        <v>651</v>
      </c>
      <c r="B27" s="48">
        <f>'15W40'!B27+'Petro 10W30'!M2</f>
        <v>327.99</v>
      </c>
      <c r="C27" s="49">
        <f t="shared" si="4"/>
        <v>188.2912</v>
      </c>
      <c r="D27" s="48"/>
      <c r="E27" s="49">
        <f>'15W40'!E27</f>
        <v>45.391199999999998</v>
      </c>
      <c r="F27" s="48">
        <f>'15W40'!F27</f>
        <v>38</v>
      </c>
      <c r="G27" s="49">
        <f>F27*G4</f>
        <v>134.9</v>
      </c>
      <c r="H27" s="49">
        <v>8</v>
      </c>
      <c r="I27" s="55">
        <f t="shared" si="2"/>
        <v>139.69880000000001</v>
      </c>
      <c r="J27" s="56">
        <f t="shared" si="3"/>
        <v>0.57407603890362513</v>
      </c>
      <c r="K27" s="56">
        <f t="shared" si="0"/>
        <v>0.42592396109637487</v>
      </c>
      <c r="Q27" s="50"/>
      <c r="R27" s="50"/>
      <c r="S27" s="50"/>
    </row>
    <row r="28" spans="1:19" ht="12.75" customHeight="1" x14ac:dyDescent="0.2">
      <c r="A28" s="48" t="s">
        <v>652</v>
      </c>
      <c r="B28" s="48">
        <f>'15W40'!B28+'Petro 10W30'!M1</f>
        <v>185.99</v>
      </c>
      <c r="C28" s="49">
        <f t="shared" si="4"/>
        <v>67.802400000000006</v>
      </c>
      <c r="D28" s="48"/>
      <c r="E28" s="49">
        <f>'15W40'!E28</f>
        <v>10.102400000000001</v>
      </c>
      <c r="F28" s="48">
        <f>'15W40'!F28</f>
        <v>14</v>
      </c>
      <c r="G28" s="49">
        <f>F28*G4</f>
        <v>49.699999999999996</v>
      </c>
      <c r="H28" s="49">
        <v>8</v>
      </c>
      <c r="I28" s="55">
        <f t="shared" si="2"/>
        <v>118.1876</v>
      </c>
      <c r="J28" s="56">
        <f t="shared" si="3"/>
        <v>0.36454863164686274</v>
      </c>
      <c r="K28" s="56">
        <f t="shared" si="0"/>
        <v>0.63545136835313731</v>
      </c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Q29" s="50"/>
      <c r="R29" s="50"/>
      <c r="S29" s="50"/>
    </row>
    <row r="30" spans="1:19" ht="12.75" customHeight="1" x14ac:dyDescent="0.2">
      <c r="A30" s="48" t="s">
        <v>653</v>
      </c>
      <c r="B30" s="48">
        <f>'15W40'!B30+'Petro 10W30'!M1</f>
        <v>185.99</v>
      </c>
      <c r="C30" s="49">
        <f>E30+G30+H30</f>
        <v>72.116799999999998</v>
      </c>
      <c r="D30" s="48"/>
      <c r="E30" s="49">
        <f>'15W40'!E30</f>
        <v>14.416800000000002</v>
      </c>
      <c r="F30" s="48">
        <f>'15W40'!F30</f>
        <v>14</v>
      </c>
      <c r="G30" s="49">
        <f>F30*G4</f>
        <v>49.699999999999996</v>
      </c>
      <c r="H30" s="49">
        <v>8</v>
      </c>
      <c r="I30" s="55">
        <f t="shared" si="2"/>
        <v>113.87320000000001</v>
      </c>
      <c r="J30" s="56">
        <f t="shared" si="3"/>
        <v>0.38774557771923218</v>
      </c>
      <c r="K30" s="56">
        <f t="shared" si="0"/>
        <v>0.61225442228076776</v>
      </c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Q31" s="50"/>
      <c r="R31" s="50"/>
      <c r="S31" s="50"/>
    </row>
    <row r="32" spans="1:19" ht="12.75" customHeight="1" x14ac:dyDescent="0.2">
      <c r="A32" s="48" t="s">
        <v>423</v>
      </c>
      <c r="B32" s="48">
        <f>'15W40'!B32+'Petro 10W30'!M1</f>
        <v>284.99</v>
      </c>
      <c r="C32" s="49">
        <f>E32+G32+H32</f>
        <v>153.69999999999999</v>
      </c>
      <c r="D32" s="48"/>
      <c r="E32" s="49">
        <f>'15W40'!E32</f>
        <v>96</v>
      </c>
      <c r="F32" s="48">
        <f>'15W40'!F32</f>
        <v>14</v>
      </c>
      <c r="G32" s="49">
        <f>F32*G4</f>
        <v>49.699999999999996</v>
      </c>
      <c r="H32" s="49">
        <v>8</v>
      </c>
      <c r="I32" s="55">
        <f t="shared" si="2"/>
        <v>131.29000000000002</v>
      </c>
      <c r="J32" s="56">
        <f t="shared" si="3"/>
        <v>0.53931716902347449</v>
      </c>
      <c r="K32" s="56">
        <f t="shared" si="0"/>
        <v>0.46068283097652551</v>
      </c>
      <c r="Q32" s="50"/>
      <c r="R32" s="50"/>
      <c r="S32" s="50"/>
    </row>
    <row r="33" spans="1:19" ht="12.75" customHeight="1" x14ac:dyDescent="0.2">
      <c r="A33" s="48" t="s">
        <v>654</v>
      </c>
      <c r="B33" s="48">
        <f>'15W40'!B33+'Petro 10W30'!M1</f>
        <v>214.99</v>
      </c>
      <c r="C33" s="49">
        <f>E33+G33+H33</f>
        <v>85.121600000000001</v>
      </c>
      <c r="D33" s="48"/>
      <c r="E33" s="49">
        <f>'15W40'!E33</f>
        <v>27.421599999999998</v>
      </c>
      <c r="F33" s="48">
        <f>'15W40'!F33</f>
        <v>14</v>
      </c>
      <c r="G33" s="49">
        <f>F33*G4</f>
        <v>49.699999999999996</v>
      </c>
      <c r="H33" s="49">
        <v>8</v>
      </c>
      <c r="I33" s="55">
        <f t="shared" si="2"/>
        <v>129.86840000000001</v>
      </c>
      <c r="J33" s="56">
        <f t="shared" si="3"/>
        <v>0.39593283408530627</v>
      </c>
      <c r="K33" s="56">
        <f t="shared" si="0"/>
        <v>0.60406716591469367</v>
      </c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Q34" s="50"/>
      <c r="R34" s="50"/>
      <c r="S34" s="50"/>
    </row>
    <row r="35" spans="1:19" ht="12.75" customHeight="1" x14ac:dyDescent="0.2">
      <c r="A35" s="48" t="s">
        <v>655</v>
      </c>
      <c r="B35" s="48">
        <f>'15W40'!B35+'Petro 10W30'!M2</f>
        <v>290.99</v>
      </c>
      <c r="C35" s="49">
        <f>E35+G35+H35</f>
        <v>153.86880000000002</v>
      </c>
      <c r="D35" s="49"/>
      <c r="E35" s="49">
        <f>'15W40'!E35</f>
        <v>53.56880000000001</v>
      </c>
      <c r="F35" s="48">
        <f>'15W40'!F35</f>
        <v>26</v>
      </c>
      <c r="G35" s="49">
        <f>F35*G4</f>
        <v>92.3</v>
      </c>
      <c r="H35" s="49">
        <v>8</v>
      </c>
      <c r="I35" s="55">
        <f t="shared" si="2"/>
        <v>137.12119999999999</v>
      </c>
      <c r="J35" s="56">
        <f t="shared" si="3"/>
        <v>0.52877693391525493</v>
      </c>
      <c r="K35" s="56">
        <f t="shared" si="0"/>
        <v>0.47122306608474507</v>
      </c>
      <c r="Q35" s="50"/>
      <c r="R35" s="50"/>
      <c r="S35" s="50"/>
    </row>
    <row r="36" spans="1:19" ht="12.75" customHeight="1" x14ac:dyDescent="0.2">
      <c r="A36" s="48" t="s">
        <v>1245</v>
      </c>
      <c r="B36" s="48">
        <f>'15W40'!B36+'Petro 10W30'!M3</f>
        <v>529.99</v>
      </c>
      <c r="C36" s="49">
        <f>E36+G36+H36</f>
        <v>350.1</v>
      </c>
      <c r="D36" s="49"/>
      <c r="E36" s="49">
        <f>'15W40'!E36</f>
        <v>178.8</v>
      </c>
      <c r="F36" s="48">
        <f>'15W40'!F36</f>
        <v>46</v>
      </c>
      <c r="G36" s="49">
        <f>F36*G4</f>
        <v>163.29999999999998</v>
      </c>
      <c r="H36" s="49">
        <v>8</v>
      </c>
      <c r="I36" s="55">
        <f t="shared" si="2"/>
        <v>179.89</v>
      </c>
      <c r="J36" s="56">
        <f t="shared" si="3"/>
        <v>0.66057850148116004</v>
      </c>
      <c r="K36" s="56">
        <f t="shared" si="0"/>
        <v>0.33942149851883996</v>
      </c>
      <c r="Q36" s="50"/>
      <c r="R36" s="50"/>
      <c r="S36" s="50"/>
    </row>
    <row r="37" spans="1:19" ht="12.75" customHeight="1" x14ac:dyDescent="0.2">
      <c r="A37" s="48" t="s">
        <v>1249</v>
      </c>
      <c r="B37" s="48">
        <f>'15W40'!B37+'Petro 10W30'!M1</f>
        <v>264.99</v>
      </c>
      <c r="C37" s="49">
        <f>E37+G37+H37</f>
        <v>115.5728</v>
      </c>
      <c r="D37" s="49"/>
      <c r="E37" s="49">
        <f>'15W40'!E37</f>
        <v>57.872799999999998</v>
      </c>
      <c r="F37" s="48">
        <f>'15W40'!F37</f>
        <v>14</v>
      </c>
      <c r="G37" s="49">
        <f>F37*G4</f>
        <v>49.699999999999996</v>
      </c>
      <c r="H37" s="49">
        <v>8</v>
      </c>
      <c r="I37" s="55">
        <f t="shared" si="2"/>
        <v>149.41720000000001</v>
      </c>
      <c r="J37" s="56">
        <f t="shared" si="3"/>
        <v>0.43614023170685684</v>
      </c>
      <c r="K37" s="56">
        <f t="shared" si="0"/>
        <v>0.56385976829314322</v>
      </c>
      <c r="Q37" s="50"/>
      <c r="R37" s="50"/>
      <c r="S37" s="50"/>
    </row>
    <row r="38" spans="1:19" ht="12.75" customHeight="1" x14ac:dyDescent="0.2">
      <c r="A38" s="48" t="s">
        <v>1124</v>
      </c>
      <c r="B38" s="48">
        <f>'15W40'!B38+'Petro 10W30'!M1</f>
        <v>230.99</v>
      </c>
      <c r="C38" s="49">
        <f t="shared" ref="C38:C53" si="5">E38+G38+H38</f>
        <v>101.8408</v>
      </c>
      <c r="D38" s="48"/>
      <c r="E38" s="49">
        <f>'15W40'!E38</f>
        <v>44.140799999999999</v>
      </c>
      <c r="F38" s="48">
        <f>'15W40'!F38</f>
        <v>14</v>
      </c>
      <c r="G38" s="49">
        <f>F38*G4</f>
        <v>49.699999999999996</v>
      </c>
      <c r="H38" s="49">
        <v>8</v>
      </c>
      <c r="I38" s="55">
        <f t="shared" si="2"/>
        <v>129.14920000000001</v>
      </c>
      <c r="J38" s="56">
        <f t="shared" si="3"/>
        <v>0.44088835014502792</v>
      </c>
      <c r="K38" s="56">
        <f t="shared" si="0"/>
        <v>0.55911164985497208</v>
      </c>
      <c r="Q38" s="50"/>
      <c r="R38" s="50"/>
      <c r="S38" s="50"/>
    </row>
    <row r="39" spans="1:19" ht="12.75" customHeight="1" x14ac:dyDescent="0.2">
      <c r="A39" s="48" t="s">
        <v>425</v>
      </c>
      <c r="B39" s="48">
        <f>'15W40'!B39+'Petro 10W30'!M1</f>
        <v>290.99</v>
      </c>
      <c r="C39" s="49">
        <f t="shared" si="5"/>
        <v>126.66999999999999</v>
      </c>
      <c r="D39" s="48"/>
      <c r="E39" s="49">
        <f>'15W40'!E39</f>
        <v>68.97</v>
      </c>
      <c r="F39" s="48">
        <f>'15W40'!F39</f>
        <v>14</v>
      </c>
      <c r="G39" s="49">
        <f>F39*G4</f>
        <v>49.699999999999996</v>
      </c>
      <c r="H39" s="49">
        <v>8</v>
      </c>
      <c r="I39" s="55">
        <f t="shared" si="2"/>
        <v>164.32000000000002</v>
      </c>
      <c r="J39" s="56">
        <f t="shared" si="3"/>
        <v>0.43530705522526542</v>
      </c>
      <c r="K39" s="56">
        <f t="shared" si="0"/>
        <v>0.56469294477473464</v>
      </c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Q40" s="50"/>
      <c r="R40" s="50"/>
      <c r="S40" s="50"/>
    </row>
    <row r="41" spans="1:19" ht="12.75" customHeight="1" x14ac:dyDescent="0.2">
      <c r="A41" s="48" t="s">
        <v>907</v>
      </c>
      <c r="B41" s="48">
        <f>'15W40'!B41+'Petro 10W30'!M2</f>
        <v>388.99</v>
      </c>
      <c r="C41" s="49">
        <f t="shared" si="5"/>
        <v>229.50480000000002</v>
      </c>
      <c r="D41" s="48"/>
      <c r="E41" s="49">
        <f>'15W40'!E41</f>
        <v>86.604800000000012</v>
      </c>
      <c r="F41" s="48">
        <f>'15W40'!F41</f>
        <v>38</v>
      </c>
      <c r="G41" s="49">
        <f>F41*G4</f>
        <v>134.9</v>
      </c>
      <c r="H41" s="49">
        <v>8</v>
      </c>
      <c r="I41" s="55">
        <f t="shared" si="2"/>
        <v>159.48519999999999</v>
      </c>
      <c r="J41" s="56">
        <f t="shared" si="3"/>
        <v>0.59000179953212173</v>
      </c>
      <c r="K41" s="56">
        <f t="shared" si="0"/>
        <v>0.40999820046787827</v>
      </c>
      <c r="Q41" s="50"/>
      <c r="R41" s="50"/>
      <c r="S41" s="50"/>
    </row>
    <row r="42" spans="1:19" ht="12.75" customHeight="1" x14ac:dyDescent="0.2">
      <c r="A42" s="48" t="s">
        <v>911</v>
      </c>
      <c r="B42" s="48">
        <f>'15W40'!B42+'Petro 10W30'!M2</f>
        <v>459.99</v>
      </c>
      <c r="C42" s="49">
        <f t="shared" si="5"/>
        <v>316.39999999999998</v>
      </c>
      <c r="D42" s="48"/>
      <c r="E42" s="49">
        <f>'15W40'!E42</f>
        <v>173.5</v>
      </c>
      <c r="F42" s="48">
        <f>'15W40'!F42</f>
        <v>38</v>
      </c>
      <c r="G42" s="49">
        <f>F42*G4</f>
        <v>134.9</v>
      </c>
      <c r="H42" s="49">
        <v>8</v>
      </c>
      <c r="I42" s="55">
        <f t="shared" si="2"/>
        <v>143.59000000000003</v>
      </c>
      <c r="J42" s="56">
        <f t="shared" si="3"/>
        <v>0.68784104002260915</v>
      </c>
      <c r="K42" s="56">
        <f t="shared" si="0"/>
        <v>0.31215895997739085</v>
      </c>
      <c r="Q42" s="50"/>
      <c r="R42" s="50"/>
      <c r="S42" s="50"/>
    </row>
    <row r="43" spans="1:19" ht="12.75" customHeight="1" x14ac:dyDescent="0.2">
      <c r="A43" s="48" t="s">
        <v>909</v>
      </c>
      <c r="B43" s="48">
        <f>'15W40'!B43+'Petro 10W30'!M4</f>
        <v>471.99</v>
      </c>
      <c r="C43" s="49">
        <f t="shared" si="5"/>
        <v>289.85480000000001</v>
      </c>
      <c r="D43" s="48"/>
      <c r="E43" s="49">
        <f>'15W40'!E43</f>
        <v>86.604800000000012</v>
      </c>
      <c r="F43" s="48">
        <f>'15W40'!F43</f>
        <v>55</v>
      </c>
      <c r="G43" s="49">
        <f>F43*G4</f>
        <v>195.25</v>
      </c>
      <c r="H43" s="49">
        <v>8</v>
      </c>
      <c r="I43" s="55">
        <f t="shared" si="2"/>
        <v>182.1352</v>
      </c>
      <c r="J43" s="56">
        <f t="shared" si="3"/>
        <v>0.61411216339329222</v>
      </c>
      <c r="K43" s="56">
        <f t="shared" si="0"/>
        <v>0.38588783660670778</v>
      </c>
      <c r="Q43" s="50"/>
      <c r="R43" s="50"/>
      <c r="S43" s="50"/>
    </row>
    <row r="44" spans="1:19" ht="12.75" customHeight="1" x14ac:dyDescent="0.2">
      <c r="A44" s="48" t="s">
        <v>910</v>
      </c>
      <c r="B44" s="48">
        <f>'15W40'!B44+'Petro 10W30'!M4</f>
        <v>544.99</v>
      </c>
      <c r="C44" s="49">
        <f t="shared" si="5"/>
        <v>376.75</v>
      </c>
      <c r="D44" s="48"/>
      <c r="E44" s="49">
        <f>'15W40'!E44</f>
        <v>173.5</v>
      </c>
      <c r="F44" s="48">
        <f>'15W40'!F44</f>
        <v>55</v>
      </c>
      <c r="G44" s="49">
        <f>F44*G4</f>
        <v>195.25</v>
      </c>
      <c r="H44" s="49">
        <v>8</v>
      </c>
      <c r="I44" s="55">
        <f t="shared" si="2"/>
        <v>168.24</v>
      </c>
      <c r="J44" s="56">
        <f t="shared" si="3"/>
        <v>0.6912970880199637</v>
      </c>
      <c r="K44" s="56">
        <f t="shared" si="0"/>
        <v>0.3087029119800363</v>
      </c>
      <c r="Q44" s="50"/>
      <c r="R44" s="50"/>
      <c r="S44" s="50"/>
    </row>
    <row r="45" spans="1:19" ht="12.75" customHeight="1" x14ac:dyDescent="0.2">
      <c r="A45" s="48" t="s">
        <v>656</v>
      </c>
      <c r="B45" s="48">
        <f>'15W40'!B45+'Petro 10W30'!M2</f>
        <v>342.99</v>
      </c>
      <c r="C45" s="49">
        <f t="shared" si="5"/>
        <v>193.28399999999999</v>
      </c>
      <c r="D45" s="48"/>
      <c r="E45" s="49">
        <f>'15W40'!E45</f>
        <v>50.384</v>
      </c>
      <c r="F45" s="48">
        <f>'15W40'!F45</f>
        <v>38</v>
      </c>
      <c r="G45" s="49">
        <f>F45*G4</f>
        <v>134.9</v>
      </c>
      <c r="H45" s="49">
        <v>8</v>
      </c>
      <c r="I45" s="55">
        <f t="shared" si="2"/>
        <v>149.70600000000002</v>
      </c>
      <c r="J45" s="56">
        <f t="shared" si="3"/>
        <v>0.56352663342954601</v>
      </c>
      <c r="K45" s="56">
        <f t="shared" si="0"/>
        <v>0.43647336657045399</v>
      </c>
      <c r="Q45" s="50"/>
      <c r="R45" s="50"/>
      <c r="S45" s="50"/>
    </row>
    <row r="46" spans="1:19" ht="12.75" customHeight="1" x14ac:dyDescent="0.2">
      <c r="A46" s="48" t="s">
        <v>657</v>
      </c>
      <c r="B46" s="48">
        <f>'15W40'!B46+'Petro 10W30'!M4</f>
        <v>412.99</v>
      </c>
      <c r="C46" s="49">
        <f t="shared" si="5"/>
        <v>242.98399999999998</v>
      </c>
      <c r="D46" s="48"/>
      <c r="E46" s="49">
        <f>'15W40'!E46</f>
        <v>50.384</v>
      </c>
      <c r="F46" s="48">
        <f>'15W40'!F46</f>
        <v>52</v>
      </c>
      <c r="G46" s="49">
        <f>F46*G4</f>
        <v>184.6</v>
      </c>
      <c r="H46" s="49">
        <v>8</v>
      </c>
      <c r="I46" s="55">
        <f t="shared" si="2"/>
        <v>170.00600000000003</v>
      </c>
      <c r="J46" s="56">
        <f t="shared" si="3"/>
        <v>0.58835322889174069</v>
      </c>
      <c r="K46" s="56">
        <f t="shared" si="0"/>
        <v>0.41164677110825931</v>
      </c>
      <c r="Q46" s="50"/>
      <c r="R46" s="50"/>
      <c r="S46" s="50"/>
    </row>
    <row r="47" spans="1:19" x14ac:dyDescent="0.2">
      <c r="A47" s="48" t="s">
        <v>658</v>
      </c>
      <c r="B47" s="48">
        <f>'15W40'!B47+'Petro 10W30'!M2</f>
        <v>451.99</v>
      </c>
      <c r="C47" s="49">
        <f t="shared" si="5"/>
        <v>304.28999999999996</v>
      </c>
      <c r="D47" s="48"/>
      <c r="E47" s="49">
        <f>'15W40'!E47</f>
        <v>161.38999999999999</v>
      </c>
      <c r="F47" s="48">
        <f>'15W40'!F47</f>
        <v>38</v>
      </c>
      <c r="G47" s="49">
        <f>F47*G4</f>
        <v>134.9</v>
      </c>
      <c r="H47" s="49">
        <v>8</v>
      </c>
      <c r="I47" s="55">
        <f t="shared" si="2"/>
        <v>147.70000000000005</v>
      </c>
      <c r="J47" s="56">
        <f t="shared" si="3"/>
        <v>0.67322285891280775</v>
      </c>
      <c r="K47" s="56">
        <f t="shared" si="0"/>
        <v>0.32677714108719225</v>
      </c>
      <c r="Q47" s="50"/>
      <c r="R47" s="50"/>
      <c r="S47" s="50"/>
    </row>
    <row r="48" spans="1:19" x14ac:dyDescent="0.2">
      <c r="A48" s="48" t="s">
        <v>659</v>
      </c>
      <c r="B48" s="48">
        <f>'15W40'!B48+'Petro 10W30'!M4</f>
        <v>524.99</v>
      </c>
      <c r="C48" s="49">
        <f t="shared" si="5"/>
        <v>353.99</v>
      </c>
      <c r="D48" s="48"/>
      <c r="E48" s="49">
        <f>'15W40'!E48</f>
        <v>161.38999999999999</v>
      </c>
      <c r="F48" s="48">
        <f>'15W40'!F48</f>
        <v>52</v>
      </c>
      <c r="G48" s="49">
        <f>F48*G4</f>
        <v>184.6</v>
      </c>
      <c r="H48" s="49">
        <v>8</v>
      </c>
      <c r="I48" s="55">
        <f t="shared" si="2"/>
        <v>171</v>
      </c>
      <c r="J48" s="56">
        <f t="shared" si="3"/>
        <v>0.67427951008590636</v>
      </c>
      <c r="K48" s="56">
        <f t="shared" si="0"/>
        <v>0.32572048991409364</v>
      </c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Q49" s="50"/>
      <c r="R49" s="50"/>
      <c r="S49" s="50"/>
    </row>
    <row r="50" spans="1:19" x14ac:dyDescent="0.2">
      <c r="A50" s="48" t="s">
        <v>660</v>
      </c>
      <c r="B50" s="48">
        <f>'15W40'!B50+'Petro 10W30'!M2</f>
        <v>460.99</v>
      </c>
      <c r="C50" s="49">
        <f t="shared" si="5"/>
        <v>322.98</v>
      </c>
      <c r="D50" s="48"/>
      <c r="E50" s="49">
        <f>'15W40'!E50</f>
        <v>222.68</v>
      </c>
      <c r="F50" s="48">
        <f>'15W40'!F50</f>
        <v>26</v>
      </c>
      <c r="G50" s="49">
        <f>F50*G4</f>
        <v>92.3</v>
      </c>
      <c r="H50" s="49">
        <v>8</v>
      </c>
      <c r="I50" s="55">
        <f t="shared" si="2"/>
        <v>138.01</v>
      </c>
      <c r="J50" s="56">
        <f t="shared" si="3"/>
        <v>0.70062257315776921</v>
      </c>
      <c r="K50" s="56">
        <f t="shared" si="0"/>
        <v>0.29937742684223079</v>
      </c>
      <c r="Q50" s="50"/>
      <c r="R50" s="50"/>
      <c r="S50" s="50"/>
    </row>
    <row r="51" spans="1:19" x14ac:dyDescent="0.2">
      <c r="A51" s="48" t="s">
        <v>661</v>
      </c>
      <c r="B51" s="48">
        <f>'15W40'!B51+'Petro 10W30'!M2</f>
        <v>381.99</v>
      </c>
      <c r="C51" s="49">
        <f t="shared" si="5"/>
        <v>245.476</v>
      </c>
      <c r="D51" s="48"/>
      <c r="E51" s="49">
        <f>'15W40'!E51</f>
        <v>145.17599999999999</v>
      </c>
      <c r="F51" s="48">
        <f>'15W40'!F51</f>
        <v>26</v>
      </c>
      <c r="G51" s="49">
        <f>F51*G4</f>
        <v>92.3</v>
      </c>
      <c r="H51" s="49">
        <v>8</v>
      </c>
      <c r="I51" s="55">
        <f t="shared" si="2"/>
        <v>136.51400000000001</v>
      </c>
      <c r="J51" s="56">
        <f t="shared" si="3"/>
        <v>0.64262415246472415</v>
      </c>
      <c r="K51" s="56">
        <f t="shared" si="0"/>
        <v>0.35737584753527585</v>
      </c>
      <c r="Q51" s="50"/>
      <c r="R51" s="50"/>
      <c r="S51" s="50"/>
    </row>
    <row r="52" spans="1:19" x14ac:dyDescent="0.2">
      <c r="A52" s="48" t="s">
        <v>662</v>
      </c>
      <c r="B52" s="48">
        <f>'15W40'!B52+'Petro 10W30'!M2</f>
        <v>459.99</v>
      </c>
      <c r="C52" s="49">
        <f t="shared" si="5"/>
        <v>307.59000000000003</v>
      </c>
      <c r="D52" s="48"/>
      <c r="E52" s="49">
        <f>'15W40'!E52</f>
        <v>164.69</v>
      </c>
      <c r="F52" s="48">
        <f>'15W40'!F52</f>
        <v>38</v>
      </c>
      <c r="G52" s="49">
        <f>F52*G4</f>
        <v>134.9</v>
      </c>
      <c r="H52" s="49">
        <v>8</v>
      </c>
      <c r="I52" s="55">
        <f t="shared" si="2"/>
        <v>152.39999999999998</v>
      </c>
      <c r="J52" s="56">
        <f t="shared" si="3"/>
        <v>0.66868844974890762</v>
      </c>
      <c r="K52" s="56">
        <f t="shared" si="0"/>
        <v>0.33131155025109238</v>
      </c>
      <c r="Q52" s="50"/>
      <c r="R52" s="50"/>
      <c r="S52" s="50"/>
    </row>
    <row r="53" spans="1:19" x14ac:dyDescent="0.2">
      <c r="A53" s="48" t="s">
        <v>663</v>
      </c>
      <c r="B53" s="48">
        <f>'15W40'!B53+'Petro 10W30'!M2</f>
        <v>381.99</v>
      </c>
      <c r="C53" s="49">
        <f t="shared" si="5"/>
        <v>231.70319999999998</v>
      </c>
      <c r="D53" s="48"/>
      <c r="E53" s="49">
        <f>'15W40'!E53</f>
        <v>88.80319999999999</v>
      </c>
      <c r="F53" s="48">
        <f>'15W40'!F53</f>
        <v>38</v>
      </c>
      <c r="G53" s="49">
        <f>F53*G4</f>
        <v>134.9</v>
      </c>
      <c r="H53" s="49">
        <v>8</v>
      </c>
      <c r="I53" s="55">
        <f t="shared" si="2"/>
        <v>150.28680000000003</v>
      </c>
      <c r="J53" s="56">
        <f t="shared" si="3"/>
        <v>0.60656875834445922</v>
      </c>
      <c r="K53" s="56">
        <f t="shared" si="0"/>
        <v>0.39343124165554078</v>
      </c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Q54" s="50"/>
      <c r="R54" s="50"/>
      <c r="S54" s="50"/>
    </row>
    <row r="55" spans="1:19" x14ac:dyDescent="0.2">
      <c r="A55" s="48" t="s">
        <v>665</v>
      </c>
      <c r="B55" s="48">
        <f>'15W40'!B55+'Petro 10W30'!M3</f>
        <v>394.99</v>
      </c>
      <c r="C55" s="49">
        <f t="shared" ref="C55:C60" si="6">E55+G55+H55</f>
        <v>224.86</v>
      </c>
      <c r="D55" s="48"/>
      <c r="E55" s="49">
        <f>'15W40'!E55</f>
        <v>50.010000000000005</v>
      </c>
      <c r="F55" s="48">
        <f>'15W40'!F55</f>
        <v>47</v>
      </c>
      <c r="G55" s="49">
        <f>F55*G4</f>
        <v>166.85</v>
      </c>
      <c r="H55" s="49">
        <v>8</v>
      </c>
      <c r="I55" s="55">
        <f t="shared" si="2"/>
        <v>170.13</v>
      </c>
      <c r="J55" s="56">
        <f t="shared" si="3"/>
        <v>0.56928023494265678</v>
      </c>
      <c r="K55" s="56">
        <f t="shared" si="0"/>
        <v>0.43071976505734322</v>
      </c>
      <c r="Q55" s="50"/>
      <c r="R55" s="50"/>
      <c r="S55" s="50"/>
    </row>
    <row r="56" spans="1:19" x14ac:dyDescent="0.2">
      <c r="A56" s="48" t="s">
        <v>666</v>
      </c>
      <c r="B56" s="48">
        <f>'15W40'!B56+'Petro 10W30'!M3</f>
        <v>372.99</v>
      </c>
      <c r="C56" s="49">
        <f t="shared" si="6"/>
        <v>216.29159999999999</v>
      </c>
      <c r="D56" s="48"/>
      <c r="E56" s="49">
        <f>'15W40'!E56</f>
        <v>41.441600000000001</v>
      </c>
      <c r="F56" s="48">
        <f>'15W40'!F56</f>
        <v>47</v>
      </c>
      <c r="G56" s="49">
        <f>F56*G4</f>
        <v>166.85</v>
      </c>
      <c r="H56" s="49">
        <v>8</v>
      </c>
      <c r="I56" s="55">
        <f t="shared" si="2"/>
        <v>156.69840000000002</v>
      </c>
      <c r="J56" s="56">
        <f t="shared" si="3"/>
        <v>0.57988578782272981</v>
      </c>
      <c r="K56" s="56">
        <f t="shared" si="0"/>
        <v>0.42011421217727019</v>
      </c>
      <c r="Q56" s="50"/>
      <c r="R56" s="50"/>
      <c r="S56" s="50"/>
    </row>
    <row r="57" spans="1:19" x14ac:dyDescent="0.2">
      <c r="A57" s="48" t="s">
        <v>667</v>
      </c>
      <c r="B57" s="48">
        <f>'15W40'!B57+'Petro 10W30'!M2</f>
        <v>304.99</v>
      </c>
      <c r="C57" s="49">
        <f t="shared" si="6"/>
        <v>147.85</v>
      </c>
      <c r="D57" s="48"/>
      <c r="E57" s="49">
        <f>'15W40'!E57</f>
        <v>47.55</v>
      </c>
      <c r="F57" s="48">
        <f>'15W40'!F57</f>
        <v>26</v>
      </c>
      <c r="G57" s="49">
        <f>F57*G4</f>
        <v>92.3</v>
      </c>
      <c r="H57" s="49">
        <v>8</v>
      </c>
      <c r="I57" s="55">
        <f t="shared" si="2"/>
        <v>157.14000000000001</v>
      </c>
      <c r="J57" s="56">
        <f t="shared" si="3"/>
        <v>0.48476999245876912</v>
      </c>
      <c r="K57" s="56">
        <f t="shared" si="0"/>
        <v>0.51523000754123083</v>
      </c>
      <c r="Q57" s="50"/>
      <c r="R57" s="50"/>
      <c r="S57" s="50"/>
    </row>
    <row r="58" spans="1:19" x14ac:dyDescent="0.2">
      <c r="A58" s="48" t="s">
        <v>668</v>
      </c>
      <c r="B58" s="48">
        <f>'15W40'!B58+'Petro 10W30'!M2</f>
        <v>266.99</v>
      </c>
      <c r="C58" s="49">
        <f t="shared" si="6"/>
        <v>133.77600000000001</v>
      </c>
      <c r="D58" s="48"/>
      <c r="E58" s="49">
        <f>'15W40'!E58</f>
        <v>33.475999999999999</v>
      </c>
      <c r="F58" s="48">
        <f>'15W40'!F58</f>
        <v>26</v>
      </c>
      <c r="G58" s="49">
        <f>F58*G4</f>
        <v>92.3</v>
      </c>
      <c r="H58" s="49">
        <v>8</v>
      </c>
      <c r="I58" s="55">
        <f t="shared" si="2"/>
        <v>133.214</v>
      </c>
      <c r="J58" s="56">
        <f t="shared" si="3"/>
        <v>0.50105247387542606</v>
      </c>
      <c r="K58" s="56">
        <f t="shared" si="0"/>
        <v>0.49894752612457394</v>
      </c>
      <c r="Q58" s="50"/>
      <c r="R58" s="50"/>
      <c r="S58" s="50"/>
    </row>
    <row r="59" spans="1:19" x14ac:dyDescent="0.2">
      <c r="A59" s="48" t="s">
        <v>669</v>
      </c>
      <c r="B59" s="48">
        <f>'15W40'!B59+'Petro 10W30'!M2</f>
        <v>244.99</v>
      </c>
      <c r="C59" s="49">
        <f t="shared" si="6"/>
        <v>93.199999999999989</v>
      </c>
      <c r="D59" s="48"/>
      <c r="E59" s="49">
        <f>'15W40'!E59</f>
        <v>0</v>
      </c>
      <c r="F59" s="48">
        <f>'15W40'!F59</f>
        <v>24</v>
      </c>
      <c r="G59" s="49">
        <f>F59*G4</f>
        <v>85.199999999999989</v>
      </c>
      <c r="H59" s="49">
        <v>8</v>
      </c>
      <c r="I59" s="55">
        <f t="shared" si="2"/>
        <v>151.79000000000002</v>
      </c>
      <c r="J59" s="56">
        <f t="shared" si="3"/>
        <v>0.38042369076288823</v>
      </c>
      <c r="K59" s="56">
        <f t="shared" si="0"/>
        <v>0.61957630923711182</v>
      </c>
      <c r="Q59" s="50"/>
      <c r="R59" s="50"/>
      <c r="S59" s="50"/>
    </row>
    <row r="60" spans="1:19" x14ac:dyDescent="0.2">
      <c r="A60" s="48" t="s">
        <v>691</v>
      </c>
      <c r="B60" s="48">
        <f>'15W40'!B60+'Petro 10W30'!M1</f>
        <v>244.99</v>
      </c>
      <c r="C60" s="49">
        <f t="shared" si="6"/>
        <v>127.39000000000001</v>
      </c>
      <c r="D60" s="48"/>
      <c r="E60" s="49">
        <f>'15W40'!E60</f>
        <v>73.240000000000009</v>
      </c>
      <c r="F60" s="48">
        <f>'15W40'!F60</f>
        <v>13</v>
      </c>
      <c r="G60" s="49">
        <f>F60*G4</f>
        <v>46.15</v>
      </c>
      <c r="H60" s="49">
        <v>8</v>
      </c>
      <c r="I60" s="55">
        <f t="shared" si="2"/>
        <v>117.6</v>
      </c>
      <c r="J60" s="56">
        <f t="shared" si="3"/>
        <v>0.51998040736356588</v>
      </c>
      <c r="K60" s="56">
        <f t="shared" si="0"/>
        <v>0.48001959263643412</v>
      </c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Q62" s="50"/>
      <c r="R62" s="50"/>
      <c r="S62" s="50"/>
    </row>
    <row r="63" spans="1:19" x14ac:dyDescent="0.2">
      <c r="A63" s="48" t="s">
        <v>673</v>
      </c>
      <c r="B63" s="48">
        <f>'15W40'!B63+'Petro 10W30'!M2</f>
        <v>271.99</v>
      </c>
      <c r="C63" s="49">
        <f>E63+G63+H63</f>
        <v>138.32640000000001</v>
      </c>
      <c r="D63" s="48"/>
      <c r="E63" s="49">
        <f>'15W40'!E63</f>
        <v>38.026400000000002</v>
      </c>
      <c r="F63" s="48">
        <f>'15W40'!F63</f>
        <v>26</v>
      </c>
      <c r="G63" s="49">
        <f>F63*G4</f>
        <v>92.3</v>
      </c>
      <c r="H63" s="49">
        <v>8</v>
      </c>
      <c r="I63" s="55">
        <f t="shared" si="2"/>
        <v>133.6636</v>
      </c>
      <c r="J63" s="56">
        <f t="shared" si="3"/>
        <v>0.50857163866318611</v>
      </c>
      <c r="K63" s="56">
        <f t="shared" si="0"/>
        <v>0.49142836133681389</v>
      </c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Q64" s="50"/>
      <c r="R64" s="50"/>
      <c r="S64" s="50"/>
    </row>
    <row r="65" spans="1:19" x14ac:dyDescent="0.2">
      <c r="A65" s="48" t="s">
        <v>674</v>
      </c>
      <c r="B65" s="48">
        <f>'15W40'!B65+'Petro 10W30'!M3</f>
        <v>488.99</v>
      </c>
      <c r="C65" s="49">
        <f>E65+G65+H65</f>
        <v>333.35</v>
      </c>
      <c r="D65" s="48"/>
      <c r="E65" s="49">
        <f>'15W40'!E65</f>
        <v>162.05000000000001</v>
      </c>
      <c r="F65" s="48">
        <f>'15W40'!F65</f>
        <v>46</v>
      </c>
      <c r="G65" s="49">
        <f>F65*G4</f>
        <v>163.29999999999998</v>
      </c>
      <c r="H65" s="49">
        <v>8</v>
      </c>
      <c r="I65" s="55">
        <f t="shared" si="2"/>
        <v>155.63999999999999</v>
      </c>
      <c r="J65" s="56">
        <f t="shared" si="3"/>
        <v>0.68171128243931367</v>
      </c>
      <c r="K65" s="56">
        <f t="shared" si="0"/>
        <v>0.31828871756068633</v>
      </c>
      <c r="Q65" s="50"/>
      <c r="R65" s="50"/>
      <c r="S65" s="50"/>
    </row>
    <row r="66" spans="1:19" x14ac:dyDescent="0.2">
      <c r="A66" s="48" t="s">
        <v>675</v>
      </c>
      <c r="B66" s="48">
        <f>'15W40'!B66+'Petro 10W30'!M3</f>
        <v>409.99</v>
      </c>
      <c r="C66" s="49">
        <f>E66+G66+H66</f>
        <v>251.1472</v>
      </c>
      <c r="D66" s="48"/>
      <c r="E66" s="49">
        <f>'15W40'!E66</f>
        <v>79.847200000000001</v>
      </c>
      <c r="F66" s="48">
        <f>'15W40'!F66</f>
        <v>46</v>
      </c>
      <c r="G66" s="49">
        <f>F66*G4</f>
        <v>163.29999999999998</v>
      </c>
      <c r="H66" s="49">
        <v>8</v>
      </c>
      <c r="I66" s="55">
        <f t="shared" si="2"/>
        <v>158.84280000000001</v>
      </c>
      <c r="J66" s="56">
        <f t="shared" si="3"/>
        <v>0.61256908705090363</v>
      </c>
      <c r="K66" s="56">
        <f t="shared" si="0"/>
        <v>0.38743091294909637</v>
      </c>
      <c r="Q66" s="50"/>
      <c r="R66" s="50"/>
      <c r="S66" s="50"/>
    </row>
    <row r="67" spans="1:19" x14ac:dyDescent="0.2">
      <c r="A67" s="48" t="s">
        <v>676</v>
      </c>
      <c r="B67" s="48">
        <f>'15W40'!B67+'Petro 10W30'!M2</f>
        <v>254.99</v>
      </c>
      <c r="C67" s="49">
        <f>E67+G67+H67</f>
        <v>119.88799999999999</v>
      </c>
      <c r="D67" s="48"/>
      <c r="E67" s="49">
        <f>'15W40'!E67</f>
        <v>26.688000000000002</v>
      </c>
      <c r="F67" s="48">
        <f>'15W40'!F67</f>
        <v>24</v>
      </c>
      <c r="G67" s="49">
        <f>F67*G4</f>
        <v>85.199999999999989</v>
      </c>
      <c r="H67" s="49">
        <v>8</v>
      </c>
      <c r="I67" s="55">
        <f t="shared" si="2"/>
        <v>135.10200000000003</v>
      </c>
      <c r="J67" s="56">
        <f t="shared" si="3"/>
        <v>0.47016745754735473</v>
      </c>
      <c r="K67" s="56">
        <f t="shared" si="0"/>
        <v>0.52983254245264533</v>
      </c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Q68" s="50"/>
      <c r="R68" s="50"/>
      <c r="S68" s="50"/>
    </row>
    <row r="69" spans="1:19" x14ac:dyDescent="0.2">
      <c r="A69" s="48" t="s">
        <v>677</v>
      </c>
      <c r="B69" s="48">
        <f>'15W40'!B69+'Petro 10W30'!M2</f>
        <v>370.99</v>
      </c>
      <c r="C69" s="49">
        <f t="shared" ref="C69:C74" si="7">E69+G69+H69</f>
        <v>215.3048</v>
      </c>
      <c r="D69" s="48"/>
      <c r="E69" s="49">
        <f>'15W40'!E69</f>
        <v>86.604800000000012</v>
      </c>
      <c r="F69" s="48">
        <f>'15W40'!F69</f>
        <v>34</v>
      </c>
      <c r="G69" s="49">
        <f>F69*G4</f>
        <v>120.69999999999999</v>
      </c>
      <c r="H69" s="49">
        <v>8</v>
      </c>
      <c r="I69" s="55">
        <f t="shared" si="2"/>
        <v>155.68520000000001</v>
      </c>
      <c r="J69" s="56">
        <f t="shared" si="3"/>
        <v>0.58035203105204991</v>
      </c>
      <c r="K69" s="56">
        <f t="shared" si="0"/>
        <v>0.41964796894795009</v>
      </c>
      <c r="Q69" s="50"/>
      <c r="R69" s="50"/>
      <c r="S69" s="50"/>
    </row>
    <row r="70" spans="1:19" x14ac:dyDescent="0.2">
      <c r="A70" s="48" t="s">
        <v>678</v>
      </c>
      <c r="B70" s="48">
        <f>'15W40'!B70+'Petro 10W30'!M3</f>
        <v>409.99</v>
      </c>
      <c r="C70" s="49">
        <f t="shared" si="7"/>
        <v>243.70480000000001</v>
      </c>
      <c r="D70" s="48"/>
      <c r="E70" s="49">
        <f>'15W40'!E70</f>
        <v>86.604800000000012</v>
      </c>
      <c r="F70" s="48">
        <f>'15W40'!F70</f>
        <v>42</v>
      </c>
      <c r="G70" s="49">
        <f>F70*G4</f>
        <v>149.1</v>
      </c>
      <c r="H70" s="49">
        <v>8</v>
      </c>
      <c r="I70" s="55">
        <f t="shared" si="2"/>
        <v>166.2852</v>
      </c>
      <c r="J70" s="56">
        <f t="shared" si="3"/>
        <v>0.59441644918168735</v>
      </c>
      <c r="K70" s="56">
        <f t="shared" si="0"/>
        <v>0.40558355081831265</v>
      </c>
      <c r="Q70" s="50"/>
      <c r="R70" s="50"/>
      <c r="S70" s="50"/>
    </row>
    <row r="71" spans="1:19" x14ac:dyDescent="0.2">
      <c r="A71" s="48" t="s">
        <v>679</v>
      </c>
      <c r="B71" s="48">
        <f>'15W40'!B71+'Petro 10W30'!M4</f>
        <v>459.99</v>
      </c>
      <c r="C71" s="49">
        <f t="shared" si="7"/>
        <v>279.20479999999998</v>
      </c>
      <c r="D71" s="48"/>
      <c r="E71" s="49">
        <f>'15W40'!E71</f>
        <v>86.604800000000012</v>
      </c>
      <c r="F71" s="48">
        <f>'15W40'!F71</f>
        <v>52</v>
      </c>
      <c r="G71" s="49">
        <f>F71*G4</f>
        <v>184.6</v>
      </c>
      <c r="H71" s="49">
        <v>8</v>
      </c>
      <c r="I71" s="55">
        <f t="shared" si="2"/>
        <v>180.78520000000003</v>
      </c>
      <c r="J71" s="56">
        <f t="shared" si="3"/>
        <v>0.60698015174242914</v>
      </c>
      <c r="K71" s="56">
        <f t="shared" si="0"/>
        <v>0.39301984825757086</v>
      </c>
      <c r="Q71" s="50"/>
      <c r="R71" s="50"/>
      <c r="S71" s="50"/>
    </row>
    <row r="72" spans="1:19" x14ac:dyDescent="0.2">
      <c r="A72" s="48" t="s">
        <v>680</v>
      </c>
      <c r="B72" s="48">
        <f>'15W40'!B72+'Petro 10W30'!M2</f>
        <v>439.99</v>
      </c>
      <c r="C72" s="49">
        <f t="shared" si="7"/>
        <v>294.99</v>
      </c>
      <c r="D72" s="48"/>
      <c r="E72" s="49">
        <f>'15W40'!E72</f>
        <v>166.29</v>
      </c>
      <c r="F72" s="48">
        <f>'15W40'!F72</f>
        <v>34</v>
      </c>
      <c r="G72" s="49">
        <f>F72*G4</f>
        <v>120.69999999999999</v>
      </c>
      <c r="H72" s="49">
        <v>8</v>
      </c>
      <c r="I72" s="55">
        <f t="shared" si="2"/>
        <v>145</v>
      </c>
      <c r="J72" s="56">
        <f t="shared" si="3"/>
        <v>0.67044705561490037</v>
      </c>
      <c r="K72" s="56">
        <f t="shared" si="0"/>
        <v>0.32955294438509963</v>
      </c>
      <c r="Q72" s="50"/>
      <c r="R72" s="50"/>
      <c r="S72" s="50"/>
    </row>
    <row r="73" spans="1:19" x14ac:dyDescent="0.2">
      <c r="A73" s="48" t="s">
        <v>681</v>
      </c>
      <c r="B73" s="48">
        <f>'15W40'!B73+'Petro 10W30'!M3</f>
        <v>479.99</v>
      </c>
      <c r="C73" s="49">
        <f t="shared" si="7"/>
        <v>323.39</v>
      </c>
      <c r="D73" s="48"/>
      <c r="E73" s="49">
        <f>'15W40'!E73</f>
        <v>166.29</v>
      </c>
      <c r="F73" s="48">
        <f>'15W40'!F73</f>
        <v>42</v>
      </c>
      <c r="G73" s="49">
        <f>F73*G4</f>
        <v>149.1</v>
      </c>
      <c r="H73" s="49">
        <v>8</v>
      </c>
      <c r="I73" s="55">
        <f t="shared" si="2"/>
        <v>156.60000000000002</v>
      </c>
      <c r="J73" s="56">
        <f t="shared" si="3"/>
        <v>0.67374320298339541</v>
      </c>
      <c r="K73" s="56">
        <f t="shared" si="0"/>
        <v>0.32625679701660459</v>
      </c>
      <c r="Q73" s="50"/>
      <c r="R73" s="50"/>
      <c r="S73" s="50"/>
    </row>
    <row r="74" spans="1:19" x14ac:dyDescent="0.2">
      <c r="A74" s="48" t="s">
        <v>682</v>
      </c>
      <c r="B74" s="48">
        <f>'15W40'!B74+'Petro 10W30'!M4</f>
        <v>527.99</v>
      </c>
      <c r="C74" s="49">
        <f t="shared" si="7"/>
        <v>358.89</v>
      </c>
      <c r="D74" s="48"/>
      <c r="E74" s="49">
        <f>'15W40'!E74</f>
        <v>166.29</v>
      </c>
      <c r="F74" s="48">
        <f>'15W40'!F74</f>
        <v>52</v>
      </c>
      <c r="G74" s="49">
        <f>F74*G4</f>
        <v>184.6</v>
      </c>
      <c r="H74" s="49">
        <v>8</v>
      </c>
      <c r="I74" s="55">
        <f t="shared" si="2"/>
        <v>169.10000000000002</v>
      </c>
      <c r="J74" s="56">
        <f t="shared" si="3"/>
        <v>0.67972878274209736</v>
      </c>
      <c r="K74" s="56">
        <f t="shared" ref="K74" si="8">1-J74</f>
        <v>0.32027121725790264</v>
      </c>
      <c r="Q74" s="50"/>
      <c r="R74" s="50"/>
      <c r="S74" s="5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83CD-1243-45DB-85F1-4DEBE0C31A0D}">
  <dimension ref="A1:S78"/>
  <sheetViews>
    <sheetView zoomScale="120" zoomScaleNormal="120" workbookViewId="0">
      <pane ySplit="4" topLeftCell="A5" activePane="bottomLeft" state="frozen"/>
      <selection pane="bottomLeft" activeCell="G2" sqref="G2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4.8554687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5703125" style="46" customWidth="1"/>
    <col min="14" max="14" width="7.42578125" style="46" customWidth="1"/>
    <col min="15" max="15" width="7.140625" style="46" customWidth="1"/>
    <col min="16" max="16384" width="9.140625" style="46"/>
  </cols>
  <sheetData>
    <row r="1" spans="1:19" ht="12.75" customHeight="1" x14ac:dyDescent="0.2">
      <c r="A1" s="46" t="s">
        <v>625</v>
      </c>
      <c r="B1" s="197" t="s">
        <v>1256</v>
      </c>
      <c r="C1" s="47" t="s">
        <v>1005</v>
      </c>
      <c r="G1" s="50">
        <v>4.05</v>
      </c>
      <c r="H1" s="46">
        <v>0.05</v>
      </c>
      <c r="L1" s="48" t="s">
        <v>693</v>
      </c>
      <c r="M1" s="48">
        <v>10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1250</v>
      </c>
      <c r="O3" s="48" t="s">
        <v>1251</v>
      </c>
    </row>
    <row r="4" spans="1:19" ht="12.75" customHeight="1" x14ac:dyDescent="0.2">
      <c r="G4" s="50">
        <f>G1+H1</f>
        <v>4.0999999999999996</v>
      </c>
      <c r="H4" s="50"/>
      <c r="J4" s="46">
        <v>1</v>
      </c>
      <c r="L4" s="48" t="s">
        <v>696</v>
      </c>
      <c r="M4" s="48">
        <v>25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'Petro 10W30'!B6+('Petro 10W30Gallon'!G4-'Petro 10W30'!G4)*'Petro 10W30Gallon'!F6+'Petro 10W30Gallon'!M2</f>
        <v>319.74</v>
      </c>
      <c r="C6" s="49">
        <f>E6+G6+H6</f>
        <v>163.79</v>
      </c>
      <c r="D6" s="48"/>
      <c r="E6" s="49">
        <f>'15W40'!E6</f>
        <v>53.290000000000006</v>
      </c>
      <c r="F6" s="48">
        <f>'15W40'!F6</f>
        <v>25</v>
      </c>
      <c r="G6" s="49">
        <f>F6*G4</f>
        <v>102.49999999999999</v>
      </c>
      <c r="H6" s="49">
        <v>8</v>
      </c>
      <c r="I6" s="55">
        <f>B6-C6</f>
        <v>155.95000000000002</v>
      </c>
      <c r="J6" s="56">
        <f>C6/B6</f>
        <v>0.51225996121848993</v>
      </c>
      <c r="K6" s="56">
        <f>1-J6</f>
        <v>0.48774003878151007</v>
      </c>
      <c r="L6" s="48"/>
      <c r="M6" s="48"/>
      <c r="N6" s="49">
        <f>B6-'T5'!B6</f>
        <v>28.75</v>
      </c>
      <c r="O6" s="49">
        <f>C6-'T5'!C6</f>
        <v>3.9999999999999716</v>
      </c>
      <c r="P6" s="49"/>
      <c r="Q6" s="50"/>
      <c r="R6" s="50"/>
      <c r="S6" s="50"/>
    </row>
    <row r="7" spans="1:19" ht="12.75" customHeight="1" x14ac:dyDescent="0.2">
      <c r="A7" s="48" t="s">
        <v>633</v>
      </c>
      <c r="B7" s="48">
        <f>'Petro 10W30'!B7+('Petro 10W30Gallon'!G4-'Petro 10W30'!G4)*'Petro 10W30Gallon'!F7+'Petro 10W30Gallon'!M2</f>
        <v>297.74</v>
      </c>
      <c r="C7" s="49">
        <f>E7+G7+H7</f>
        <v>132.29919999999998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102.49999999999999</v>
      </c>
      <c r="H7" s="49">
        <v>8</v>
      </c>
      <c r="I7" s="55">
        <f>B7-C7</f>
        <v>165.44080000000002</v>
      </c>
      <c r="J7" s="56">
        <f>C7/B7</f>
        <v>0.44434473030160537</v>
      </c>
      <c r="K7" s="56">
        <f t="shared" ref="K7:K73" si="0">1-J7</f>
        <v>0.55565526969839463</v>
      </c>
      <c r="L7" s="48"/>
      <c r="M7" s="48"/>
      <c r="N7" s="49">
        <f>B7-'T5'!B7</f>
        <v>28.75</v>
      </c>
      <c r="O7" s="49">
        <f>C7-'T5'!C7</f>
        <v>4</v>
      </c>
      <c r="P7" s="48"/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L8" s="48"/>
      <c r="M8" s="48"/>
      <c r="N8" s="48"/>
      <c r="O8" s="49"/>
      <c r="P8" s="48"/>
      <c r="Q8" s="50"/>
      <c r="R8" s="50"/>
      <c r="S8" s="50"/>
    </row>
    <row r="9" spans="1:19" ht="12.75" customHeight="1" x14ac:dyDescent="0.2">
      <c r="A9" s="48" t="s">
        <v>634</v>
      </c>
      <c r="B9" s="48">
        <f>'Petro 10W30'!B9+('Petro 10W30Gallon'!G4-'Petro 10W30'!G4)*'Petro 10W30Gallon'!F9+'Petro 10W30Gallon'!M2</f>
        <v>395.89</v>
      </c>
      <c r="C9" s="49">
        <f>E9+G9+H9</f>
        <v>234.38</v>
      </c>
      <c r="D9" s="48"/>
      <c r="E9" s="49">
        <f>'15W40'!E9</f>
        <v>70.58</v>
      </c>
      <c r="F9" s="48">
        <f>'15W40'!F9</f>
        <v>38</v>
      </c>
      <c r="G9" s="49">
        <f>F9*G4</f>
        <v>155.79999999999998</v>
      </c>
      <c r="H9" s="49">
        <v>8</v>
      </c>
      <c r="I9" s="55">
        <f>B9-C9</f>
        <v>161.51</v>
      </c>
      <c r="J9" s="56">
        <f>C9/B9</f>
        <v>0.59203314051883105</v>
      </c>
      <c r="K9" s="56">
        <f t="shared" si="0"/>
        <v>0.40796685948116895</v>
      </c>
      <c r="L9" s="48"/>
      <c r="M9" s="48"/>
      <c r="N9" s="49">
        <f>B9-'T5'!B9</f>
        <v>35.899999999999977</v>
      </c>
      <c r="O9" s="49">
        <f>C9-'T5'!C9</f>
        <v>6.0799999999999841</v>
      </c>
      <c r="P9" s="48"/>
      <c r="Q9" s="50"/>
      <c r="R9" s="50"/>
      <c r="S9" s="50"/>
    </row>
    <row r="10" spans="1:19" ht="12.75" customHeight="1" x14ac:dyDescent="0.2">
      <c r="A10" s="48" t="s">
        <v>635</v>
      </c>
      <c r="B10" s="48">
        <f>'Petro 10W30'!B10+('Petro 10W30Gallon'!G4-'Petro 10W30'!G4)*'Petro 10W30Gallon'!F10+'Petro 10W30Gallon'!M2</f>
        <v>354.89</v>
      </c>
      <c r="C10" s="49">
        <f>E10+G10+H10</f>
        <v>194.84479999999999</v>
      </c>
      <c r="D10" s="48"/>
      <c r="E10" s="49">
        <f>'15W40'!E10</f>
        <v>31.044799999999999</v>
      </c>
      <c r="F10" s="48">
        <f>'15W40'!F10</f>
        <v>38</v>
      </c>
      <c r="G10" s="49">
        <f>F10*G4</f>
        <v>155.79999999999998</v>
      </c>
      <c r="H10" s="49">
        <v>8</v>
      </c>
      <c r="I10" s="55">
        <f>B10-C10</f>
        <v>160.04519999999999</v>
      </c>
      <c r="J10" s="56">
        <f>C10/B10</f>
        <v>0.549028713122376</v>
      </c>
      <c r="K10" s="56">
        <f t="shared" si="0"/>
        <v>0.450971286877624</v>
      </c>
      <c r="L10" s="48"/>
      <c r="M10" s="48"/>
      <c r="N10" s="49">
        <f>B10-'T5'!B10</f>
        <v>35.899999999999977</v>
      </c>
      <c r="O10" s="49">
        <f>C10-'T5'!C10</f>
        <v>6.0799999999999841</v>
      </c>
      <c r="P10" s="48"/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8"/>
      <c r="M11" s="48"/>
      <c r="N11" s="49"/>
      <c r="O11" s="49"/>
      <c r="P11" s="48"/>
      <c r="Q11" s="50"/>
      <c r="R11" s="50"/>
      <c r="S11" s="50"/>
    </row>
    <row r="12" spans="1:19" ht="12.75" customHeight="1" x14ac:dyDescent="0.2">
      <c r="A12" s="48" t="s">
        <v>637</v>
      </c>
      <c r="B12" s="48">
        <f>'Petro 10W30'!B12+('Petro 10W30Gallon'!G4-'Petro 10W30'!G4)*'Petro 10W30Gallon'!F12+'Petro 10W30Gallon'!M3</f>
        <v>428.64</v>
      </c>
      <c r="C12" s="49">
        <f>E12+G12+H12</f>
        <v>254.88</v>
      </c>
      <c r="D12" s="48"/>
      <c r="E12" s="49">
        <f>'15W40'!E12</f>
        <v>70.58</v>
      </c>
      <c r="F12" s="48">
        <f>'15W40'!F12</f>
        <v>43</v>
      </c>
      <c r="G12" s="49">
        <f>F12*G4</f>
        <v>176.29999999999998</v>
      </c>
      <c r="H12" s="49">
        <v>8</v>
      </c>
      <c r="I12" s="55">
        <f>B12-C12</f>
        <v>173.76</v>
      </c>
      <c r="J12" s="56">
        <f>C12/B12</f>
        <v>0.59462486002239645</v>
      </c>
      <c r="K12" s="56">
        <f t="shared" si="0"/>
        <v>0.40537513997760355</v>
      </c>
      <c r="L12" s="48"/>
      <c r="M12" s="48"/>
      <c r="N12" s="49">
        <f>B12-'T5'!B12</f>
        <v>43.649999999999977</v>
      </c>
      <c r="O12" s="49">
        <f>C12-'T5'!C12</f>
        <v>6.8799999999999955</v>
      </c>
      <c r="P12" s="48"/>
      <c r="Q12" s="50"/>
      <c r="R12" s="50"/>
      <c r="S12" s="50"/>
    </row>
    <row r="13" spans="1:19" ht="12.75" customHeight="1" x14ac:dyDescent="0.2">
      <c r="A13" s="48" t="s">
        <v>638</v>
      </c>
      <c r="B13" s="48">
        <f>'Petro 10W30'!B13+('Petro 10W30Gallon'!G4-'Petro 10W30'!G4)*'Petro 10W30Gallon'!F13+'Petro 10W30Gallon'!M3</f>
        <v>387.64</v>
      </c>
      <c r="C13" s="49">
        <f>E13+G13+H13</f>
        <v>215.34479999999999</v>
      </c>
      <c r="D13" s="48"/>
      <c r="E13" s="49">
        <f>'15W40'!E13</f>
        <v>31.044799999999999</v>
      </c>
      <c r="F13" s="48">
        <f>'15W40'!F13</f>
        <v>43</v>
      </c>
      <c r="G13" s="49">
        <f>F13*G4</f>
        <v>176.29999999999998</v>
      </c>
      <c r="H13" s="49">
        <v>8</v>
      </c>
      <c r="I13" s="55">
        <f>B13-C13</f>
        <v>172.29519999999999</v>
      </c>
      <c r="J13" s="56">
        <f>C13/B13</f>
        <v>0.55552780930760504</v>
      </c>
      <c r="K13" s="56">
        <f t="shared" si="0"/>
        <v>0.44447219069239496</v>
      </c>
      <c r="L13" s="48"/>
      <c r="M13" s="48"/>
      <c r="N13" s="49">
        <f>B13-'T5'!B13</f>
        <v>43.649999999999977</v>
      </c>
      <c r="O13" s="49">
        <f>C13-'T5'!C13</f>
        <v>6.8799999999999955</v>
      </c>
      <c r="P13" s="48"/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8"/>
      <c r="M14" s="48"/>
      <c r="N14" s="49"/>
      <c r="O14" s="49"/>
      <c r="P14" s="48"/>
      <c r="Q14" s="50"/>
      <c r="R14" s="50"/>
      <c r="S14" s="50"/>
    </row>
    <row r="15" spans="1:19" ht="12.75" customHeight="1" x14ac:dyDescent="0.2">
      <c r="A15" s="48" t="s">
        <v>639</v>
      </c>
      <c r="B15" s="48">
        <f>'Petro 10W30'!B15+('Petro 10W30Gallon'!G4-'Petro 10W30'!G4)*'Petro 10W30Gallon'!F15+'Petro 10W30Gallon'!M3</f>
        <v>373.99</v>
      </c>
      <c r="C15" s="49">
        <f t="shared" ref="C15:C21" si="1">E15+G15+H15</f>
        <v>203.43119999999999</v>
      </c>
      <c r="D15" s="48"/>
      <c r="E15" s="49">
        <f>'15W40'!E15</f>
        <v>31.4312</v>
      </c>
      <c r="F15" s="48">
        <f>'15W40'!F15</f>
        <v>40</v>
      </c>
      <c r="G15" s="49">
        <f>F15*G4</f>
        <v>164</v>
      </c>
      <c r="H15" s="49">
        <v>8</v>
      </c>
      <c r="I15" s="55">
        <f t="shared" ref="I15:I74" si="2">B15-C15</f>
        <v>170.55880000000002</v>
      </c>
      <c r="J15" s="56">
        <f t="shared" ref="J15:J74" si="3">C15/B15</f>
        <v>0.54394823390999758</v>
      </c>
      <c r="K15" s="56">
        <f t="shared" si="0"/>
        <v>0.45605176609000242</v>
      </c>
      <c r="L15" s="48"/>
      <c r="M15" s="48"/>
      <c r="N15" s="49">
        <f>B15-'T5'!B15</f>
        <v>42</v>
      </c>
      <c r="O15" s="49">
        <f>C15-'T5'!C15</f>
        <v>6.4000000000000057</v>
      </c>
      <c r="P15" s="48"/>
      <c r="Q15" s="50"/>
      <c r="R15" s="50"/>
      <c r="S15" s="50"/>
    </row>
    <row r="16" spans="1:19" ht="12.75" customHeight="1" x14ac:dyDescent="0.2">
      <c r="A16" s="48" t="s">
        <v>640</v>
      </c>
      <c r="B16" s="48">
        <f>'Petro 10W30'!B16+('Petro 10W30Gallon'!G4-'Petro 10W30'!G4)*'Petro 10W30Gallon'!F16+'Petro 10W30Gallon'!M1</f>
        <v>203.69</v>
      </c>
      <c r="C16" s="49">
        <f t="shared" si="1"/>
        <v>72.11999999999999</v>
      </c>
      <c r="D16" s="48"/>
      <c r="E16" s="49">
        <f>'15W40'!E16</f>
        <v>6.7200000000000006</v>
      </c>
      <c r="F16" s="48">
        <f>'15W40'!F16</f>
        <v>14</v>
      </c>
      <c r="G16" s="49">
        <f>F16*G4</f>
        <v>57.399999999999991</v>
      </c>
      <c r="H16" s="49">
        <v>8</v>
      </c>
      <c r="I16" s="55">
        <f t="shared" si="2"/>
        <v>131.57</v>
      </c>
      <c r="J16" s="56">
        <f t="shared" si="3"/>
        <v>0.35406745544700274</v>
      </c>
      <c r="K16" s="56">
        <f t="shared" si="0"/>
        <v>0.64593254455299731</v>
      </c>
      <c r="L16" s="48"/>
      <c r="M16" s="48"/>
      <c r="N16" s="49">
        <f>B16-'T5'!B16</f>
        <v>17.699999999999989</v>
      </c>
      <c r="O16" s="49">
        <f>C16-'T5'!C16</f>
        <v>2.2399999999999949</v>
      </c>
      <c r="P16" s="48"/>
      <c r="Q16" s="50"/>
      <c r="R16" s="50"/>
      <c r="S16" s="50"/>
    </row>
    <row r="17" spans="1:19" ht="12.75" customHeight="1" x14ac:dyDescent="0.2">
      <c r="A17" s="48" t="s">
        <v>641</v>
      </c>
      <c r="B17" s="48">
        <f>'Petro 10W30'!B17+('Petro 10W30Gallon'!G4-'Petro 10W30'!G4)*'Petro 10W30Gallon'!F17+'Petro 10W30Gallon'!M2</f>
        <v>311.74</v>
      </c>
      <c r="C17" s="49">
        <f t="shared" si="1"/>
        <v>161.31039999999999</v>
      </c>
      <c r="D17" s="48"/>
      <c r="E17" s="49">
        <f>'15W40'!E17</f>
        <v>50.810400000000001</v>
      </c>
      <c r="F17" s="48">
        <f>'15W40'!F17</f>
        <v>25</v>
      </c>
      <c r="G17" s="49">
        <f>F17*G4</f>
        <v>102.49999999999999</v>
      </c>
      <c r="H17" s="49">
        <v>8</v>
      </c>
      <c r="I17" s="55">
        <f t="shared" si="2"/>
        <v>150.42960000000002</v>
      </c>
      <c r="J17" s="56">
        <f t="shared" si="3"/>
        <v>0.51745172258933725</v>
      </c>
      <c r="K17" s="56">
        <f t="shared" si="0"/>
        <v>0.48254827741066275</v>
      </c>
      <c r="L17" s="48"/>
      <c r="M17" s="48"/>
      <c r="N17" s="49">
        <f>B17-'T5'!B17</f>
        <v>28.75</v>
      </c>
      <c r="O17" s="49">
        <f>C17-'T5'!C17</f>
        <v>3.9999999999999716</v>
      </c>
      <c r="P17" s="48"/>
      <c r="Q17" s="50"/>
      <c r="R17" s="50"/>
      <c r="S17" s="50"/>
    </row>
    <row r="18" spans="1:19" ht="12.75" customHeight="1" x14ac:dyDescent="0.2">
      <c r="A18" s="48" t="s">
        <v>642</v>
      </c>
      <c r="B18" s="48">
        <f>'Petro 10W30'!B18+('Petro 10W30Gallon'!G4-'Petro 10W30'!G4)*'Petro 10W30Gallon'!F18+'Petro 10W30Gallon'!M2</f>
        <v>309.74</v>
      </c>
      <c r="C18" s="49">
        <f>E18+G18+H18</f>
        <v>137.18799999999999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102.49999999999999</v>
      </c>
      <c r="H18" s="49">
        <v>8</v>
      </c>
      <c r="I18" s="55">
        <f t="shared" si="2"/>
        <v>172.55200000000002</v>
      </c>
      <c r="J18" s="56">
        <f t="shared" si="3"/>
        <v>0.44291341124814354</v>
      </c>
      <c r="K18" s="56">
        <f t="shared" si="0"/>
        <v>0.55708658875185646</v>
      </c>
      <c r="L18" s="48"/>
      <c r="M18" s="48"/>
      <c r="N18" s="49">
        <f>B18-'T5'!B18</f>
        <v>28.75</v>
      </c>
      <c r="O18" s="49">
        <f>C18-'T5'!C18</f>
        <v>4</v>
      </c>
      <c r="P18" s="48"/>
      <c r="Q18" s="50"/>
      <c r="R18" s="50"/>
      <c r="S18" s="50"/>
    </row>
    <row r="19" spans="1:19" ht="12.75" customHeight="1" x14ac:dyDescent="0.2">
      <c r="A19" s="48" t="s">
        <v>643</v>
      </c>
      <c r="B19" s="48">
        <f>'Petro 10W30'!B19+('Petro 10W30Gallon'!G4-'Petro 10W30'!G4)*'Petro 10W30Gallon'!F19+'Petro 10W30Gallon'!M2</f>
        <v>352.79</v>
      </c>
      <c r="C19" s="49">
        <f t="shared" si="1"/>
        <v>195.43439999999998</v>
      </c>
      <c r="D19" s="48"/>
      <c r="E19" s="49">
        <f>'15W40'!E19</f>
        <v>39.834400000000002</v>
      </c>
      <c r="F19" s="48">
        <f>'15W40'!F19</f>
        <v>36</v>
      </c>
      <c r="G19" s="49">
        <f>F19*G4</f>
        <v>147.6</v>
      </c>
      <c r="H19" s="49">
        <v>8</v>
      </c>
      <c r="I19" s="55">
        <f t="shared" si="2"/>
        <v>157.35560000000004</v>
      </c>
      <c r="J19" s="56">
        <f t="shared" si="3"/>
        <v>0.55396808299554967</v>
      </c>
      <c r="K19" s="56">
        <f t="shared" si="0"/>
        <v>0.44603191700445033</v>
      </c>
      <c r="L19" s="48"/>
      <c r="M19" s="48"/>
      <c r="N19" s="49">
        <f>B19-'T5'!B19</f>
        <v>34.800000000000011</v>
      </c>
      <c r="O19" s="49">
        <f>C19-'T5'!C19</f>
        <v>5.7599999999999909</v>
      </c>
      <c r="P19" s="48"/>
      <c r="Q19" s="50"/>
      <c r="R19" s="50"/>
      <c r="S19" s="50"/>
    </row>
    <row r="20" spans="1:19" ht="12.75" customHeight="1" x14ac:dyDescent="0.2">
      <c r="A20" s="48" t="s">
        <v>645</v>
      </c>
      <c r="B20" s="48">
        <f>'Petro 10W30'!B20+('Petro 10W30Gallon'!G4-'Petro 10W30'!G4)*'Petro 10W30Gallon'!F20+'Petro 10W30Gallon'!M3</f>
        <v>453.19</v>
      </c>
      <c r="C20" s="49">
        <f t="shared" si="1"/>
        <v>274.0496</v>
      </c>
      <c r="D20" s="48"/>
      <c r="E20" s="49">
        <f>'15W40'!E20</f>
        <v>85.649600000000007</v>
      </c>
      <c r="F20" s="48">
        <f>'15W40'!F20</f>
        <v>44</v>
      </c>
      <c r="G20" s="49">
        <f>F20*G4</f>
        <v>180.39999999999998</v>
      </c>
      <c r="H20" s="49">
        <v>8</v>
      </c>
      <c r="I20" s="55">
        <f t="shared" si="2"/>
        <v>179.1404</v>
      </c>
      <c r="J20" s="56">
        <f t="shared" si="3"/>
        <v>0.60471237229418129</v>
      </c>
      <c r="K20" s="56">
        <f t="shared" si="0"/>
        <v>0.39528762770581871</v>
      </c>
      <c r="L20" s="48"/>
      <c r="M20" s="48"/>
      <c r="N20" s="49">
        <f>B20-'T5'!B20</f>
        <v>44.199999999999989</v>
      </c>
      <c r="O20" s="49">
        <f>C20-'T5'!C20</f>
        <v>7.0400000000000205</v>
      </c>
      <c r="P20" s="48"/>
      <c r="Q20" s="50"/>
      <c r="R20" s="50"/>
      <c r="S20" s="50"/>
    </row>
    <row r="21" spans="1:19" ht="12.75" customHeight="1" x14ac:dyDescent="0.2">
      <c r="A21" s="48" t="s">
        <v>646</v>
      </c>
      <c r="B21" s="48">
        <f>'Petro 10W30'!B21+('Petro 10W30Gallon'!G4-'Petro 10W30'!G4)*'Petro 10W30Gallon'!F21+'Petro 10W30Gallon'!M2</f>
        <v>334.69</v>
      </c>
      <c r="C21" s="49">
        <f t="shared" si="1"/>
        <v>178.83119999999997</v>
      </c>
      <c r="D21" s="48"/>
      <c r="E21" s="49">
        <f>'15W40'!E21</f>
        <v>31.4312</v>
      </c>
      <c r="F21" s="48">
        <f>'15W40'!F21</f>
        <v>34</v>
      </c>
      <c r="G21" s="49">
        <f>F21*G4</f>
        <v>139.39999999999998</v>
      </c>
      <c r="H21" s="49">
        <v>8</v>
      </c>
      <c r="I21" s="55">
        <f t="shared" si="2"/>
        <v>155.85880000000003</v>
      </c>
      <c r="J21" s="56">
        <f t="shared" si="3"/>
        <v>0.53431892198751074</v>
      </c>
      <c r="K21" s="56">
        <f t="shared" si="0"/>
        <v>0.46568107801248926</v>
      </c>
      <c r="L21" s="48"/>
      <c r="M21" s="48"/>
      <c r="N21" s="49">
        <f>B21-'T5'!B21</f>
        <v>33.699999999999989</v>
      </c>
      <c r="O21" s="49">
        <f>C21-'T5'!C21</f>
        <v>5.4399999999999693</v>
      </c>
      <c r="P21" s="48"/>
      <c r="Q21" s="50"/>
      <c r="R21" s="50"/>
      <c r="S21" s="50"/>
    </row>
    <row r="22" spans="1:19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L22" s="48"/>
      <c r="M22" s="48"/>
      <c r="N22" s="49"/>
      <c r="O22" s="49"/>
      <c r="P22" s="48"/>
      <c r="Q22" s="50"/>
      <c r="R22" s="50"/>
      <c r="S22" s="50"/>
    </row>
    <row r="23" spans="1:19" ht="12.75" customHeight="1" x14ac:dyDescent="0.2">
      <c r="A23" s="48" t="s">
        <v>647</v>
      </c>
      <c r="B23" s="48">
        <f>'Petro 10W30'!B23+('Petro 10W30Gallon'!G4-'Petro 10W30'!G4)*'Petro 10W30Gallon'!F23+'Petro 10W30Gallon'!M2</f>
        <v>410.89</v>
      </c>
      <c r="C23" s="49">
        <f t="shared" ref="C23:C28" si="4">E23+G23+H23</f>
        <v>241.42</v>
      </c>
      <c r="D23" s="48"/>
      <c r="E23" s="49">
        <f>'15W40'!E23</f>
        <v>77.62</v>
      </c>
      <c r="F23" s="48">
        <f>'15W40'!F23</f>
        <v>38</v>
      </c>
      <c r="G23" s="49">
        <f>F23*G4</f>
        <v>155.79999999999998</v>
      </c>
      <c r="H23" s="49">
        <v>8</v>
      </c>
      <c r="I23" s="55">
        <f t="shared" si="2"/>
        <v>169.47</v>
      </c>
      <c r="J23" s="56">
        <f t="shared" si="3"/>
        <v>0.58755384652826792</v>
      </c>
      <c r="K23" s="56">
        <f t="shared" si="0"/>
        <v>0.41244615347173208</v>
      </c>
      <c r="L23" s="48"/>
      <c r="M23" s="48"/>
      <c r="N23" s="49">
        <f>B23-'T5'!B23</f>
        <v>35.899999999999977</v>
      </c>
      <c r="O23" s="49">
        <f>C23-'T5'!C23</f>
        <v>6.0799999999999841</v>
      </c>
      <c r="P23" s="48"/>
      <c r="Q23" s="50"/>
      <c r="R23" s="50"/>
      <c r="S23" s="50"/>
    </row>
    <row r="24" spans="1:19" ht="12.75" customHeight="1" x14ac:dyDescent="0.2">
      <c r="A24" s="48" t="s">
        <v>648</v>
      </c>
      <c r="B24" s="48">
        <f>'Petro 10W30'!B24+('Petro 10W30Gallon'!G4-'Petro 10W30'!G4)*'Petro 10W30Gallon'!F24+'Petro 10W30Gallon'!M2</f>
        <v>467.59000000000003</v>
      </c>
      <c r="C24" s="49">
        <f t="shared" si="4"/>
        <v>308.05</v>
      </c>
      <c r="D24" s="48"/>
      <c r="E24" s="49">
        <f>'15W40'!E24</f>
        <v>168.85000000000002</v>
      </c>
      <c r="F24" s="48">
        <f>'15W40'!F24</f>
        <v>32</v>
      </c>
      <c r="G24" s="49">
        <f>F24*G4</f>
        <v>131.19999999999999</v>
      </c>
      <c r="H24" s="49">
        <v>8</v>
      </c>
      <c r="I24" s="55">
        <f t="shared" si="2"/>
        <v>159.54000000000002</v>
      </c>
      <c r="J24" s="56">
        <f t="shared" si="3"/>
        <v>0.65880365277272823</v>
      </c>
      <c r="K24" s="56">
        <f t="shared" si="0"/>
        <v>0.34119634722727177</v>
      </c>
      <c r="L24" s="48"/>
      <c r="M24" s="48"/>
      <c r="N24" s="49">
        <f>B24-'T5'!B24</f>
        <v>32.600000000000023</v>
      </c>
      <c r="O24" s="49">
        <f>C24-'T5'!C24</f>
        <v>5.1200000000000045</v>
      </c>
      <c r="P24" s="48"/>
      <c r="Q24" s="50"/>
      <c r="R24" s="50"/>
      <c r="S24" s="50"/>
    </row>
    <row r="25" spans="1:19" ht="12.75" customHeight="1" x14ac:dyDescent="0.2">
      <c r="A25" s="48" t="s">
        <v>649</v>
      </c>
      <c r="B25" s="48">
        <f>'Petro 10W30'!B25+('Petro 10W30Gallon'!G4-'Petro 10W30'!G4)*'Petro 10W30Gallon'!F25+'Petro 10W30Gallon'!M3</f>
        <v>489.09000000000003</v>
      </c>
      <c r="C25" s="49">
        <f t="shared" si="4"/>
        <v>317.99</v>
      </c>
      <c r="D25" s="48"/>
      <c r="E25" s="49">
        <f>'15W40'!E25</f>
        <v>137.79000000000002</v>
      </c>
      <c r="F25" s="48">
        <f>'15W40'!F25</f>
        <v>42</v>
      </c>
      <c r="G25" s="49">
        <f>F25*G4</f>
        <v>172.2</v>
      </c>
      <c r="H25" s="49">
        <v>8</v>
      </c>
      <c r="I25" s="55">
        <f t="shared" si="2"/>
        <v>171.10000000000002</v>
      </c>
      <c r="J25" s="56">
        <f t="shared" si="3"/>
        <v>0.6501666359974646</v>
      </c>
      <c r="K25" s="56">
        <f t="shared" si="0"/>
        <v>0.3498333640025354</v>
      </c>
      <c r="L25" s="48"/>
      <c r="M25" s="48"/>
      <c r="N25" s="49">
        <f>B25-'T5'!B25</f>
        <v>43.100000000000023</v>
      </c>
      <c r="O25" s="49">
        <f>C25-'T5'!C25</f>
        <v>6.7200000000000273</v>
      </c>
      <c r="P25" s="48"/>
      <c r="Q25" s="50"/>
      <c r="R25" s="50"/>
      <c r="S25" s="50"/>
    </row>
    <row r="26" spans="1:19" ht="12.75" customHeight="1" x14ac:dyDescent="0.2">
      <c r="A26" s="48" t="s">
        <v>650</v>
      </c>
      <c r="B26" s="48">
        <f>'Petro 10W30'!B26+('Petro 10W30Gallon'!G4-'Petro 10W30'!G4)*'Petro 10W30Gallon'!F26+'Petro 10W30Gallon'!M3</f>
        <v>467.09000000000003</v>
      </c>
      <c r="C26" s="49">
        <f t="shared" si="4"/>
        <v>294.25279999999998</v>
      </c>
      <c r="D26" s="48"/>
      <c r="E26" s="49">
        <f>'15W40'!E26</f>
        <v>114.05280000000002</v>
      </c>
      <c r="F26" s="48">
        <f>'15W40'!F26</f>
        <v>42</v>
      </c>
      <c r="G26" s="49">
        <f>F26*G4</f>
        <v>172.2</v>
      </c>
      <c r="H26" s="49">
        <v>8</v>
      </c>
      <c r="I26" s="55">
        <f t="shared" si="2"/>
        <v>172.83720000000005</v>
      </c>
      <c r="J26" s="56">
        <f t="shared" si="3"/>
        <v>0.62997024128112344</v>
      </c>
      <c r="K26" s="56">
        <f t="shared" si="0"/>
        <v>0.37002975871887656</v>
      </c>
      <c r="L26" s="48"/>
      <c r="M26" s="48"/>
      <c r="N26" s="49">
        <f>B26-'T5'!B26</f>
        <v>43.100000000000023</v>
      </c>
      <c r="O26" s="49">
        <f>C26-'T5'!C26</f>
        <v>6.7199999999999704</v>
      </c>
      <c r="P26" s="48"/>
      <c r="Q26" s="50"/>
      <c r="R26" s="50"/>
      <c r="S26" s="50"/>
    </row>
    <row r="27" spans="1:19" ht="12.75" customHeight="1" x14ac:dyDescent="0.2">
      <c r="A27" s="48" t="s">
        <v>651</v>
      </c>
      <c r="B27" s="48">
        <f>'Petro 10W30'!B27+('Petro 10W30Gallon'!G4-'Petro 10W30'!G4)*'Petro 10W30Gallon'!F27+'Petro 10W30Gallon'!M2</f>
        <v>363.89</v>
      </c>
      <c r="C27" s="49">
        <f t="shared" si="4"/>
        <v>209.19119999999998</v>
      </c>
      <c r="D27" s="48"/>
      <c r="E27" s="49">
        <f>'15W40'!E27</f>
        <v>45.391199999999998</v>
      </c>
      <c r="F27" s="48">
        <f>'15W40'!F27</f>
        <v>38</v>
      </c>
      <c r="G27" s="49">
        <f>F27*G4</f>
        <v>155.79999999999998</v>
      </c>
      <c r="H27" s="49">
        <v>8</v>
      </c>
      <c r="I27" s="55">
        <f t="shared" si="2"/>
        <v>154.69880000000001</v>
      </c>
      <c r="J27" s="56">
        <f t="shared" si="3"/>
        <v>0.57487482480969521</v>
      </c>
      <c r="K27" s="56">
        <f t="shared" si="0"/>
        <v>0.42512517519030479</v>
      </c>
      <c r="L27" s="48"/>
      <c r="M27" s="48"/>
      <c r="N27" s="49">
        <f>B27-'T5'!B27</f>
        <v>35.899999999999977</v>
      </c>
      <c r="O27" s="49">
        <f>C27-'T5'!C27</f>
        <v>6.0799999999999841</v>
      </c>
      <c r="P27" s="48"/>
      <c r="Q27" s="50"/>
      <c r="R27" s="50"/>
      <c r="S27" s="50"/>
    </row>
    <row r="28" spans="1:19" ht="12.75" customHeight="1" x14ac:dyDescent="0.2">
      <c r="A28" s="48" t="s">
        <v>652</v>
      </c>
      <c r="B28" s="48">
        <f>'Petro 10W30'!B28+('Petro 10W30Gallon'!G4-'Petro 10W30'!G4)*'Petro 10W30Gallon'!F28+'Petro 10W30Gallon'!M1</f>
        <v>203.69</v>
      </c>
      <c r="C28" s="49">
        <f t="shared" si="4"/>
        <v>75.502399999999994</v>
      </c>
      <c r="D28" s="48"/>
      <c r="E28" s="49">
        <f>'15W40'!E28</f>
        <v>10.102400000000001</v>
      </c>
      <c r="F28" s="48">
        <f>'15W40'!F28</f>
        <v>14</v>
      </c>
      <c r="G28" s="49">
        <f>F28*G4</f>
        <v>57.399999999999991</v>
      </c>
      <c r="H28" s="49">
        <v>8</v>
      </c>
      <c r="I28" s="55">
        <f t="shared" si="2"/>
        <v>128.1876</v>
      </c>
      <c r="J28" s="56">
        <f t="shared" si="3"/>
        <v>0.37067308164367418</v>
      </c>
      <c r="K28" s="56">
        <f t="shared" si="0"/>
        <v>0.62932691835632582</v>
      </c>
      <c r="L28" s="48"/>
      <c r="M28" s="48"/>
      <c r="N28" s="49">
        <f>B28-'T5'!B28</f>
        <v>17.699999999999989</v>
      </c>
      <c r="O28" s="49">
        <f>C28-'T5'!C28</f>
        <v>2.2399999999999949</v>
      </c>
      <c r="P28" s="48"/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8"/>
      <c r="M29" s="48"/>
      <c r="N29" s="49"/>
      <c r="O29" s="49"/>
      <c r="P29" s="48"/>
      <c r="Q29" s="50"/>
      <c r="R29" s="50"/>
      <c r="S29" s="50"/>
    </row>
    <row r="30" spans="1:19" ht="12.75" customHeight="1" x14ac:dyDescent="0.2">
      <c r="A30" s="48" t="s">
        <v>653</v>
      </c>
      <c r="B30" s="48">
        <f>'Petro 10W30'!B30+('Petro 10W30Gallon'!G4-'Petro 10W30'!G4)*'Petro 10W30Gallon'!F30+'Petro 10W30Gallon'!M1</f>
        <v>203.69</v>
      </c>
      <c r="C30" s="49">
        <f>E30+G30+H30</f>
        <v>79.816800000000001</v>
      </c>
      <c r="D30" s="48"/>
      <c r="E30" s="49">
        <f>'15W40'!E30</f>
        <v>14.416800000000002</v>
      </c>
      <c r="F30" s="48">
        <f>'15W40'!F30</f>
        <v>14</v>
      </c>
      <c r="G30" s="49">
        <f>F30*G4</f>
        <v>57.399999999999991</v>
      </c>
      <c r="H30" s="49">
        <v>8</v>
      </c>
      <c r="I30" s="55">
        <f t="shared" si="2"/>
        <v>123.8732</v>
      </c>
      <c r="J30" s="56">
        <f t="shared" si="3"/>
        <v>0.39185428837940006</v>
      </c>
      <c r="K30" s="56">
        <f t="shared" si="0"/>
        <v>0.60814571162059994</v>
      </c>
      <c r="L30" s="48"/>
      <c r="M30" s="48"/>
      <c r="N30" s="49">
        <f>B30-'T5'!B30</f>
        <v>17.699999999999989</v>
      </c>
      <c r="O30" s="49">
        <f>C30-'T5'!C30</f>
        <v>2.2400000000000091</v>
      </c>
      <c r="P30" s="48"/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8"/>
      <c r="M31" s="48"/>
      <c r="N31" s="49"/>
      <c r="O31" s="49"/>
      <c r="P31" s="48"/>
      <c r="Q31" s="50"/>
      <c r="R31" s="50"/>
      <c r="S31" s="50"/>
    </row>
    <row r="32" spans="1:19" ht="12.75" customHeight="1" x14ac:dyDescent="0.2">
      <c r="A32" s="48" t="s">
        <v>423</v>
      </c>
      <c r="B32" s="48">
        <f>'Petro 10W30'!B32+('Petro 10W30Gallon'!G4-'Petro 10W30'!G4)*'Petro 10W30Gallon'!F32+'Petro 10W30Gallon'!M1</f>
        <v>302.69</v>
      </c>
      <c r="C32" s="49">
        <f>E32+G32+H32</f>
        <v>161.39999999999998</v>
      </c>
      <c r="D32" s="48"/>
      <c r="E32" s="49">
        <f>'15W40'!E32</f>
        <v>96</v>
      </c>
      <c r="F32" s="48">
        <f>'15W40'!F32</f>
        <v>14</v>
      </c>
      <c r="G32" s="49">
        <f>F32*G4</f>
        <v>57.399999999999991</v>
      </c>
      <c r="H32" s="49">
        <v>8</v>
      </c>
      <c r="I32" s="55">
        <f t="shared" si="2"/>
        <v>141.29000000000002</v>
      </c>
      <c r="J32" s="56">
        <f t="shared" si="3"/>
        <v>0.53321880471769789</v>
      </c>
      <c r="K32" s="56">
        <f t="shared" si="0"/>
        <v>0.46678119528230211</v>
      </c>
      <c r="L32" s="48"/>
      <c r="M32" s="48"/>
      <c r="N32" s="49">
        <f>B32-'T5'!B32</f>
        <v>17.699999999999989</v>
      </c>
      <c r="O32" s="49">
        <f>C32-'T5'!C32</f>
        <v>2.2399999999999807</v>
      </c>
      <c r="P32" s="48"/>
      <c r="Q32" s="50"/>
      <c r="R32" s="50"/>
      <c r="S32" s="50"/>
    </row>
    <row r="33" spans="1:19" ht="12.75" customHeight="1" x14ac:dyDescent="0.2">
      <c r="A33" s="48" t="s">
        <v>654</v>
      </c>
      <c r="B33" s="48">
        <f>'Petro 10W30'!B33+('Petro 10W30Gallon'!G4-'Petro 10W30'!G4)*'Petro 10W30Gallon'!F33+'Petro 10W30Gallon'!M1</f>
        <v>232.69</v>
      </c>
      <c r="C33" s="49">
        <f>E33+G33+H33</f>
        <v>92.821599999999989</v>
      </c>
      <c r="D33" s="48"/>
      <c r="E33" s="49">
        <f>'15W40'!E33</f>
        <v>27.421599999999998</v>
      </c>
      <c r="F33" s="48">
        <f>'15W40'!F33</f>
        <v>14</v>
      </c>
      <c r="G33" s="49">
        <f>F33*G4</f>
        <v>57.399999999999991</v>
      </c>
      <c r="H33" s="49">
        <v>8</v>
      </c>
      <c r="I33" s="55">
        <f t="shared" si="2"/>
        <v>139.86840000000001</v>
      </c>
      <c r="J33" s="56">
        <f t="shared" si="3"/>
        <v>0.39890669990115601</v>
      </c>
      <c r="K33" s="56">
        <f t="shared" si="0"/>
        <v>0.60109330009884399</v>
      </c>
      <c r="L33" s="48"/>
      <c r="M33" s="48"/>
      <c r="N33" s="49">
        <f>B33-'T5'!B33</f>
        <v>17.699999999999989</v>
      </c>
      <c r="O33" s="49">
        <f>C33-'T5'!C33</f>
        <v>2.2399999999999949</v>
      </c>
      <c r="P33" s="48"/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8"/>
      <c r="M34" s="48"/>
      <c r="N34" s="49"/>
      <c r="O34" s="49"/>
      <c r="P34" s="48"/>
      <c r="Q34" s="50"/>
      <c r="R34" s="50"/>
      <c r="S34" s="50"/>
    </row>
    <row r="35" spans="1:19" ht="12.75" customHeight="1" x14ac:dyDescent="0.2">
      <c r="A35" s="48" t="s">
        <v>655</v>
      </c>
      <c r="B35" s="48">
        <f>'Petro 10W30'!B35+('Petro 10W30Gallon'!G4-'Petro 10W30'!G4)*'Petro 10W30Gallon'!F35+'Petro 10W30Gallon'!M2</f>
        <v>320.29000000000002</v>
      </c>
      <c r="C35" s="49">
        <f>E35+G35+H35</f>
        <v>168.1688</v>
      </c>
      <c r="D35" s="49"/>
      <c r="E35" s="49">
        <f>'15W40'!E35</f>
        <v>53.56880000000001</v>
      </c>
      <c r="F35" s="48">
        <f>'15W40'!F35</f>
        <v>26</v>
      </c>
      <c r="G35" s="49">
        <f>F35*G4</f>
        <v>106.6</v>
      </c>
      <c r="H35" s="49">
        <v>8</v>
      </c>
      <c r="I35" s="55">
        <f t="shared" si="2"/>
        <v>152.12120000000002</v>
      </c>
      <c r="J35" s="56">
        <f t="shared" si="3"/>
        <v>0.52505167192232038</v>
      </c>
      <c r="K35" s="56">
        <f t="shared" si="0"/>
        <v>0.47494832807767962</v>
      </c>
      <c r="L35" s="48"/>
      <c r="M35" s="48"/>
      <c r="N35" s="49">
        <f>B35-'T5'!B35</f>
        <v>29.300000000000011</v>
      </c>
      <c r="O35" s="49">
        <f>C35-'T5'!C35</f>
        <v>4.1599999999999966</v>
      </c>
      <c r="P35" s="48"/>
      <c r="Q35" s="50"/>
      <c r="R35" s="50"/>
      <c r="S35" s="50"/>
    </row>
    <row r="36" spans="1:19" ht="12.75" customHeight="1" x14ac:dyDescent="0.2">
      <c r="A36" s="48" t="s">
        <v>1245</v>
      </c>
      <c r="B36" s="48">
        <f>'Petro 10W30'!B36+('Petro 10W30Gallon'!G4-'Petro 10W30'!G4)*'Petro 10W30Gallon'!F36+'Petro 10W30Gallon'!M3</f>
        <v>575.29</v>
      </c>
      <c r="C36" s="49">
        <f>E36+G36+H36</f>
        <v>375.4</v>
      </c>
      <c r="D36" s="49"/>
      <c r="E36" s="49">
        <f>'15W40'!E36</f>
        <v>178.8</v>
      </c>
      <c r="F36" s="48">
        <f>'15W40'!F36</f>
        <v>46</v>
      </c>
      <c r="G36" s="49">
        <f>F36*G4</f>
        <v>188.6</v>
      </c>
      <c r="H36" s="49">
        <v>8</v>
      </c>
      <c r="I36" s="55">
        <f t="shared" si="2"/>
        <v>199.89</v>
      </c>
      <c r="J36" s="56">
        <f t="shared" si="3"/>
        <v>0.65254045785603787</v>
      </c>
      <c r="K36" s="56">
        <f t="shared" si="0"/>
        <v>0.34745954214396213</v>
      </c>
      <c r="L36" s="48"/>
      <c r="M36" s="48"/>
      <c r="N36" s="49"/>
      <c r="O36" s="49">
        <f>C36-'T5'!C36</f>
        <v>7.3599999999999568</v>
      </c>
      <c r="P36" s="48"/>
      <c r="Q36" s="50"/>
      <c r="R36" s="50"/>
      <c r="S36" s="50"/>
    </row>
    <row r="37" spans="1:19" ht="12.75" customHeight="1" x14ac:dyDescent="0.2">
      <c r="A37" s="48" t="s">
        <v>1249</v>
      </c>
      <c r="B37" s="48">
        <f>'Petro 10W30'!B37+('Petro 10W30Gallon'!G4-'Petro 10W30'!G4)*'Petro 10W30Gallon'!F37+'Petro 10W30Gallon'!M1</f>
        <v>282.69</v>
      </c>
      <c r="C37" s="49">
        <f>E37+G37+H37</f>
        <v>123.27279999999999</v>
      </c>
      <c r="D37" s="49"/>
      <c r="E37" s="49">
        <f>'15W40'!E37</f>
        <v>57.872799999999998</v>
      </c>
      <c r="F37" s="48">
        <f>'15W40'!F37</f>
        <v>14</v>
      </c>
      <c r="G37" s="49">
        <f>F37*G4</f>
        <v>57.399999999999991</v>
      </c>
      <c r="H37" s="49">
        <v>8</v>
      </c>
      <c r="I37" s="55">
        <f t="shared" si="2"/>
        <v>159.41720000000001</v>
      </c>
      <c r="J37" s="56">
        <f t="shared" si="3"/>
        <v>0.4360706073791078</v>
      </c>
      <c r="K37" s="56">
        <f t="shared" si="0"/>
        <v>0.56392939262089214</v>
      </c>
      <c r="L37" s="48"/>
      <c r="M37" s="48"/>
      <c r="N37" s="49"/>
      <c r="O37" s="49"/>
      <c r="P37" s="48"/>
      <c r="Q37" s="50"/>
      <c r="R37" s="50"/>
      <c r="S37" s="50"/>
    </row>
    <row r="38" spans="1:19" ht="12.75" customHeight="1" x14ac:dyDescent="0.2">
      <c r="A38" s="48" t="s">
        <v>1124</v>
      </c>
      <c r="B38" s="48">
        <f>'Petro 10W30'!B38+('Petro 10W30Gallon'!G4-'Petro 10W30'!G4)*'Petro 10W30Gallon'!F38+'Petro 10W30Gallon'!M1</f>
        <v>248.69</v>
      </c>
      <c r="C38" s="49">
        <f t="shared" ref="C38:C53" si="5">E38+G38+H38</f>
        <v>109.54079999999999</v>
      </c>
      <c r="D38" s="48"/>
      <c r="E38" s="49">
        <f>'15W40'!E38</f>
        <v>44.140799999999999</v>
      </c>
      <c r="F38" s="48">
        <f>'15W40'!F38</f>
        <v>14</v>
      </c>
      <c r="G38" s="49">
        <f>F38*G4</f>
        <v>57.399999999999991</v>
      </c>
      <c r="H38" s="49">
        <v>8</v>
      </c>
      <c r="I38" s="55">
        <f t="shared" si="2"/>
        <v>139.14920000000001</v>
      </c>
      <c r="J38" s="56">
        <f t="shared" si="3"/>
        <v>0.44047126945192805</v>
      </c>
      <c r="K38" s="56">
        <f t="shared" si="0"/>
        <v>0.55952873054807195</v>
      </c>
      <c r="L38" s="48"/>
      <c r="M38" s="48"/>
      <c r="N38" s="49">
        <f>B38-'T5'!B38</f>
        <v>17.699999999999989</v>
      </c>
      <c r="O38" s="49">
        <f>C38-'T5'!C38</f>
        <v>2.2399999999999949</v>
      </c>
      <c r="P38" s="48"/>
      <c r="Q38" s="50"/>
      <c r="R38" s="50"/>
      <c r="S38" s="50"/>
    </row>
    <row r="39" spans="1:19" ht="12.75" customHeight="1" x14ac:dyDescent="0.2">
      <c r="A39" s="48" t="s">
        <v>425</v>
      </c>
      <c r="B39" s="48">
        <f>'Petro 10W30'!B39+('Petro 10W30Gallon'!G4-'Petro 10W30'!G4)*'Petro 10W30Gallon'!F39+'Petro 10W30Gallon'!M1</f>
        <v>308.69</v>
      </c>
      <c r="C39" s="49">
        <f t="shared" si="5"/>
        <v>134.37</v>
      </c>
      <c r="D39" s="48"/>
      <c r="E39" s="49">
        <f>'15W40'!E39</f>
        <v>68.97</v>
      </c>
      <c r="F39" s="48">
        <f>'15W40'!F39</f>
        <v>14</v>
      </c>
      <c r="G39" s="49">
        <f>F39*G4</f>
        <v>57.399999999999991</v>
      </c>
      <c r="H39" s="49">
        <v>8</v>
      </c>
      <c r="I39" s="55">
        <f t="shared" si="2"/>
        <v>174.32</v>
      </c>
      <c r="J39" s="56">
        <f t="shared" si="3"/>
        <v>0.43529106870970879</v>
      </c>
      <c r="K39" s="56">
        <f t="shared" si="0"/>
        <v>0.56470893129029121</v>
      </c>
      <c r="L39" s="48"/>
      <c r="M39" s="48"/>
      <c r="N39" s="49"/>
      <c r="O39" s="49">
        <f>C39-'T5'!C39</f>
        <v>2.2400000000000091</v>
      </c>
      <c r="P39" s="48"/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8"/>
      <c r="M40" s="48"/>
      <c r="N40" s="49"/>
      <c r="O40" s="49"/>
      <c r="P40" s="48"/>
      <c r="Q40" s="50"/>
      <c r="R40" s="50"/>
      <c r="S40" s="50"/>
    </row>
    <row r="41" spans="1:19" ht="12.75" customHeight="1" x14ac:dyDescent="0.2">
      <c r="A41" s="48" t="s">
        <v>907</v>
      </c>
      <c r="B41" s="48">
        <f>'Petro 10W30'!B41+('Petro 10W30Gallon'!G4-'Petro 10W30'!G4)*'Petro 10W30Gallon'!F41+'Petro 10W30Gallon'!M2</f>
        <v>424.89</v>
      </c>
      <c r="C41" s="49">
        <f t="shared" si="5"/>
        <v>250.40479999999999</v>
      </c>
      <c r="D41" s="48"/>
      <c r="E41" s="49">
        <f>'15W40'!E41</f>
        <v>86.604800000000012</v>
      </c>
      <c r="F41" s="48">
        <f>'15W40'!F41</f>
        <v>38</v>
      </c>
      <c r="G41" s="49">
        <f>F41*G4</f>
        <v>155.79999999999998</v>
      </c>
      <c r="H41" s="49">
        <v>8</v>
      </c>
      <c r="I41" s="55">
        <f t="shared" si="2"/>
        <v>174.48519999999999</v>
      </c>
      <c r="J41" s="56">
        <f t="shared" si="3"/>
        <v>0.58934029984231218</v>
      </c>
      <c r="K41" s="56">
        <f t="shared" si="0"/>
        <v>0.41065970015768782</v>
      </c>
      <c r="L41" s="48"/>
      <c r="M41" s="48"/>
      <c r="N41" s="49">
        <f>B41-'T5'!B41</f>
        <v>35.899999999999977</v>
      </c>
      <c r="O41" s="49">
        <f>C41-'T5'!C41</f>
        <v>6.0799999999999841</v>
      </c>
      <c r="P41" s="48"/>
      <c r="Q41" s="50"/>
      <c r="R41" s="50"/>
      <c r="S41" s="50"/>
    </row>
    <row r="42" spans="1:19" ht="12.75" customHeight="1" x14ac:dyDescent="0.2">
      <c r="A42" s="48" t="s">
        <v>911</v>
      </c>
      <c r="B42" s="48">
        <f>'Petro 10W30'!B42+('Petro 10W30Gallon'!G4-'Petro 10W30'!G4)*'Petro 10W30Gallon'!F42+'Petro 10W30Gallon'!M2</f>
        <v>495.89</v>
      </c>
      <c r="C42" s="49">
        <f t="shared" si="5"/>
        <v>337.29999999999995</v>
      </c>
      <c r="D42" s="48"/>
      <c r="E42" s="49">
        <f>'15W40'!E42</f>
        <v>173.5</v>
      </c>
      <c r="F42" s="48">
        <f>'15W40'!F42</f>
        <v>38</v>
      </c>
      <c r="G42" s="49">
        <f>F42*G4</f>
        <v>155.79999999999998</v>
      </c>
      <c r="H42" s="49">
        <v>8</v>
      </c>
      <c r="I42" s="55">
        <f t="shared" si="2"/>
        <v>158.59000000000003</v>
      </c>
      <c r="J42" s="56">
        <f t="shared" si="3"/>
        <v>0.68019117142914753</v>
      </c>
      <c r="K42" s="56">
        <f t="shared" si="0"/>
        <v>0.31980882857085247</v>
      </c>
      <c r="L42" s="48"/>
      <c r="M42" s="48"/>
      <c r="N42" s="49">
        <f>B42-'T5'!B42</f>
        <v>35.899999999999977</v>
      </c>
      <c r="O42" s="49">
        <f>C42-'T5'!C42</f>
        <v>6.0799999999999272</v>
      </c>
      <c r="P42" s="48"/>
      <c r="Q42" s="50"/>
      <c r="R42" s="50"/>
      <c r="S42" s="50"/>
    </row>
    <row r="43" spans="1:19" ht="12.75" customHeight="1" x14ac:dyDescent="0.2">
      <c r="A43" s="48" t="s">
        <v>909</v>
      </c>
      <c r="B43" s="48">
        <f>'Petro 10W30'!B43+('Petro 10W30Gallon'!G4-'Petro 10W30'!G4)*'Petro 10W30Gallon'!F43+'Petro 10W30Gallon'!M4</f>
        <v>527.24</v>
      </c>
      <c r="C43" s="49">
        <f t="shared" si="5"/>
        <v>320.10479999999995</v>
      </c>
      <c r="D43" s="48"/>
      <c r="E43" s="49">
        <f>'15W40'!E43</f>
        <v>86.604800000000012</v>
      </c>
      <c r="F43" s="48">
        <f>'15W40'!F43</f>
        <v>55</v>
      </c>
      <c r="G43" s="49">
        <f>F43*G4</f>
        <v>225.49999999999997</v>
      </c>
      <c r="H43" s="49">
        <v>8</v>
      </c>
      <c r="I43" s="55">
        <f t="shared" si="2"/>
        <v>207.13520000000005</v>
      </c>
      <c r="J43" s="56">
        <f t="shared" si="3"/>
        <v>0.60713299446172508</v>
      </c>
      <c r="K43" s="56">
        <f t="shared" si="0"/>
        <v>0.39286700553827492</v>
      </c>
      <c r="L43" s="48"/>
      <c r="M43" s="48"/>
      <c r="N43" s="49"/>
      <c r="O43" s="49">
        <f>C43-'T5'!C43</f>
        <v>8.7999999999999545</v>
      </c>
      <c r="P43" s="48"/>
      <c r="Q43" s="50"/>
      <c r="R43" s="50"/>
      <c r="S43" s="50"/>
    </row>
    <row r="44" spans="1:19" ht="12.75" customHeight="1" x14ac:dyDescent="0.2">
      <c r="A44" s="48" t="s">
        <v>910</v>
      </c>
      <c r="B44" s="48">
        <f>'Petro 10W30'!B44+('Petro 10W30Gallon'!G4-'Petro 10W30'!G4)*'Petro 10W30Gallon'!F44+'Petro 10W30Gallon'!M4</f>
        <v>600.24</v>
      </c>
      <c r="C44" s="49">
        <f t="shared" si="5"/>
        <v>407</v>
      </c>
      <c r="D44" s="48"/>
      <c r="E44" s="49">
        <f>'15W40'!E44</f>
        <v>173.5</v>
      </c>
      <c r="F44" s="48">
        <f>'15W40'!F44</f>
        <v>55</v>
      </c>
      <c r="G44" s="49">
        <f>F44*G4</f>
        <v>225.49999999999997</v>
      </c>
      <c r="H44" s="49">
        <v>8</v>
      </c>
      <c r="I44" s="55">
        <f t="shared" si="2"/>
        <v>193.24</v>
      </c>
      <c r="J44" s="56">
        <f t="shared" si="3"/>
        <v>0.67806210848993731</v>
      </c>
      <c r="K44" s="56">
        <f t="shared" si="0"/>
        <v>0.32193789151006269</v>
      </c>
      <c r="L44" s="48"/>
      <c r="M44" s="48"/>
      <c r="N44" s="49"/>
      <c r="O44" s="49">
        <f>C44-'T5'!C44</f>
        <v>8.8000000000000114</v>
      </c>
      <c r="P44" s="48"/>
      <c r="Q44" s="50"/>
      <c r="R44" s="50"/>
      <c r="S44" s="50"/>
    </row>
    <row r="45" spans="1:19" ht="12.75" customHeight="1" x14ac:dyDescent="0.2">
      <c r="A45" s="48" t="s">
        <v>656</v>
      </c>
      <c r="B45" s="48">
        <f>'Petro 10W30'!B45+('Petro 10W30Gallon'!G4-'Petro 10W30'!G4)*'Petro 10W30Gallon'!F45+'Petro 10W30Gallon'!M2</f>
        <v>378.89</v>
      </c>
      <c r="C45" s="49">
        <f t="shared" si="5"/>
        <v>214.18399999999997</v>
      </c>
      <c r="D45" s="48"/>
      <c r="E45" s="49">
        <f>'15W40'!E45</f>
        <v>50.384</v>
      </c>
      <c r="F45" s="48">
        <f>'15W40'!F45</f>
        <v>38</v>
      </c>
      <c r="G45" s="49">
        <f>F45*G4</f>
        <v>155.79999999999998</v>
      </c>
      <c r="H45" s="49">
        <v>8</v>
      </c>
      <c r="I45" s="55">
        <f t="shared" si="2"/>
        <v>164.70600000000002</v>
      </c>
      <c r="J45" s="56">
        <f t="shared" si="3"/>
        <v>0.56529335691097671</v>
      </c>
      <c r="K45" s="56">
        <f t="shared" si="0"/>
        <v>0.43470664308902329</v>
      </c>
      <c r="L45" s="48"/>
      <c r="M45" s="48"/>
      <c r="N45" s="49">
        <f>B45-'T5'!B45</f>
        <v>35.899999999999977</v>
      </c>
      <c r="O45" s="49">
        <f>C45-'T5'!C45</f>
        <v>6.0799999999999841</v>
      </c>
      <c r="P45" s="48"/>
      <c r="Q45" s="50"/>
      <c r="R45" s="50"/>
      <c r="S45" s="50"/>
    </row>
    <row r="46" spans="1:19" ht="12.75" customHeight="1" x14ac:dyDescent="0.2">
      <c r="A46" s="48" t="s">
        <v>657</v>
      </c>
      <c r="B46" s="48">
        <f>'Petro 10W30'!B46+('Petro 10W30Gallon'!G4-'Petro 10W30'!G4)*'Petro 10W30Gallon'!F46+'Petro 10W30Gallon'!M4</f>
        <v>466.59</v>
      </c>
      <c r="C46" s="49">
        <f t="shared" si="5"/>
        <v>271.584</v>
      </c>
      <c r="D46" s="48"/>
      <c r="E46" s="49">
        <f>'15W40'!E46</f>
        <v>50.384</v>
      </c>
      <c r="F46" s="48">
        <f>'15W40'!F46</f>
        <v>52</v>
      </c>
      <c r="G46" s="49">
        <f>F46*G4</f>
        <v>213.2</v>
      </c>
      <c r="H46" s="49">
        <v>8</v>
      </c>
      <c r="I46" s="55">
        <f t="shared" si="2"/>
        <v>195.00599999999997</v>
      </c>
      <c r="J46" s="56">
        <f t="shared" si="3"/>
        <v>0.5820613386484923</v>
      </c>
      <c r="K46" s="56">
        <f t="shared" si="0"/>
        <v>0.4179386613515077</v>
      </c>
      <c r="L46" s="48"/>
      <c r="M46" s="48"/>
      <c r="N46" s="49">
        <f>B46-'T5'!B46</f>
        <v>53.599999999999966</v>
      </c>
      <c r="O46" s="49">
        <f>C46-'T5'!C46</f>
        <v>8.3199999999999932</v>
      </c>
      <c r="P46" s="48"/>
      <c r="Q46" s="50"/>
      <c r="R46" s="50"/>
      <c r="S46" s="50"/>
    </row>
    <row r="47" spans="1:19" x14ac:dyDescent="0.2">
      <c r="A47" s="48" t="s">
        <v>658</v>
      </c>
      <c r="B47" s="48">
        <f>'Petro 10W30'!B47+('Petro 10W30Gallon'!G4-'Petro 10W30'!G4)*'Petro 10W30Gallon'!F47+'Petro 10W30Gallon'!M2</f>
        <v>487.89</v>
      </c>
      <c r="C47" s="49">
        <f t="shared" si="5"/>
        <v>325.18999999999994</v>
      </c>
      <c r="D47" s="48"/>
      <c r="E47" s="49">
        <f>'15W40'!E47</f>
        <v>161.38999999999999</v>
      </c>
      <c r="F47" s="48">
        <f>'15W40'!F47</f>
        <v>38</v>
      </c>
      <c r="G47" s="49">
        <f>F47*G4</f>
        <v>155.79999999999998</v>
      </c>
      <c r="H47" s="49">
        <v>8</v>
      </c>
      <c r="I47" s="55">
        <f t="shared" si="2"/>
        <v>162.70000000000005</v>
      </c>
      <c r="J47" s="56">
        <f t="shared" si="3"/>
        <v>0.66652319170304775</v>
      </c>
      <c r="K47" s="56">
        <f t="shared" si="0"/>
        <v>0.33347680829695225</v>
      </c>
      <c r="L47" s="48"/>
      <c r="M47" s="48"/>
      <c r="N47" s="49">
        <f>B47-'T5'!B47</f>
        <v>35.899999999999977</v>
      </c>
      <c r="O47" s="49">
        <f>C47-'T5'!C47</f>
        <v>6.0799999999999272</v>
      </c>
      <c r="P47" s="48"/>
      <c r="Q47" s="50"/>
      <c r="R47" s="50"/>
      <c r="S47" s="50"/>
    </row>
    <row r="48" spans="1:19" x14ac:dyDescent="0.2">
      <c r="A48" s="48" t="s">
        <v>659</v>
      </c>
      <c r="B48" s="48">
        <f>'Petro 10W30'!B48+('Petro 10W30Gallon'!G4-'Petro 10W30'!G4)*'Petro 10W30Gallon'!F48+'Petro 10W30Gallon'!M4</f>
        <v>578.59</v>
      </c>
      <c r="C48" s="49">
        <f t="shared" si="5"/>
        <v>382.59</v>
      </c>
      <c r="D48" s="48"/>
      <c r="E48" s="49">
        <f>'15W40'!E48</f>
        <v>161.38999999999999</v>
      </c>
      <c r="F48" s="48">
        <f>'15W40'!F48</f>
        <v>52</v>
      </c>
      <c r="G48" s="49">
        <f>F48*G4</f>
        <v>213.2</v>
      </c>
      <c r="H48" s="49">
        <v>8</v>
      </c>
      <c r="I48" s="55">
        <f t="shared" si="2"/>
        <v>196.00000000000006</v>
      </c>
      <c r="J48" s="56">
        <f t="shared" si="3"/>
        <v>0.66124544150434672</v>
      </c>
      <c r="K48" s="56">
        <f t="shared" si="0"/>
        <v>0.33875455849565328</v>
      </c>
      <c r="L48" s="48"/>
      <c r="M48" s="48"/>
      <c r="N48" s="49">
        <f>B48-'T5'!B48</f>
        <v>53.600000000000023</v>
      </c>
      <c r="O48" s="49">
        <f>C48-'T5'!C48</f>
        <v>8.3199999999999932</v>
      </c>
      <c r="P48" s="48"/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8"/>
      <c r="M49" s="48"/>
      <c r="N49" s="49"/>
      <c r="O49" s="49"/>
      <c r="P49" s="48"/>
      <c r="Q49" s="50"/>
      <c r="R49" s="50"/>
      <c r="S49" s="50"/>
    </row>
    <row r="50" spans="1:19" x14ac:dyDescent="0.2">
      <c r="A50" s="48" t="s">
        <v>660</v>
      </c>
      <c r="B50" s="48">
        <f>'Petro 10W30'!B50+('Petro 10W30Gallon'!G4-'Petro 10W30'!G4)*'Petro 10W30Gallon'!F50+'Petro 10W30Gallon'!M2</f>
        <v>490.29</v>
      </c>
      <c r="C50" s="49">
        <f t="shared" si="5"/>
        <v>337.28</v>
      </c>
      <c r="D50" s="48"/>
      <c r="E50" s="49">
        <f>'15W40'!E50</f>
        <v>222.68</v>
      </c>
      <c r="F50" s="48">
        <f>'15W40'!F50</f>
        <v>26</v>
      </c>
      <c r="G50" s="49">
        <f>F50*G4</f>
        <v>106.6</v>
      </c>
      <c r="H50" s="49">
        <v>8</v>
      </c>
      <c r="I50" s="55">
        <f t="shared" si="2"/>
        <v>153.01000000000005</v>
      </c>
      <c r="J50" s="56">
        <f t="shared" si="3"/>
        <v>0.6879193946439861</v>
      </c>
      <c r="K50" s="56">
        <f t="shared" si="0"/>
        <v>0.3120806053560139</v>
      </c>
      <c r="L50" s="48"/>
      <c r="M50" s="48"/>
      <c r="N50" s="49">
        <f>B50-'T5'!B50</f>
        <v>29.300000000000011</v>
      </c>
      <c r="O50" s="49">
        <f>C50-'T5'!C50</f>
        <v>4.1599999999999682</v>
      </c>
      <c r="P50" s="48"/>
      <c r="Q50" s="50"/>
      <c r="R50" s="50"/>
      <c r="S50" s="50"/>
    </row>
    <row r="51" spans="1:19" x14ac:dyDescent="0.2">
      <c r="A51" s="48" t="s">
        <v>661</v>
      </c>
      <c r="B51" s="48">
        <f>'Petro 10W30'!B51+('Petro 10W30Gallon'!G4-'Petro 10W30'!G4)*'Petro 10W30Gallon'!F51+'Petro 10W30Gallon'!M2</f>
        <v>411.29</v>
      </c>
      <c r="C51" s="49">
        <f t="shared" si="5"/>
        <v>259.77599999999995</v>
      </c>
      <c r="D51" s="48"/>
      <c r="E51" s="49">
        <f>'15W40'!E51</f>
        <v>145.17599999999999</v>
      </c>
      <c r="F51" s="48">
        <f>'15W40'!F51</f>
        <v>26</v>
      </c>
      <c r="G51" s="49">
        <f>F51*G4</f>
        <v>106.6</v>
      </c>
      <c r="H51" s="49">
        <v>8</v>
      </c>
      <c r="I51" s="55">
        <f t="shared" si="2"/>
        <v>151.51400000000007</v>
      </c>
      <c r="J51" s="56">
        <f t="shared" si="3"/>
        <v>0.63161273067665136</v>
      </c>
      <c r="K51" s="56">
        <f t="shared" si="0"/>
        <v>0.36838726932334864</v>
      </c>
      <c r="L51" s="48"/>
      <c r="M51" s="48"/>
      <c r="N51" s="49">
        <f>B51-'T5'!B51</f>
        <v>29.300000000000011</v>
      </c>
      <c r="O51" s="49">
        <f>C51-'T5'!C51</f>
        <v>4.1599999999999682</v>
      </c>
      <c r="P51" s="48"/>
      <c r="Q51" s="50"/>
      <c r="R51" s="50"/>
      <c r="S51" s="50"/>
    </row>
    <row r="52" spans="1:19" x14ac:dyDescent="0.2">
      <c r="A52" s="48" t="s">
        <v>662</v>
      </c>
      <c r="B52" s="48">
        <f>'Petro 10W30'!B52+('Petro 10W30Gallon'!G4-'Petro 10W30'!G4)*'Petro 10W30Gallon'!F52+'Petro 10W30Gallon'!M2</f>
        <v>495.89</v>
      </c>
      <c r="C52" s="49">
        <f t="shared" si="5"/>
        <v>328.49</v>
      </c>
      <c r="D52" s="48"/>
      <c r="E52" s="49">
        <f>'15W40'!E52</f>
        <v>164.69</v>
      </c>
      <c r="F52" s="48">
        <f>'15W40'!F52</f>
        <v>38</v>
      </c>
      <c r="G52" s="49">
        <f>F52*G4</f>
        <v>155.79999999999998</v>
      </c>
      <c r="H52" s="49">
        <v>8</v>
      </c>
      <c r="I52" s="55">
        <f t="shared" si="2"/>
        <v>167.39999999999998</v>
      </c>
      <c r="J52" s="56">
        <f t="shared" si="3"/>
        <v>0.66242513460646513</v>
      </c>
      <c r="K52" s="56">
        <f t="shared" si="0"/>
        <v>0.33757486539353487</v>
      </c>
      <c r="L52" s="48"/>
      <c r="M52" s="48"/>
      <c r="N52" s="49">
        <f>B52-'T5'!B52</f>
        <v>35.899999999999977</v>
      </c>
      <c r="O52" s="49">
        <f>C52-'T5'!C52</f>
        <v>6.0800000000000409</v>
      </c>
      <c r="P52" s="48"/>
      <c r="Q52" s="50"/>
      <c r="R52" s="50"/>
      <c r="S52" s="50"/>
    </row>
    <row r="53" spans="1:19" x14ac:dyDescent="0.2">
      <c r="A53" s="48" t="s">
        <v>663</v>
      </c>
      <c r="B53" s="48">
        <f>'Petro 10W30'!B53+('Petro 10W30Gallon'!G4-'Petro 10W30'!G4)*'Petro 10W30Gallon'!F53+'Petro 10W30Gallon'!M2</f>
        <v>417.89</v>
      </c>
      <c r="C53" s="49">
        <f t="shared" si="5"/>
        <v>252.60319999999996</v>
      </c>
      <c r="D53" s="48"/>
      <c r="E53" s="49">
        <f>'15W40'!E53</f>
        <v>88.80319999999999</v>
      </c>
      <c r="F53" s="48">
        <f>'15W40'!F53</f>
        <v>38</v>
      </c>
      <c r="G53" s="49">
        <f>F53*G4</f>
        <v>155.79999999999998</v>
      </c>
      <c r="H53" s="49">
        <v>8</v>
      </c>
      <c r="I53" s="55">
        <f t="shared" si="2"/>
        <v>165.28680000000003</v>
      </c>
      <c r="J53" s="56">
        <f t="shared" si="3"/>
        <v>0.60447294742635616</v>
      </c>
      <c r="K53" s="56">
        <f t="shared" si="0"/>
        <v>0.39552705257364384</v>
      </c>
      <c r="L53" s="48"/>
      <c r="M53" s="48"/>
      <c r="N53" s="49">
        <f>B53-'T5'!B53</f>
        <v>35.899999999999977</v>
      </c>
      <c r="O53" s="49">
        <f>C53-'T5'!C53</f>
        <v>6.0799999999999841</v>
      </c>
      <c r="P53" s="48"/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8"/>
      <c r="M54" s="48"/>
      <c r="N54" s="49"/>
      <c r="O54" s="49"/>
      <c r="P54" s="48"/>
      <c r="Q54" s="50"/>
      <c r="R54" s="50"/>
      <c r="S54" s="50"/>
    </row>
    <row r="55" spans="1:19" x14ac:dyDescent="0.2">
      <c r="A55" s="48" t="s">
        <v>665</v>
      </c>
      <c r="B55" s="48">
        <f>'Petro 10W30'!B55+('Petro 10W30Gallon'!G4-'Petro 10W30'!G4)*'Petro 10W30Gallon'!F55+'Petro 10W30Gallon'!M3</f>
        <v>440.84</v>
      </c>
      <c r="C55" s="49">
        <f t="shared" ref="C55:C60" si="6">E55+G55+H55</f>
        <v>250.70999999999998</v>
      </c>
      <c r="D55" s="48"/>
      <c r="E55" s="49">
        <f>'15W40'!E55</f>
        <v>50.010000000000005</v>
      </c>
      <c r="F55" s="48">
        <f>'15W40'!F55</f>
        <v>47</v>
      </c>
      <c r="G55" s="49">
        <f>F55*G4</f>
        <v>192.7</v>
      </c>
      <c r="H55" s="49">
        <v>8</v>
      </c>
      <c r="I55" s="55">
        <f t="shared" si="2"/>
        <v>190.13</v>
      </c>
      <c r="J55" s="56">
        <f t="shared" si="3"/>
        <v>0.5687097359586244</v>
      </c>
      <c r="K55" s="56">
        <f t="shared" si="0"/>
        <v>0.4312902640413756</v>
      </c>
      <c r="L55" s="48"/>
      <c r="M55" s="48"/>
      <c r="N55" s="49">
        <f>B55-'T5'!B55</f>
        <v>45.849999999999966</v>
      </c>
      <c r="O55" s="49">
        <f>C55-'T5'!C55</f>
        <v>7.5199999999999818</v>
      </c>
      <c r="P55" s="48"/>
      <c r="Q55" s="50"/>
      <c r="R55" s="50"/>
      <c r="S55" s="50"/>
    </row>
    <row r="56" spans="1:19" x14ac:dyDescent="0.2">
      <c r="A56" s="48" t="s">
        <v>666</v>
      </c>
      <c r="B56" s="48">
        <f>'Petro 10W30'!B56+('Petro 10W30Gallon'!G4-'Petro 10W30'!G4)*'Petro 10W30Gallon'!F56+'Petro 10W30Gallon'!M3</f>
        <v>418.84</v>
      </c>
      <c r="C56" s="49">
        <f t="shared" si="6"/>
        <v>242.14159999999998</v>
      </c>
      <c r="D56" s="48"/>
      <c r="E56" s="49">
        <f>'15W40'!E56</f>
        <v>41.441600000000001</v>
      </c>
      <c r="F56" s="48">
        <f>'15W40'!F56</f>
        <v>47</v>
      </c>
      <c r="G56" s="49">
        <f>F56*G4</f>
        <v>192.7</v>
      </c>
      <c r="H56" s="49">
        <v>8</v>
      </c>
      <c r="I56" s="55">
        <f t="shared" si="2"/>
        <v>176.69839999999999</v>
      </c>
      <c r="J56" s="56">
        <f t="shared" si="3"/>
        <v>0.57812434342469676</v>
      </c>
      <c r="K56" s="56">
        <f t="shared" si="0"/>
        <v>0.42187565657530324</v>
      </c>
      <c r="L56" s="48"/>
      <c r="M56" s="48"/>
      <c r="N56" s="49">
        <f>B56-'T5'!B56</f>
        <v>45.849999999999966</v>
      </c>
      <c r="O56" s="49">
        <f>C56-'T5'!C56</f>
        <v>7.5199999999999818</v>
      </c>
      <c r="P56" s="48"/>
      <c r="Q56" s="50"/>
      <c r="R56" s="50"/>
      <c r="S56" s="50"/>
    </row>
    <row r="57" spans="1:19" x14ac:dyDescent="0.2">
      <c r="A57" s="48" t="s">
        <v>667</v>
      </c>
      <c r="B57" s="48">
        <f>'Petro 10W30'!B57+('Petro 10W30Gallon'!G4-'Petro 10W30'!G4)*'Petro 10W30Gallon'!F57+'Petro 10W30Gallon'!M2</f>
        <v>334.29</v>
      </c>
      <c r="C57" s="49">
        <f t="shared" si="6"/>
        <v>162.14999999999998</v>
      </c>
      <c r="D57" s="48"/>
      <c r="E57" s="49">
        <f>'15W40'!E57</f>
        <v>47.55</v>
      </c>
      <c r="F57" s="48">
        <f>'15W40'!F57</f>
        <v>26</v>
      </c>
      <c r="G57" s="49">
        <f>F57*G4</f>
        <v>106.6</v>
      </c>
      <c r="H57" s="49">
        <v>8</v>
      </c>
      <c r="I57" s="55">
        <f t="shared" si="2"/>
        <v>172.14000000000004</v>
      </c>
      <c r="J57" s="56">
        <f t="shared" si="3"/>
        <v>0.48505788387328358</v>
      </c>
      <c r="K57" s="56">
        <f t="shared" si="0"/>
        <v>0.51494211612671648</v>
      </c>
      <c r="L57" s="48"/>
      <c r="M57" s="48"/>
      <c r="N57" s="49">
        <f>B57-'T5'!B57</f>
        <v>29.300000000000011</v>
      </c>
      <c r="O57" s="49">
        <f>C57-'T5'!C57</f>
        <v>4.1599999999999682</v>
      </c>
      <c r="P57" s="48"/>
      <c r="Q57" s="50"/>
      <c r="R57" s="50"/>
      <c r="S57" s="50"/>
    </row>
    <row r="58" spans="1:19" x14ac:dyDescent="0.2">
      <c r="A58" s="48" t="s">
        <v>668</v>
      </c>
      <c r="B58" s="48">
        <f>'Petro 10W30'!B58+('Petro 10W30Gallon'!G4-'Petro 10W30'!G4)*'Petro 10W30Gallon'!F58+'Petro 10W30Gallon'!M2</f>
        <v>296.29000000000002</v>
      </c>
      <c r="C58" s="49">
        <f t="shared" si="6"/>
        <v>148.07599999999999</v>
      </c>
      <c r="D58" s="48"/>
      <c r="E58" s="49">
        <f>'15W40'!E58</f>
        <v>33.475999999999999</v>
      </c>
      <c r="F58" s="48">
        <f>'15W40'!F58</f>
        <v>26</v>
      </c>
      <c r="G58" s="49">
        <f>F58*G4</f>
        <v>106.6</v>
      </c>
      <c r="H58" s="49">
        <v>8</v>
      </c>
      <c r="I58" s="55">
        <f t="shared" si="2"/>
        <v>148.21400000000003</v>
      </c>
      <c r="J58" s="56">
        <f t="shared" si="3"/>
        <v>0.49976712005130103</v>
      </c>
      <c r="K58" s="56">
        <f t="shared" si="0"/>
        <v>0.50023287994869903</v>
      </c>
      <c r="L58" s="48"/>
      <c r="M58" s="48"/>
      <c r="N58" s="49">
        <f>B58-'T5'!B58</f>
        <v>29.300000000000011</v>
      </c>
      <c r="O58" s="49">
        <f>C58-'T5'!C58</f>
        <v>4.1599999999999966</v>
      </c>
      <c r="P58" s="48"/>
      <c r="Q58" s="50"/>
      <c r="R58" s="50"/>
      <c r="S58" s="50"/>
    </row>
    <row r="59" spans="1:19" x14ac:dyDescent="0.2">
      <c r="A59" s="48" t="s">
        <v>669</v>
      </c>
      <c r="B59" s="48">
        <f>'Petro 10W30'!B59+('Petro 10W30Gallon'!G4-'Petro 10W30'!G4)*'Petro 10W30Gallon'!F59+'Petro 10W30Gallon'!M2</f>
        <v>273.19</v>
      </c>
      <c r="C59" s="49">
        <f t="shared" si="6"/>
        <v>106.39999999999999</v>
      </c>
      <c r="D59" s="48"/>
      <c r="E59" s="49">
        <f>'15W40'!E59</f>
        <v>0</v>
      </c>
      <c r="F59" s="48">
        <f>'15W40'!F59</f>
        <v>24</v>
      </c>
      <c r="G59" s="49">
        <f>F59*G4</f>
        <v>98.399999999999991</v>
      </c>
      <c r="H59" s="49">
        <v>8</v>
      </c>
      <c r="I59" s="55">
        <f t="shared" si="2"/>
        <v>166.79000000000002</v>
      </c>
      <c r="J59" s="56">
        <f t="shared" si="3"/>
        <v>0.38947252827702328</v>
      </c>
      <c r="K59" s="56">
        <f t="shared" si="0"/>
        <v>0.61052747172297672</v>
      </c>
      <c r="L59" s="48"/>
      <c r="M59" s="48"/>
      <c r="N59" s="49">
        <f>B59-'T5'!B59</f>
        <v>28.199999999999989</v>
      </c>
      <c r="O59" s="49">
        <f>C59-'T5'!C59</f>
        <v>3.8399999999999892</v>
      </c>
      <c r="P59" s="48"/>
      <c r="Q59" s="50"/>
      <c r="R59" s="50"/>
      <c r="S59" s="50"/>
    </row>
    <row r="60" spans="1:19" x14ac:dyDescent="0.2">
      <c r="A60" s="48" t="s">
        <v>691</v>
      </c>
      <c r="B60" s="48">
        <f>'Petro 10W30'!B60+('Petro 10W30Gallon'!G4-'Petro 10W30'!G4)*'Petro 10W30Gallon'!F60+'Petro 10W30Gallon'!M1</f>
        <v>262.14</v>
      </c>
      <c r="C60" s="49">
        <f t="shared" si="6"/>
        <v>134.54000000000002</v>
      </c>
      <c r="D60" s="48"/>
      <c r="E60" s="49">
        <f>'15W40'!E60</f>
        <v>73.240000000000009</v>
      </c>
      <c r="F60" s="48">
        <f>'15W40'!F60</f>
        <v>13</v>
      </c>
      <c r="G60" s="49">
        <f>F60*G4</f>
        <v>53.3</v>
      </c>
      <c r="H60" s="49">
        <v>8</v>
      </c>
      <c r="I60" s="55">
        <f t="shared" si="2"/>
        <v>127.59999999999997</v>
      </c>
      <c r="J60" s="56">
        <f t="shared" si="3"/>
        <v>0.51323720149538421</v>
      </c>
      <c r="K60" s="56">
        <f t="shared" si="0"/>
        <v>0.48676279850461579</v>
      </c>
      <c r="L60" s="48"/>
      <c r="M60" s="48"/>
      <c r="N60" s="49">
        <f>B60-'T5'!B60</f>
        <v>17.149999999999977</v>
      </c>
      <c r="O60" s="49">
        <f>C60-'T5'!C60</f>
        <v>2.0800000000000125</v>
      </c>
      <c r="P60" s="48"/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8"/>
      <c r="M61" s="48"/>
      <c r="N61" s="49"/>
      <c r="O61" s="49"/>
      <c r="P61" s="48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8"/>
      <c r="M62" s="48"/>
      <c r="N62" s="49"/>
      <c r="O62" s="49"/>
      <c r="P62" s="48"/>
      <c r="Q62" s="50"/>
      <c r="R62" s="50"/>
      <c r="S62" s="50"/>
    </row>
    <row r="63" spans="1:19" x14ac:dyDescent="0.2">
      <c r="A63" s="48" t="s">
        <v>673</v>
      </c>
      <c r="B63" s="48">
        <f>'Petro 10W30'!B63+('Petro 10W30Gallon'!G4-'Petro 10W30'!G4)*'Petro 10W30Gallon'!F63+'Petro 10W30Gallon'!M2</f>
        <v>301.29000000000002</v>
      </c>
      <c r="C63" s="49">
        <f>E63+G63+H63</f>
        <v>152.62639999999999</v>
      </c>
      <c r="D63" s="48"/>
      <c r="E63" s="49">
        <f>'15W40'!E63</f>
        <v>38.026400000000002</v>
      </c>
      <c r="F63" s="48">
        <f>'15W40'!F63</f>
        <v>26</v>
      </c>
      <c r="G63" s="49">
        <f>F63*G4</f>
        <v>106.6</v>
      </c>
      <c r="H63" s="49">
        <v>8</v>
      </c>
      <c r="I63" s="55">
        <f t="shared" si="2"/>
        <v>148.66360000000003</v>
      </c>
      <c r="J63" s="56">
        <f t="shared" si="3"/>
        <v>0.50657638819741768</v>
      </c>
      <c r="K63" s="56">
        <f t="shared" si="0"/>
        <v>0.49342361180258232</v>
      </c>
      <c r="L63" s="48"/>
      <c r="M63" s="48"/>
      <c r="N63" s="49">
        <f>B63-'T5'!B63</f>
        <v>29.300000000000011</v>
      </c>
      <c r="O63" s="49">
        <f>C63-'T5'!C63</f>
        <v>4.1599999999999966</v>
      </c>
      <c r="P63" s="48"/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8"/>
      <c r="M64" s="48"/>
      <c r="N64" s="49"/>
      <c r="O64" s="49"/>
      <c r="P64" s="48"/>
      <c r="Q64" s="50"/>
      <c r="R64" s="50"/>
      <c r="S64" s="50"/>
    </row>
    <row r="65" spans="1:19" x14ac:dyDescent="0.2">
      <c r="A65" s="48" t="s">
        <v>674</v>
      </c>
      <c r="B65" s="48">
        <f>'Petro 10W30'!B65+('Petro 10W30Gallon'!G4-'Petro 10W30'!G4)*'Petro 10W30Gallon'!F65+'Petro 10W30Gallon'!M3</f>
        <v>534.29</v>
      </c>
      <c r="C65" s="49">
        <f>E65+G65+H65</f>
        <v>358.65</v>
      </c>
      <c r="D65" s="48"/>
      <c r="E65" s="49">
        <f>'15W40'!E65</f>
        <v>162.05000000000001</v>
      </c>
      <c r="F65" s="48">
        <f>'15W40'!F65</f>
        <v>46</v>
      </c>
      <c r="G65" s="49">
        <f>F65*G4</f>
        <v>188.6</v>
      </c>
      <c r="H65" s="49">
        <v>8</v>
      </c>
      <c r="I65" s="55">
        <f t="shared" si="2"/>
        <v>175.64</v>
      </c>
      <c r="J65" s="56">
        <f t="shared" si="3"/>
        <v>0.67126466899998127</v>
      </c>
      <c r="K65" s="56">
        <f t="shared" si="0"/>
        <v>0.32873533100001873</v>
      </c>
      <c r="L65" s="48"/>
      <c r="M65" s="48"/>
      <c r="N65" s="49">
        <f>B65-'T5'!B65</f>
        <v>45.299999999999955</v>
      </c>
      <c r="O65" s="49">
        <f>C65-'T5'!C65</f>
        <v>7.3599999999999568</v>
      </c>
      <c r="P65" s="48"/>
      <c r="Q65" s="50"/>
      <c r="R65" s="50"/>
      <c r="S65" s="50"/>
    </row>
    <row r="66" spans="1:19" x14ac:dyDescent="0.2">
      <c r="A66" s="48" t="s">
        <v>675</v>
      </c>
      <c r="B66" s="48">
        <f>'Petro 10W30'!B66+('Petro 10W30Gallon'!G4-'Petro 10W30'!G4)*'Petro 10W30Gallon'!F66+'Petro 10W30Gallon'!M3</f>
        <v>455.29</v>
      </c>
      <c r="C66" s="49">
        <f>E66+G66+H66</f>
        <v>276.44720000000001</v>
      </c>
      <c r="D66" s="48"/>
      <c r="E66" s="49">
        <f>'15W40'!E66</f>
        <v>79.847200000000001</v>
      </c>
      <c r="F66" s="48">
        <f>'15W40'!F66</f>
        <v>46</v>
      </c>
      <c r="G66" s="49">
        <f>F66*G4</f>
        <v>188.6</v>
      </c>
      <c r="H66" s="49">
        <v>8</v>
      </c>
      <c r="I66" s="55">
        <f t="shared" si="2"/>
        <v>178.84280000000001</v>
      </c>
      <c r="J66" s="56">
        <f t="shared" si="3"/>
        <v>0.60718926398559159</v>
      </c>
      <c r="K66" s="56">
        <f t="shared" si="0"/>
        <v>0.39281073601440841</v>
      </c>
      <c r="L66" s="48"/>
      <c r="M66" s="48"/>
      <c r="N66" s="49">
        <f>B66-'T5'!B66</f>
        <v>45.300000000000011</v>
      </c>
      <c r="O66" s="49">
        <f>C66-'T5'!C66</f>
        <v>7.3600000000000136</v>
      </c>
      <c r="P66" s="48"/>
      <c r="Q66" s="50"/>
      <c r="R66" s="50"/>
      <c r="S66" s="50"/>
    </row>
    <row r="67" spans="1:19" x14ac:dyDescent="0.2">
      <c r="A67" s="48" t="s">
        <v>676</v>
      </c>
      <c r="B67" s="48">
        <f>'Petro 10W30'!B67+('Petro 10W30Gallon'!G4-'Petro 10W30'!G4)*'Petro 10W30Gallon'!F67+'Petro 10W30Gallon'!M2</f>
        <v>283.19</v>
      </c>
      <c r="C67" s="49">
        <f>E67+G67+H67</f>
        <v>133.08799999999999</v>
      </c>
      <c r="D67" s="48"/>
      <c r="E67" s="49">
        <f>'15W40'!E67</f>
        <v>26.688000000000002</v>
      </c>
      <c r="F67" s="48">
        <f>'15W40'!F67</f>
        <v>24</v>
      </c>
      <c r="G67" s="49">
        <f>F67*G4</f>
        <v>98.399999999999991</v>
      </c>
      <c r="H67" s="49">
        <v>8</v>
      </c>
      <c r="I67" s="55">
        <f t="shared" si="2"/>
        <v>150.102</v>
      </c>
      <c r="J67" s="56">
        <f t="shared" si="3"/>
        <v>0.46996009746106854</v>
      </c>
      <c r="K67" s="56">
        <f t="shared" si="0"/>
        <v>0.53003990253893152</v>
      </c>
      <c r="L67" s="48"/>
      <c r="M67" s="48"/>
      <c r="N67" s="49">
        <f>B67-'T5'!B67</f>
        <v>28.199999999999989</v>
      </c>
      <c r="O67" s="49">
        <f>C67-'T5'!C67</f>
        <v>3.8400000000000034</v>
      </c>
      <c r="P67" s="48"/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8"/>
      <c r="M68" s="48"/>
      <c r="N68" s="49"/>
      <c r="O68" s="49"/>
      <c r="P68" s="48"/>
      <c r="Q68" s="50"/>
      <c r="R68" s="50"/>
      <c r="S68" s="50"/>
    </row>
    <row r="69" spans="1:19" x14ac:dyDescent="0.2">
      <c r="A69" s="48" t="s">
        <v>677</v>
      </c>
      <c r="B69" s="48">
        <f>'Petro 10W30'!B69+('Petro 10W30Gallon'!G4-'Petro 10W30'!G4)*'Petro 10W30Gallon'!F69+'Petro 10W30Gallon'!M2</f>
        <v>404.69</v>
      </c>
      <c r="C69" s="49">
        <f t="shared" ref="C69:C74" si="7">E69+G69+H69</f>
        <v>234.00479999999999</v>
      </c>
      <c r="D69" s="48"/>
      <c r="E69" s="49">
        <f>'15W40'!E69</f>
        <v>86.604800000000012</v>
      </c>
      <c r="F69" s="48">
        <f>'15W40'!F69</f>
        <v>34</v>
      </c>
      <c r="G69" s="49">
        <f>F69*G4</f>
        <v>139.39999999999998</v>
      </c>
      <c r="H69" s="49">
        <v>8</v>
      </c>
      <c r="I69" s="55">
        <f t="shared" si="2"/>
        <v>170.68520000000001</v>
      </c>
      <c r="J69" s="56">
        <f t="shared" si="3"/>
        <v>0.57823222713682076</v>
      </c>
      <c r="K69" s="56">
        <f t="shared" si="0"/>
        <v>0.42176777286317924</v>
      </c>
      <c r="L69" s="48"/>
      <c r="M69" s="48"/>
      <c r="N69" s="49">
        <f>B69-'T5'!B69</f>
        <v>33.699999999999989</v>
      </c>
      <c r="O69" s="49">
        <f>C69-'T5'!C69</f>
        <v>5.4399999999999693</v>
      </c>
      <c r="P69" s="48"/>
      <c r="Q69" s="50"/>
      <c r="R69" s="50"/>
      <c r="S69" s="50"/>
    </row>
    <row r="70" spans="1:19" x14ac:dyDescent="0.2">
      <c r="A70" s="48" t="s">
        <v>678</v>
      </c>
      <c r="B70" s="48">
        <f>'Petro 10W30'!B70+('Petro 10W30Gallon'!G4-'Petro 10W30'!G4)*'Petro 10W30Gallon'!F70+'Petro 10W30Gallon'!M3</f>
        <v>453.09000000000003</v>
      </c>
      <c r="C70" s="49">
        <f t="shared" si="7"/>
        <v>266.8048</v>
      </c>
      <c r="D70" s="48"/>
      <c r="E70" s="49">
        <f>'15W40'!E70</f>
        <v>86.604800000000012</v>
      </c>
      <c r="F70" s="48">
        <f>'15W40'!F70</f>
        <v>42</v>
      </c>
      <c r="G70" s="49">
        <f>F70*G4</f>
        <v>172.2</v>
      </c>
      <c r="H70" s="49">
        <v>8</v>
      </c>
      <c r="I70" s="55">
        <f t="shared" si="2"/>
        <v>186.28520000000003</v>
      </c>
      <c r="J70" s="56">
        <f t="shared" si="3"/>
        <v>0.5888560771590633</v>
      </c>
      <c r="K70" s="56">
        <f t="shared" si="0"/>
        <v>0.4111439228409367</v>
      </c>
      <c r="L70" s="48"/>
      <c r="M70" s="48"/>
      <c r="N70" s="49">
        <f>B70-'T5'!B70</f>
        <v>43.100000000000023</v>
      </c>
      <c r="O70" s="49">
        <f>C70-'T5'!C70</f>
        <v>6.7200000000000273</v>
      </c>
      <c r="P70" s="48"/>
      <c r="Q70" s="50"/>
      <c r="R70" s="50"/>
      <c r="S70" s="50"/>
    </row>
    <row r="71" spans="1:19" x14ac:dyDescent="0.2">
      <c r="A71" s="48" t="s">
        <v>679</v>
      </c>
      <c r="B71" s="48">
        <f>'Petro 10W30'!B71+('Petro 10W30Gallon'!G4-'Petro 10W30'!G4)*'Petro 10W30Gallon'!F71+'Petro 10W30Gallon'!M4</f>
        <v>513.58999999999992</v>
      </c>
      <c r="C71" s="49">
        <f t="shared" si="7"/>
        <v>307.8048</v>
      </c>
      <c r="D71" s="48"/>
      <c r="E71" s="49">
        <f>'15W40'!E71</f>
        <v>86.604800000000012</v>
      </c>
      <c r="F71" s="48">
        <f>'15W40'!F71</f>
        <v>52</v>
      </c>
      <c r="G71" s="49">
        <f>F71*G4</f>
        <v>213.2</v>
      </c>
      <c r="H71" s="49">
        <v>8</v>
      </c>
      <c r="I71" s="55">
        <f t="shared" si="2"/>
        <v>205.78519999999992</v>
      </c>
      <c r="J71" s="56">
        <f t="shared" si="3"/>
        <v>0.59932008021963057</v>
      </c>
      <c r="K71" s="56">
        <f t="shared" si="0"/>
        <v>0.40067991978036943</v>
      </c>
      <c r="L71" s="48"/>
      <c r="M71" s="48"/>
      <c r="N71" s="49">
        <f>B71-'T5'!B71</f>
        <v>53.599999999999909</v>
      </c>
      <c r="O71" s="49">
        <f>C71-'T5'!C71</f>
        <v>8.3199999999999932</v>
      </c>
      <c r="P71" s="48"/>
      <c r="Q71" s="50"/>
      <c r="R71" s="50"/>
      <c r="S71" s="50"/>
    </row>
    <row r="72" spans="1:19" x14ac:dyDescent="0.2">
      <c r="A72" s="48" t="s">
        <v>680</v>
      </c>
      <c r="B72" s="48">
        <f>'Petro 10W30'!B72+('Petro 10W30Gallon'!G4-'Petro 10W30'!G4)*'Petro 10W30Gallon'!F72+'Petro 10W30Gallon'!M2</f>
        <v>473.69</v>
      </c>
      <c r="C72" s="49">
        <f t="shared" si="7"/>
        <v>313.68999999999994</v>
      </c>
      <c r="D72" s="48"/>
      <c r="E72" s="49">
        <f>'15W40'!E72</f>
        <v>166.29</v>
      </c>
      <c r="F72" s="48">
        <f>'15W40'!F72</f>
        <v>34</v>
      </c>
      <c r="G72" s="49">
        <f>F72*G4</f>
        <v>139.39999999999998</v>
      </c>
      <c r="H72" s="49">
        <v>8</v>
      </c>
      <c r="I72" s="55">
        <f t="shared" si="2"/>
        <v>160.00000000000006</v>
      </c>
      <c r="J72" s="56">
        <f t="shared" si="3"/>
        <v>0.66222635056682633</v>
      </c>
      <c r="K72" s="56">
        <f t="shared" si="0"/>
        <v>0.33777364943317367</v>
      </c>
      <c r="L72" s="48"/>
      <c r="M72" s="48"/>
      <c r="N72" s="49">
        <f>B72-'T5'!B72</f>
        <v>33.699999999999989</v>
      </c>
      <c r="O72" s="49">
        <f>C72-'T5'!C72</f>
        <v>5.4399999999999409</v>
      </c>
      <c r="P72" s="48"/>
      <c r="Q72" s="50"/>
      <c r="R72" s="50"/>
      <c r="S72" s="50"/>
    </row>
    <row r="73" spans="1:19" x14ac:dyDescent="0.2">
      <c r="A73" s="48" t="s">
        <v>681</v>
      </c>
      <c r="B73" s="48">
        <f>'Petro 10W30'!B73+('Petro 10W30Gallon'!G4-'Petro 10W30'!G4)*'Petro 10W30Gallon'!F73+'Petro 10W30Gallon'!M3</f>
        <v>523.09</v>
      </c>
      <c r="C73" s="49">
        <f t="shared" si="7"/>
        <v>346.49</v>
      </c>
      <c r="D73" s="48"/>
      <c r="E73" s="49">
        <f>'15W40'!E73</f>
        <v>166.29</v>
      </c>
      <c r="F73" s="48">
        <f>'15W40'!F73</f>
        <v>42</v>
      </c>
      <c r="G73" s="49">
        <f>F73*G4</f>
        <v>172.2</v>
      </c>
      <c r="H73" s="49">
        <v>8</v>
      </c>
      <c r="I73" s="55">
        <f t="shared" si="2"/>
        <v>176.60000000000002</v>
      </c>
      <c r="J73" s="56">
        <f t="shared" si="3"/>
        <v>0.66239079317134719</v>
      </c>
      <c r="K73" s="56">
        <f t="shared" si="0"/>
        <v>0.33760920682865281</v>
      </c>
      <c r="L73" s="48"/>
      <c r="M73" s="48"/>
      <c r="N73" s="49">
        <f>B73-'T5'!B73</f>
        <v>43.100000000000023</v>
      </c>
      <c r="O73" s="49">
        <f>C73-'T5'!C73</f>
        <v>6.7200000000000273</v>
      </c>
      <c r="P73" s="48"/>
      <c r="Q73" s="50"/>
      <c r="R73" s="50"/>
      <c r="S73" s="50"/>
    </row>
    <row r="74" spans="1:19" x14ac:dyDescent="0.2">
      <c r="A74" s="48" t="s">
        <v>682</v>
      </c>
      <c r="B74" s="48">
        <f>'Petro 10W30'!B74+('Petro 10W30Gallon'!G4-'Petro 10W30'!G4)*'Petro 10W30Gallon'!F74+'Petro 10W30Gallon'!M34</f>
        <v>556.59</v>
      </c>
      <c r="C74" s="49">
        <f t="shared" si="7"/>
        <v>387.49</v>
      </c>
      <c r="D74" s="48"/>
      <c r="E74" s="49">
        <f>'15W40'!E74</f>
        <v>166.29</v>
      </c>
      <c r="F74" s="48">
        <f>'15W40'!F74</f>
        <v>52</v>
      </c>
      <c r="G74" s="49">
        <f>F74*G4</f>
        <v>213.2</v>
      </c>
      <c r="H74" s="49">
        <v>8</v>
      </c>
      <c r="I74" s="55">
        <f t="shared" si="2"/>
        <v>169.10000000000002</v>
      </c>
      <c r="J74" s="56">
        <f t="shared" si="3"/>
        <v>0.69618570222246179</v>
      </c>
      <c r="K74" s="56">
        <f t="shared" ref="K74" si="8">1-J74</f>
        <v>0.30381429777753821</v>
      </c>
      <c r="L74" s="48"/>
      <c r="M74" s="48"/>
      <c r="N74" s="49">
        <f>B74-'T5'!B74</f>
        <v>28.600000000000023</v>
      </c>
      <c r="O74" s="49">
        <f>C74-'T5'!C74</f>
        <v>8.32000000000005</v>
      </c>
      <c r="P74" s="48"/>
      <c r="Q74" s="50"/>
      <c r="R74" s="50"/>
      <c r="S74" s="50"/>
    </row>
    <row r="75" spans="1:19" ht="12.75" customHeight="1" x14ac:dyDescent="0.2">
      <c r="N75" s="50"/>
    </row>
    <row r="76" spans="1:19" ht="12.75" customHeight="1" x14ac:dyDescent="0.2">
      <c r="N76" s="50"/>
    </row>
    <row r="77" spans="1:19" ht="12.75" customHeight="1" x14ac:dyDescent="0.2">
      <c r="N77" s="50"/>
    </row>
    <row r="78" spans="1:19" ht="12.75" customHeight="1" x14ac:dyDescent="0.2">
      <c r="N78" s="5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6"/>
  <sheetViews>
    <sheetView zoomScale="109" zoomScaleNormal="109" workbookViewId="0">
      <pane ySplit="4" topLeftCell="A5" activePane="bottomLeft" state="frozen"/>
      <selection pane="bottomLeft" activeCell="T5" sqref="T5"/>
    </sheetView>
  </sheetViews>
  <sheetFormatPr defaultColWidth="9.140625" defaultRowHeight="12.75" customHeight="1" x14ac:dyDescent="0.2"/>
  <cols>
    <col min="1" max="1" width="36.28515625" style="46" customWidth="1"/>
    <col min="2" max="3" width="6.42578125" style="46" customWidth="1"/>
    <col min="4" max="4" width="7.5703125" style="46" customWidth="1"/>
    <col min="5" max="5" width="6.5703125" style="46" customWidth="1"/>
    <col min="6" max="6" width="6.140625" style="46" customWidth="1"/>
    <col min="7" max="7" width="5.5703125" style="46" customWidth="1"/>
    <col min="8" max="8" width="4.5703125" style="46" customWidth="1"/>
    <col min="9" max="10" width="6.7109375" style="46" customWidth="1"/>
    <col min="11" max="11" width="6.42578125" style="46" customWidth="1"/>
    <col min="12" max="13" width="6.140625" style="46" customWidth="1"/>
    <col min="14" max="15" width="8.140625" style="46" customWidth="1"/>
    <col min="16" max="18" width="7.85546875" style="46" customWidth="1"/>
    <col min="19" max="19" width="5.42578125" style="46" customWidth="1"/>
    <col min="20" max="16384" width="9.140625" style="46"/>
  </cols>
  <sheetData>
    <row r="1" spans="1:19" ht="12.75" customHeight="1" x14ac:dyDescent="0.2">
      <c r="A1" s="46" t="s">
        <v>625</v>
      </c>
      <c r="B1" s="47" t="s">
        <v>698</v>
      </c>
      <c r="C1" s="47"/>
      <c r="D1" s="47"/>
      <c r="I1" s="50">
        <f>'Oil Price'!C13</f>
        <v>5.99</v>
      </c>
      <c r="J1" s="50"/>
      <c r="K1" s="328">
        <v>0.1</v>
      </c>
      <c r="R1" s="48" t="s">
        <v>693</v>
      </c>
      <c r="S1" s="48">
        <v>30</v>
      </c>
    </row>
    <row r="2" spans="1:19" ht="12.75" customHeight="1" x14ac:dyDescent="0.2">
      <c r="B2" s="46" t="s">
        <v>684</v>
      </c>
      <c r="C2" s="372" t="s">
        <v>1240</v>
      </c>
      <c r="D2" s="372" t="s">
        <v>1240</v>
      </c>
      <c r="E2" s="46" t="s">
        <v>685</v>
      </c>
      <c r="F2" s="372" t="s">
        <v>628</v>
      </c>
      <c r="G2" s="46" t="s">
        <v>626</v>
      </c>
      <c r="H2" s="46" t="s">
        <v>686</v>
      </c>
      <c r="I2" s="46" t="s">
        <v>630</v>
      </c>
      <c r="J2" s="372" t="s">
        <v>630</v>
      </c>
      <c r="K2" s="46" t="s">
        <v>631</v>
      </c>
      <c r="L2" s="46" t="s">
        <v>687</v>
      </c>
      <c r="M2" s="372" t="s">
        <v>687</v>
      </c>
      <c r="N2" s="46" t="s">
        <v>628</v>
      </c>
      <c r="O2" s="372" t="s">
        <v>628</v>
      </c>
      <c r="P2" s="46" t="s">
        <v>687</v>
      </c>
      <c r="Q2" s="372" t="s">
        <v>687</v>
      </c>
      <c r="R2" s="48" t="s">
        <v>694</v>
      </c>
      <c r="S2" s="48">
        <v>50</v>
      </c>
    </row>
    <row r="3" spans="1:19" ht="12.75" customHeight="1" x14ac:dyDescent="0.2">
      <c r="C3" s="372" t="s">
        <v>1238</v>
      </c>
      <c r="D3" s="372" t="s">
        <v>707</v>
      </c>
      <c r="F3" s="372" t="s">
        <v>1238</v>
      </c>
      <c r="G3" s="46" t="s">
        <v>628</v>
      </c>
      <c r="I3" s="46" t="s">
        <v>628</v>
      </c>
      <c r="J3" s="372" t="s">
        <v>628</v>
      </c>
      <c r="K3" s="46" t="s">
        <v>688</v>
      </c>
      <c r="M3" s="372" t="s">
        <v>1238</v>
      </c>
      <c r="O3" s="372" t="s">
        <v>1238</v>
      </c>
      <c r="Q3" s="372" t="s">
        <v>1238</v>
      </c>
      <c r="R3" s="48" t="s">
        <v>695</v>
      </c>
      <c r="S3" s="48">
        <v>60</v>
      </c>
    </row>
    <row r="4" spans="1:19" ht="12.75" customHeight="1" x14ac:dyDescent="0.2">
      <c r="C4" s="372" t="s">
        <v>1239</v>
      </c>
      <c r="D4" s="372" t="s">
        <v>1198</v>
      </c>
      <c r="F4" s="372" t="s">
        <v>1239</v>
      </c>
      <c r="I4" s="50">
        <f>I1+K1</f>
        <v>6.09</v>
      </c>
      <c r="J4" s="371" t="s">
        <v>1239</v>
      </c>
      <c r="K4" s="50"/>
      <c r="M4" s="372" t="s">
        <v>1239</v>
      </c>
      <c r="N4" s="46">
        <v>1</v>
      </c>
      <c r="O4" s="372" t="s">
        <v>1239</v>
      </c>
      <c r="Q4" s="372" t="s">
        <v>1239</v>
      </c>
      <c r="R4" s="48" t="s">
        <v>696</v>
      </c>
      <c r="S4" s="48">
        <v>70</v>
      </c>
    </row>
    <row r="5" spans="1:19" ht="12.75" customHeight="1" x14ac:dyDescent="0.2">
      <c r="C5" s="373"/>
      <c r="D5" s="373"/>
      <c r="F5" s="373"/>
      <c r="I5" s="50">
        <v>8.5</v>
      </c>
      <c r="J5" s="374"/>
      <c r="K5" s="50"/>
      <c r="M5" s="373"/>
      <c r="O5" s="373"/>
      <c r="Q5" s="373"/>
    </row>
    <row r="6" spans="1:19" ht="12.75" customHeight="1" x14ac:dyDescent="0.2">
      <c r="A6" s="48" t="s">
        <v>632</v>
      </c>
      <c r="B6" s="48">
        <f>'15W40'!B6+('T6'!I4-'15W40'!G4)*'T6'!H6+'T6'!S2</f>
        <v>361.99</v>
      </c>
      <c r="C6" s="371">
        <f>B6+(L6-M6)</f>
        <v>422.24</v>
      </c>
      <c r="D6" s="371">
        <f>C6-B6</f>
        <v>60.25</v>
      </c>
      <c r="E6" s="49">
        <f>G6+I6+K6</f>
        <v>213.54000000000002</v>
      </c>
      <c r="F6" s="371">
        <f>G6+J6+K6</f>
        <v>273.79000000000002</v>
      </c>
      <c r="G6" s="49">
        <f>'15W40'!E6</f>
        <v>53.290000000000006</v>
      </c>
      <c r="H6" s="48">
        <f>'15W40'!F6</f>
        <v>25</v>
      </c>
      <c r="I6" s="49">
        <f>H6*I4</f>
        <v>152.25</v>
      </c>
      <c r="J6" s="371">
        <f>H6*I5</f>
        <v>212.5</v>
      </c>
      <c r="K6" s="49">
        <v>8</v>
      </c>
      <c r="L6" s="55">
        <f>B6-E6</f>
        <v>148.44999999999999</v>
      </c>
      <c r="M6" s="375">
        <f>B6-F6</f>
        <v>88.199999999999989</v>
      </c>
      <c r="N6" s="56">
        <f>E6/B6</f>
        <v>0.58990579850272107</v>
      </c>
      <c r="O6" s="376">
        <f>F6/B6</f>
        <v>0.75634686041050858</v>
      </c>
      <c r="P6" s="56">
        <f>1-N6</f>
        <v>0.41009420149727893</v>
      </c>
      <c r="Q6" s="376">
        <f>N4-O6</f>
        <v>0.24365313958949142</v>
      </c>
    </row>
    <row r="7" spans="1:19" ht="12.75" customHeight="1" x14ac:dyDescent="0.2">
      <c r="A7" s="48" t="s">
        <v>633</v>
      </c>
      <c r="B7" s="48">
        <f>'15W40'!B7+('T6'!I4-'15W40'!G4)*'T6'!H7+'T6'!S2</f>
        <v>339.99</v>
      </c>
      <c r="C7" s="371">
        <f>B7+(L7-M7)</f>
        <v>400.24</v>
      </c>
      <c r="D7" s="371">
        <f t="shared" ref="D7:D72" si="0">C7-B7</f>
        <v>60.25</v>
      </c>
      <c r="E7" s="49">
        <f>G7+I7+K7</f>
        <v>182.04919999999998</v>
      </c>
      <c r="F7" s="371">
        <f t="shared" ref="F7:F72" si="1">G7+J7+K7</f>
        <v>242.29919999999998</v>
      </c>
      <c r="G7" s="49">
        <f>'15W40'!E7</f>
        <v>21.799199999999999</v>
      </c>
      <c r="H7" s="48">
        <f>'15W40'!F7</f>
        <v>25</v>
      </c>
      <c r="I7" s="49">
        <f>H7*I4</f>
        <v>152.25</v>
      </c>
      <c r="J7" s="371">
        <f>H7*I5</f>
        <v>212.5</v>
      </c>
      <c r="K7" s="49">
        <v>8</v>
      </c>
      <c r="L7" s="55">
        <f>B7-E7</f>
        <v>157.94080000000002</v>
      </c>
      <c r="M7" s="375">
        <f>B7-F7</f>
        <v>97.690800000000024</v>
      </c>
      <c r="N7" s="56">
        <f>E7/B7</f>
        <v>0.53545457219329973</v>
      </c>
      <c r="O7" s="376">
        <f>F7/B7</f>
        <v>0.71266566663725395</v>
      </c>
      <c r="P7" s="56">
        <f t="shared" ref="P7:P73" si="2">1-N7</f>
        <v>0.46454542780670027</v>
      </c>
      <c r="Q7" s="376">
        <f>N4-O7</f>
        <v>0.28733433336274605</v>
      </c>
    </row>
    <row r="8" spans="1:19" ht="12.75" customHeight="1" x14ac:dyDescent="0.2">
      <c r="A8" s="48"/>
      <c r="B8" s="48"/>
      <c r="C8" s="371"/>
      <c r="D8" s="371"/>
      <c r="E8" s="49"/>
      <c r="F8" s="371"/>
      <c r="G8" s="49"/>
      <c r="H8" s="48"/>
      <c r="I8" s="49"/>
      <c r="J8" s="371"/>
      <c r="K8" s="49"/>
      <c r="L8" s="55"/>
      <c r="M8" s="375"/>
      <c r="N8" s="56"/>
      <c r="O8" s="376"/>
      <c r="P8" s="56"/>
      <c r="Q8" s="376"/>
    </row>
    <row r="9" spans="1:19" ht="12.75" customHeight="1" x14ac:dyDescent="0.2">
      <c r="A9" s="48" t="s">
        <v>634</v>
      </c>
      <c r="B9" s="48">
        <f>'15W40'!B9+('T6'!I4-'15W40'!G4)*'T6'!H9+'T6'!S2</f>
        <v>454.90999999999997</v>
      </c>
      <c r="C9" s="371">
        <f>B9+(L9-M9)</f>
        <v>546.49</v>
      </c>
      <c r="D9" s="371">
        <f t="shared" si="0"/>
        <v>91.580000000000041</v>
      </c>
      <c r="E9" s="49">
        <f>G9+I9+K9</f>
        <v>310</v>
      </c>
      <c r="F9" s="371">
        <f t="shared" si="1"/>
        <v>401.58</v>
      </c>
      <c r="G9" s="49">
        <f>'15W40'!E9</f>
        <v>70.58</v>
      </c>
      <c r="H9" s="48">
        <f>'15W40'!F9</f>
        <v>38</v>
      </c>
      <c r="I9" s="49">
        <f>H9*I4</f>
        <v>231.42</v>
      </c>
      <c r="J9" s="371">
        <f>H9*I5</f>
        <v>323</v>
      </c>
      <c r="K9" s="49">
        <v>8</v>
      </c>
      <c r="L9" s="55">
        <f>B9-E9</f>
        <v>144.90999999999997</v>
      </c>
      <c r="M9" s="375">
        <f>B9-F9</f>
        <v>53.329999999999984</v>
      </c>
      <c r="N9" s="56">
        <f>E9/B9</f>
        <v>0.68145347431360059</v>
      </c>
      <c r="O9" s="376">
        <f>F9/B9</f>
        <v>0.88276802004792154</v>
      </c>
      <c r="P9" s="56">
        <f t="shared" si="2"/>
        <v>0.31854652568639941</v>
      </c>
      <c r="Q9" s="376">
        <f>N4-O9</f>
        <v>0.11723197995207846</v>
      </c>
    </row>
    <row r="10" spans="1:19" ht="12.75" customHeight="1" x14ac:dyDescent="0.2">
      <c r="A10" s="48" t="s">
        <v>635</v>
      </c>
      <c r="B10" s="48">
        <f>'15W40'!B10+('T6'!I4-'15W40'!G4)*'T6'!H10+'T6'!S2</f>
        <v>413.90999999999997</v>
      </c>
      <c r="C10" s="371">
        <f>B10+(L10-M10)</f>
        <v>505.49</v>
      </c>
      <c r="D10" s="371">
        <f t="shared" si="0"/>
        <v>91.580000000000041</v>
      </c>
      <c r="E10" s="49">
        <f>G10+I10+K10</f>
        <v>270.46479999999997</v>
      </c>
      <c r="F10" s="371">
        <f t="shared" si="1"/>
        <v>362.04480000000001</v>
      </c>
      <c r="G10" s="49">
        <f>'15W40'!E10</f>
        <v>31.044799999999999</v>
      </c>
      <c r="H10" s="48">
        <f>'15W40'!F10</f>
        <v>38</v>
      </c>
      <c r="I10" s="49">
        <f>H10*I4</f>
        <v>231.42</v>
      </c>
      <c r="J10" s="371">
        <f>H10*I5</f>
        <v>323</v>
      </c>
      <c r="K10" s="49">
        <v>8</v>
      </c>
      <c r="L10" s="55">
        <f>B10-E10</f>
        <v>143.4452</v>
      </c>
      <c r="M10" s="375">
        <f>B10-F10</f>
        <v>51.865199999999959</v>
      </c>
      <c r="N10" s="56">
        <f>E10/B10</f>
        <v>0.65343867024232316</v>
      </c>
      <c r="O10" s="376">
        <f>F10/B10</f>
        <v>0.87469449880408789</v>
      </c>
      <c r="P10" s="56">
        <f t="shared" si="2"/>
        <v>0.34656132975767684</v>
      </c>
      <c r="Q10" s="376">
        <f>N4-O10</f>
        <v>0.12530550119591211</v>
      </c>
    </row>
    <row r="11" spans="1:19" ht="12.75" customHeight="1" x14ac:dyDescent="0.2">
      <c r="A11" s="48"/>
      <c r="B11" s="48"/>
      <c r="C11" s="371"/>
      <c r="D11" s="371"/>
      <c r="E11" s="49"/>
      <c r="F11" s="371"/>
      <c r="G11" s="49"/>
      <c r="H11" s="48"/>
      <c r="I11" s="49"/>
      <c r="J11" s="371"/>
      <c r="K11" s="49"/>
      <c r="L11" s="55"/>
      <c r="M11" s="375"/>
      <c r="N11" s="56"/>
      <c r="O11" s="376"/>
      <c r="P11" s="56"/>
      <c r="Q11" s="376"/>
    </row>
    <row r="12" spans="1:19" ht="12.75" customHeight="1" x14ac:dyDescent="0.2">
      <c r="A12" s="48" t="s">
        <v>637</v>
      </c>
      <c r="B12" s="48">
        <f>'15W40'!B12+('T6'!I4-'15W40'!G4)*'T6'!H12+'T6'!S3</f>
        <v>494.11</v>
      </c>
      <c r="C12" s="371">
        <f>B12+(L12-M12)</f>
        <v>597.74</v>
      </c>
      <c r="D12" s="371">
        <f t="shared" si="0"/>
        <v>103.63</v>
      </c>
      <c r="E12" s="49">
        <f>G12+I12+K12</f>
        <v>340.45</v>
      </c>
      <c r="F12" s="371">
        <f t="shared" si="1"/>
        <v>444.08</v>
      </c>
      <c r="G12" s="49">
        <f>'15W40'!E12</f>
        <v>70.58</v>
      </c>
      <c r="H12" s="48">
        <f>'15W40'!F12</f>
        <v>43</v>
      </c>
      <c r="I12" s="49">
        <f>H12*I4</f>
        <v>261.87</v>
      </c>
      <c r="J12" s="371">
        <f>H12*I5</f>
        <v>365.5</v>
      </c>
      <c r="K12" s="49">
        <v>8</v>
      </c>
      <c r="L12" s="55">
        <f>B12-E12</f>
        <v>153.66000000000003</v>
      </c>
      <c r="M12" s="375">
        <f>B12-F12</f>
        <v>50.03000000000003</v>
      </c>
      <c r="N12" s="56">
        <f>E12/B12</f>
        <v>0.68901661573333872</v>
      </c>
      <c r="O12" s="376">
        <f>F12/B12</f>
        <v>0.89874724251684845</v>
      </c>
      <c r="P12" s="56">
        <f t="shared" si="2"/>
        <v>0.31098338426666128</v>
      </c>
      <c r="Q12" s="376">
        <f>N4-O12</f>
        <v>0.10125275748315155</v>
      </c>
    </row>
    <row r="13" spans="1:19" ht="12.75" customHeight="1" x14ac:dyDescent="0.2">
      <c r="A13" s="48" t="s">
        <v>638</v>
      </c>
      <c r="B13" s="48">
        <f>'15W40'!B13+('T6'!I4-'15W40'!G4)*'T6'!H13+'T6'!S3</f>
        <v>453.11</v>
      </c>
      <c r="C13" s="371">
        <f>B13+(L13-M13)</f>
        <v>556.74</v>
      </c>
      <c r="D13" s="371">
        <f t="shared" si="0"/>
        <v>103.63</v>
      </c>
      <c r="E13" s="49">
        <f>G13+I13+K13</f>
        <v>300.91480000000001</v>
      </c>
      <c r="F13" s="371">
        <f t="shared" si="1"/>
        <v>404.54480000000001</v>
      </c>
      <c r="G13" s="49">
        <f>'15W40'!E13</f>
        <v>31.044799999999999</v>
      </c>
      <c r="H13" s="48">
        <f>'15W40'!F13</f>
        <v>43</v>
      </c>
      <c r="I13" s="49">
        <f>H13*I4</f>
        <v>261.87</v>
      </c>
      <c r="J13" s="371">
        <f>H13*I5</f>
        <v>365.5</v>
      </c>
      <c r="K13" s="49">
        <v>8</v>
      </c>
      <c r="L13" s="55">
        <f>B13-E13</f>
        <v>152.1952</v>
      </c>
      <c r="M13" s="375">
        <f>B13-F13</f>
        <v>48.565200000000004</v>
      </c>
      <c r="N13" s="56">
        <f>E13/B13</f>
        <v>0.66410981880779507</v>
      </c>
      <c r="O13" s="376">
        <f>F13/B13</f>
        <v>0.89281807949504532</v>
      </c>
      <c r="P13" s="56">
        <f t="shared" si="2"/>
        <v>0.33589018119220493</v>
      </c>
      <c r="Q13" s="376">
        <f>N4-O13</f>
        <v>0.10718192050495468</v>
      </c>
    </row>
    <row r="14" spans="1:19" ht="12.75" customHeight="1" x14ac:dyDescent="0.2">
      <c r="A14" s="48"/>
      <c r="B14" s="48"/>
      <c r="C14" s="371"/>
      <c r="D14" s="371"/>
      <c r="E14" s="49"/>
      <c r="F14" s="371"/>
      <c r="G14" s="49"/>
      <c r="H14" s="48"/>
      <c r="I14" s="49"/>
      <c r="J14" s="371"/>
      <c r="K14" s="49"/>
      <c r="L14" s="55"/>
      <c r="M14" s="375"/>
      <c r="N14" s="56"/>
      <c r="O14" s="376"/>
      <c r="P14" s="56"/>
      <c r="Q14" s="376"/>
    </row>
    <row r="15" spans="1:19" ht="12.75" customHeight="1" x14ac:dyDescent="0.2">
      <c r="A15" s="48" t="s">
        <v>639</v>
      </c>
      <c r="B15" s="48">
        <f>'15W40'!B15+('T6'!I4-'15W40'!G4)*'T6'!H15+'T6'!S3</f>
        <v>435.59000000000003</v>
      </c>
      <c r="C15" s="371">
        <f t="shared" ref="C15:C21" si="3">B15+(L15-M15)</f>
        <v>531.99</v>
      </c>
      <c r="D15" s="371">
        <f t="shared" si="0"/>
        <v>96.399999999999977</v>
      </c>
      <c r="E15" s="49">
        <f t="shared" ref="E15:E21" si="4">G15+I15+K15</f>
        <v>283.03120000000001</v>
      </c>
      <c r="F15" s="371">
        <f t="shared" si="1"/>
        <v>379.43119999999999</v>
      </c>
      <c r="G15" s="49">
        <f>'15W40'!E15</f>
        <v>31.4312</v>
      </c>
      <c r="H15" s="48">
        <f>'15W40'!F15</f>
        <v>40</v>
      </c>
      <c r="I15" s="49">
        <f>H15*I4</f>
        <v>243.6</v>
      </c>
      <c r="J15" s="371">
        <f>H15*I5</f>
        <v>340</v>
      </c>
      <c r="K15" s="49">
        <v>8</v>
      </c>
      <c r="L15" s="55">
        <f t="shared" ref="L15:L21" si="5">B15-E15</f>
        <v>152.55880000000002</v>
      </c>
      <c r="M15" s="375">
        <f t="shared" ref="M15:M21" si="6">B15-F15</f>
        <v>56.158800000000042</v>
      </c>
      <c r="N15" s="56">
        <f t="shared" ref="N15:N21" si="7">E15/B15</f>
        <v>0.64976514612364833</v>
      </c>
      <c r="O15" s="376">
        <f t="shared" ref="O15:O21" si="8">F15/B15</f>
        <v>0.87107417525654851</v>
      </c>
      <c r="P15" s="56">
        <f t="shared" si="2"/>
        <v>0.35023485387635167</v>
      </c>
      <c r="Q15" s="376">
        <f>N4-O15</f>
        <v>0.12892582474345149</v>
      </c>
    </row>
    <row r="16" spans="1:19" ht="12.75" customHeight="1" x14ac:dyDescent="0.2">
      <c r="A16" s="48" t="s">
        <v>640</v>
      </c>
      <c r="B16" s="48">
        <f>'15W40'!B16+('T6'!I4-'15W40'!G4)*'T6'!H16+'T6'!S1</f>
        <v>226.75</v>
      </c>
      <c r="C16" s="371">
        <f t="shared" si="3"/>
        <v>260.49</v>
      </c>
      <c r="D16" s="371">
        <f t="shared" si="0"/>
        <v>33.740000000000009</v>
      </c>
      <c r="E16" s="49">
        <f t="shared" si="4"/>
        <v>99.97999999999999</v>
      </c>
      <c r="F16" s="371">
        <f t="shared" si="1"/>
        <v>133.72</v>
      </c>
      <c r="G16" s="49">
        <f>'15W40'!E16</f>
        <v>6.7200000000000006</v>
      </c>
      <c r="H16" s="48">
        <f>'15W40'!F16</f>
        <v>14</v>
      </c>
      <c r="I16" s="49">
        <f>H16*I4</f>
        <v>85.259999999999991</v>
      </c>
      <c r="J16" s="371">
        <f>H16*I5</f>
        <v>119</v>
      </c>
      <c r="K16" s="49">
        <v>8</v>
      </c>
      <c r="L16" s="55">
        <f t="shared" si="5"/>
        <v>126.77000000000001</v>
      </c>
      <c r="M16" s="375">
        <f t="shared" si="6"/>
        <v>93.03</v>
      </c>
      <c r="N16" s="56">
        <f t="shared" si="7"/>
        <v>0.44092613009922815</v>
      </c>
      <c r="O16" s="376">
        <f t="shared" si="8"/>
        <v>0.58972436604189638</v>
      </c>
      <c r="P16" s="56">
        <f t="shared" si="2"/>
        <v>0.55907386990077179</v>
      </c>
      <c r="Q16" s="376">
        <f>N4-O16</f>
        <v>0.41027563395810362</v>
      </c>
    </row>
    <row r="17" spans="1:20" ht="12.75" customHeight="1" x14ac:dyDescent="0.2">
      <c r="A17" s="48" t="s">
        <v>641</v>
      </c>
      <c r="B17" s="48">
        <f>'15W40'!B17+('T6'!I4-'15W40'!G4)*'T6'!H17+'T6'!S2</f>
        <v>353.99</v>
      </c>
      <c r="C17" s="371">
        <f t="shared" si="3"/>
        <v>414.24</v>
      </c>
      <c r="D17" s="371">
        <f t="shared" si="0"/>
        <v>60.25</v>
      </c>
      <c r="E17" s="49">
        <f t="shared" si="4"/>
        <v>211.06040000000002</v>
      </c>
      <c r="F17" s="371">
        <f t="shared" si="1"/>
        <v>271.31040000000002</v>
      </c>
      <c r="G17" s="49">
        <f>'15W40'!E17</f>
        <v>50.810400000000001</v>
      </c>
      <c r="H17" s="48">
        <f>'15W40'!F17</f>
        <v>25</v>
      </c>
      <c r="I17" s="49">
        <f>H17*I4</f>
        <v>152.25</v>
      </c>
      <c r="J17" s="371">
        <f>H17*I5</f>
        <v>212.5</v>
      </c>
      <c r="K17" s="49">
        <v>8</v>
      </c>
      <c r="L17" s="55">
        <f t="shared" si="5"/>
        <v>142.92959999999999</v>
      </c>
      <c r="M17" s="375">
        <f t="shared" si="6"/>
        <v>82.679599999999994</v>
      </c>
      <c r="N17" s="56">
        <f t="shared" si="7"/>
        <v>0.59623266193960289</v>
      </c>
      <c r="O17" s="376">
        <f t="shared" si="8"/>
        <v>0.7664352100341818</v>
      </c>
      <c r="P17" s="56">
        <f t="shared" si="2"/>
        <v>0.40376733806039711</v>
      </c>
      <c r="Q17" s="376">
        <f>N4-O17</f>
        <v>0.2335647899658182</v>
      </c>
    </row>
    <row r="18" spans="1:20" ht="12.75" customHeight="1" x14ac:dyDescent="0.2">
      <c r="A18" s="48" t="s">
        <v>642</v>
      </c>
      <c r="B18" s="48">
        <f>'15W40'!B18+('T6'!I4-'15W40'!G4)*'T6'!H18+'T6'!S2</f>
        <v>351.99</v>
      </c>
      <c r="C18" s="371">
        <f t="shared" si="3"/>
        <v>412.24</v>
      </c>
      <c r="D18" s="371">
        <f t="shared" si="0"/>
        <v>60.25</v>
      </c>
      <c r="E18" s="49">
        <f t="shared" si="4"/>
        <v>186.93799999999999</v>
      </c>
      <c r="F18" s="371">
        <f t="shared" si="1"/>
        <v>247.18799999999999</v>
      </c>
      <c r="G18" s="49">
        <f>'15W40'!E18</f>
        <v>26.688000000000002</v>
      </c>
      <c r="H18" s="48">
        <f>'15W40'!F18</f>
        <v>25</v>
      </c>
      <c r="I18" s="49">
        <f>H18*I4</f>
        <v>152.25</v>
      </c>
      <c r="J18" s="371">
        <f>H18*I5</f>
        <v>212.5</v>
      </c>
      <c r="K18" s="49">
        <v>8</v>
      </c>
      <c r="L18" s="55">
        <f t="shared" si="5"/>
        <v>165.05200000000002</v>
      </c>
      <c r="M18" s="375">
        <f t="shared" si="6"/>
        <v>104.80200000000002</v>
      </c>
      <c r="N18" s="56">
        <f t="shared" si="7"/>
        <v>0.53108895139066448</v>
      </c>
      <c r="O18" s="376">
        <f t="shared" si="8"/>
        <v>0.70225858689167298</v>
      </c>
      <c r="P18" s="56">
        <f t="shared" si="2"/>
        <v>0.46891104860933552</v>
      </c>
      <c r="Q18" s="376">
        <f>N4-O18</f>
        <v>0.29774141310832702</v>
      </c>
    </row>
    <row r="19" spans="1:20" ht="12.75" customHeight="1" x14ac:dyDescent="0.2">
      <c r="A19" s="48" t="s">
        <v>643</v>
      </c>
      <c r="B19" s="48">
        <f>'15W40'!B19+('T6'!I4-'15W40'!G4)*'T6'!H19+'T6'!S2</f>
        <v>409.23</v>
      </c>
      <c r="C19" s="371">
        <f t="shared" si="3"/>
        <v>495.99</v>
      </c>
      <c r="D19" s="371">
        <f t="shared" si="0"/>
        <v>86.759999999999991</v>
      </c>
      <c r="E19" s="49">
        <f t="shared" si="4"/>
        <v>267.07440000000003</v>
      </c>
      <c r="F19" s="371">
        <f t="shared" si="1"/>
        <v>353.83440000000002</v>
      </c>
      <c r="G19" s="49">
        <f>'15W40'!E19</f>
        <v>39.834400000000002</v>
      </c>
      <c r="H19" s="48">
        <f>'15W40'!F19</f>
        <v>36</v>
      </c>
      <c r="I19" s="49">
        <f>H19*I4</f>
        <v>219.24</v>
      </c>
      <c r="J19" s="371">
        <f>H19*I5</f>
        <v>306</v>
      </c>
      <c r="K19" s="49">
        <v>8</v>
      </c>
      <c r="L19" s="55">
        <f t="shared" si="5"/>
        <v>142.15559999999999</v>
      </c>
      <c r="M19" s="375">
        <f t="shared" si="6"/>
        <v>55.395600000000002</v>
      </c>
      <c r="N19" s="56">
        <f t="shared" si="7"/>
        <v>0.65262664027563966</v>
      </c>
      <c r="O19" s="376">
        <f t="shared" si="8"/>
        <v>0.86463455758375485</v>
      </c>
      <c r="P19" s="56">
        <f t="shared" si="2"/>
        <v>0.34737335972436034</v>
      </c>
      <c r="Q19" s="376">
        <f>N4-O19</f>
        <v>0.13536544241624515</v>
      </c>
    </row>
    <row r="20" spans="1:20" ht="12.75" customHeight="1" x14ac:dyDescent="0.2">
      <c r="A20" s="48" t="s">
        <v>645</v>
      </c>
      <c r="B20" s="48">
        <f>'15W40'!B20+('T6'!I4-'15W40'!G4)*'T6'!H20+'T6'!S3</f>
        <v>519.95000000000005</v>
      </c>
      <c r="C20" s="371">
        <f t="shared" si="3"/>
        <v>625.99</v>
      </c>
      <c r="D20" s="371">
        <f t="shared" si="0"/>
        <v>106.03999999999996</v>
      </c>
      <c r="E20" s="49">
        <f t="shared" si="4"/>
        <v>361.6096</v>
      </c>
      <c r="F20" s="371">
        <f t="shared" si="1"/>
        <v>467.64960000000002</v>
      </c>
      <c r="G20" s="49">
        <f>'15W40'!E20</f>
        <v>85.649600000000007</v>
      </c>
      <c r="H20" s="48">
        <f>'15W40'!F20</f>
        <v>44</v>
      </c>
      <c r="I20" s="49">
        <f>H20*I4</f>
        <v>267.95999999999998</v>
      </c>
      <c r="J20" s="371">
        <f>H20*I5</f>
        <v>374</v>
      </c>
      <c r="K20" s="49">
        <v>8</v>
      </c>
      <c r="L20" s="55">
        <f t="shared" si="5"/>
        <v>158.34040000000005</v>
      </c>
      <c r="M20" s="375">
        <f t="shared" si="6"/>
        <v>52.300400000000025</v>
      </c>
      <c r="N20" s="56">
        <f t="shared" si="7"/>
        <v>0.69546994903356085</v>
      </c>
      <c r="O20" s="376">
        <f t="shared" si="8"/>
        <v>0.89941263583036823</v>
      </c>
      <c r="P20" s="56">
        <f t="shared" si="2"/>
        <v>0.30453005096643915</v>
      </c>
      <c r="Q20" s="376">
        <f>N4-O20</f>
        <v>0.10058736416963177</v>
      </c>
    </row>
    <row r="21" spans="1:20" ht="12.75" customHeight="1" x14ac:dyDescent="0.2">
      <c r="A21" s="48" t="s">
        <v>646</v>
      </c>
      <c r="B21" s="48">
        <f>'15W40'!B21+('T6'!I4-'15W40'!G4)*'T6'!H21+'T6'!S2</f>
        <v>388.55</v>
      </c>
      <c r="C21" s="371">
        <f t="shared" si="3"/>
        <v>470.49</v>
      </c>
      <c r="D21" s="371">
        <f t="shared" si="0"/>
        <v>81.94</v>
      </c>
      <c r="E21" s="49">
        <f t="shared" si="4"/>
        <v>246.49119999999999</v>
      </c>
      <c r="F21" s="371">
        <f t="shared" si="1"/>
        <v>328.43119999999999</v>
      </c>
      <c r="G21" s="49">
        <f>'15W40'!E21</f>
        <v>31.4312</v>
      </c>
      <c r="H21" s="48">
        <f>'15W40'!F21</f>
        <v>34</v>
      </c>
      <c r="I21" s="49">
        <f>H21*I4</f>
        <v>207.06</v>
      </c>
      <c r="J21" s="371">
        <f>H21*I5</f>
        <v>289</v>
      </c>
      <c r="K21" s="49">
        <v>8</v>
      </c>
      <c r="L21" s="55">
        <f t="shared" si="5"/>
        <v>142.05880000000002</v>
      </c>
      <c r="M21" s="375">
        <f t="shared" si="6"/>
        <v>60.118800000000022</v>
      </c>
      <c r="N21" s="56">
        <f t="shared" si="7"/>
        <v>0.6343873375369965</v>
      </c>
      <c r="O21" s="376">
        <f t="shared" si="8"/>
        <v>0.84527396731437388</v>
      </c>
      <c r="P21" s="56">
        <f t="shared" si="2"/>
        <v>0.3656126624630035</v>
      </c>
      <c r="Q21" s="376">
        <f>N4-O21</f>
        <v>0.15472603268562612</v>
      </c>
    </row>
    <row r="22" spans="1:20" ht="12.75" customHeight="1" x14ac:dyDescent="0.2">
      <c r="A22" s="48"/>
      <c r="B22" s="48"/>
      <c r="C22" s="371"/>
      <c r="D22" s="371"/>
      <c r="F22" s="371"/>
      <c r="G22" s="49"/>
      <c r="H22" s="48"/>
      <c r="I22" s="49"/>
      <c r="J22" s="371"/>
      <c r="K22" s="49"/>
      <c r="L22" s="55"/>
      <c r="M22" s="375"/>
      <c r="N22" s="56"/>
      <c r="O22" s="376"/>
      <c r="P22" s="56"/>
      <c r="Q22" s="376"/>
    </row>
    <row r="23" spans="1:20" ht="12.75" customHeight="1" x14ac:dyDescent="0.2">
      <c r="A23" s="48" t="s">
        <v>647</v>
      </c>
      <c r="B23" s="48">
        <f>'15W40'!B23+('T6'!I4-'15W40'!G4)*'T6'!H23+'T6'!S2</f>
        <v>469.90999999999997</v>
      </c>
      <c r="C23" s="371">
        <f t="shared" ref="C23:C28" si="9">B23+(L23-M23)</f>
        <v>561.49</v>
      </c>
      <c r="D23" s="371">
        <f t="shared" si="0"/>
        <v>91.580000000000041</v>
      </c>
      <c r="E23" s="49">
        <f t="shared" ref="E23:E28" si="10">G23+I23+K23</f>
        <v>317.03999999999996</v>
      </c>
      <c r="F23" s="371">
        <f t="shared" si="1"/>
        <v>408.62</v>
      </c>
      <c r="G23" s="49">
        <f>'15W40'!E23</f>
        <v>77.62</v>
      </c>
      <c r="H23" s="48">
        <f>'15W40'!F23</f>
        <v>38</v>
      </c>
      <c r="I23" s="49">
        <f>H23*I4</f>
        <v>231.42</v>
      </c>
      <c r="J23" s="371">
        <f>H23*I5</f>
        <v>323</v>
      </c>
      <c r="K23" s="49">
        <v>8</v>
      </c>
      <c r="L23" s="55">
        <f t="shared" ref="L23:L28" si="11">B23-E23</f>
        <v>152.87</v>
      </c>
      <c r="M23" s="375">
        <f t="shared" ref="M23:M28" si="12">B23-F23</f>
        <v>61.289999999999964</v>
      </c>
      <c r="N23" s="56">
        <f t="shared" ref="N23:N28" si="13">E23/B23</f>
        <v>0.67468238598880637</v>
      </c>
      <c r="O23" s="376">
        <f t="shared" ref="O23:O28" si="14">F23/B23</f>
        <v>0.86957076887063489</v>
      </c>
      <c r="P23" s="56">
        <f t="shared" si="2"/>
        <v>0.32531761401119363</v>
      </c>
      <c r="Q23" s="376">
        <f>N4-O23</f>
        <v>0.13042923112936511</v>
      </c>
    </row>
    <row r="24" spans="1:20" ht="12.75" customHeight="1" x14ac:dyDescent="0.2">
      <c r="A24" s="48" t="s">
        <v>648</v>
      </c>
      <c r="B24" s="48">
        <f>'15W40'!B24+('T6'!I4-'15W40'!G4)*'T6'!H24+'T6'!S2</f>
        <v>518.87</v>
      </c>
      <c r="C24" s="371">
        <f t="shared" si="9"/>
        <v>595.99</v>
      </c>
      <c r="D24" s="371">
        <f t="shared" si="0"/>
        <v>77.12</v>
      </c>
      <c r="E24" s="49">
        <f t="shared" si="10"/>
        <v>371.73</v>
      </c>
      <c r="F24" s="371">
        <f t="shared" si="1"/>
        <v>448.85</v>
      </c>
      <c r="G24" s="49">
        <f>'15W40'!E24</f>
        <v>168.85000000000002</v>
      </c>
      <c r="H24" s="48">
        <f>'15W40'!F24</f>
        <v>32</v>
      </c>
      <c r="I24" s="49">
        <f>H24*I4</f>
        <v>194.88</v>
      </c>
      <c r="J24" s="371">
        <f>H24*I5</f>
        <v>272</v>
      </c>
      <c r="K24" s="49">
        <v>8</v>
      </c>
      <c r="L24" s="55">
        <f t="shared" si="11"/>
        <v>147.13999999999999</v>
      </c>
      <c r="M24" s="375">
        <f t="shared" si="12"/>
        <v>70.019999999999982</v>
      </c>
      <c r="N24" s="56">
        <f t="shared" si="13"/>
        <v>0.71642222522019006</v>
      </c>
      <c r="O24" s="376">
        <f t="shared" si="14"/>
        <v>0.86505290342474994</v>
      </c>
      <c r="P24" s="56">
        <f t="shared" si="2"/>
        <v>0.28357777477980994</v>
      </c>
      <c r="Q24" s="376">
        <f>N4-O24</f>
        <v>0.13494709657525006</v>
      </c>
    </row>
    <row r="25" spans="1:20" ht="12.75" customHeight="1" x14ac:dyDescent="0.2">
      <c r="A25" s="48" t="s">
        <v>649</v>
      </c>
      <c r="B25" s="48">
        <f>'15W40'!B25+('T6'!I4-'15W40'!G4)*'T6'!H25+'T6'!S3</f>
        <v>553.27</v>
      </c>
      <c r="C25" s="371">
        <f t="shared" si="9"/>
        <v>654.49</v>
      </c>
      <c r="D25" s="371">
        <f t="shared" si="0"/>
        <v>101.22000000000003</v>
      </c>
      <c r="E25" s="49">
        <f t="shared" si="10"/>
        <v>401.57000000000005</v>
      </c>
      <c r="F25" s="371">
        <f t="shared" si="1"/>
        <v>502.79</v>
      </c>
      <c r="G25" s="49">
        <f>'15W40'!E25</f>
        <v>137.79000000000002</v>
      </c>
      <c r="H25" s="48">
        <f>'15W40'!F25</f>
        <v>42</v>
      </c>
      <c r="I25" s="49">
        <f>H25*I4</f>
        <v>255.78</v>
      </c>
      <c r="J25" s="371">
        <f>H25*I5</f>
        <v>357</v>
      </c>
      <c r="K25" s="49">
        <v>8</v>
      </c>
      <c r="L25" s="55">
        <f t="shared" si="11"/>
        <v>151.69999999999993</v>
      </c>
      <c r="M25" s="375">
        <f t="shared" si="12"/>
        <v>50.479999999999961</v>
      </c>
      <c r="N25" s="56">
        <f t="shared" si="13"/>
        <v>0.72581199052903655</v>
      </c>
      <c r="O25" s="376">
        <f t="shared" si="14"/>
        <v>0.90876064127821865</v>
      </c>
      <c r="P25" s="56">
        <f t="shared" si="2"/>
        <v>0.27418800947096345</v>
      </c>
      <c r="Q25" s="376">
        <f>N4-O25</f>
        <v>9.123935872178135E-2</v>
      </c>
      <c r="T25" s="50"/>
    </row>
    <row r="26" spans="1:20" ht="12.75" customHeight="1" x14ac:dyDescent="0.2">
      <c r="A26" s="48" t="s">
        <v>650</v>
      </c>
      <c r="B26" s="48">
        <f>'15W40'!B26+('T6'!I4-'15W40'!G4)*'T6'!H26+'T6'!S3</f>
        <v>531.27</v>
      </c>
      <c r="C26" s="371">
        <f t="shared" si="9"/>
        <v>632.49</v>
      </c>
      <c r="D26" s="371">
        <f t="shared" si="0"/>
        <v>101.22000000000003</v>
      </c>
      <c r="E26" s="49">
        <f t="shared" si="10"/>
        <v>377.83280000000002</v>
      </c>
      <c r="F26" s="371">
        <f t="shared" si="1"/>
        <v>479.05280000000005</v>
      </c>
      <c r="G26" s="49">
        <f>'15W40'!E26</f>
        <v>114.05280000000002</v>
      </c>
      <c r="H26" s="48">
        <f>'15W40'!F26</f>
        <v>42</v>
      </c>
      <c r="I26" s="49">
        <f>H26*I4</f>
        <v>255.78</v>
      </c>
      <c r="J26" s="371">
        <f>H26*I5</f>
        <v>357</v>
      </c>
      <c r="K26" s="49">
        <v>8</v>
      </c>
      <c r="L26" s="55">
        <f t="shared" si="11"/>
        <v>153.43719999999996</v>
      </c>
      <c r="M26" s="375">
        <f t="shared" si="12"/>
        <v>52.217199999999934</v>
      </c>
      <c r="N26" s="56">
        <f t="shared" si="13"/>
        <v>0.71118790821992595</v>
      </c>
      <c r="O26" s="376">
        <f t="shared" si="14"/>
        <v>0.90171250023528537</v>
      </c>
      <c r="P26" s="56">
        <f t="shared" si="2"/>
        <v>0.28881209178007405</v>
      </c>
      <c r="Q26" s="376">
        <f>N4-O26</f>
        <v>9.8287499764714625E-2</v>
      </c>
    </row>
    <row r="27" spans="1:20" ht="12.75" customHeight="1" x14ac:dyDescent="0.2">
      <c r="A27" s="48" t="s">
        <v>651</v>
      </c>
      <c r="B27" s="48">
        <f>'15W40'!B27+('T6'!I4-'15W40'!G4)*'T6'!H27+'T6'!S2</f>
        <v>422.90999999999997</v>
      </c>
      <c r="C27" s="371">
        <f t="shared" si="9"/>
        <v>514.49</v>
      </c>
      <c r="D27" s="371">
        <f t="shared" si="0"/>
        <v>91.580000000000041</v>
      </c>
      <c r="E27" s="49">
        <f t="shared" si="10"/>
        <v>284.81119999999999</v>
      </c>
      <c r="F27" s="371">
        <f t="shared" si="1"/>
        <v>376.39120000000003</v>
      </c>
      <c r="G27" s="49">
        <f>'15W40'!E27</f>
        <v>45.391199999999998</v>
      </c>
      <c r="H27" s="48">
        <f>'15W40'!F27</f>
        <v>38</v>
      </c>
      <c r="I27" s="49">
        <f>H27*I4</f>
        <v>231.42</v>
      </c>
      <c r="J27" s="371">
        <f>H27*I5</f>
        <v>323</v>
      </c>
      <c r="K27" s="49">
        <v>8</v>
      </c>
      <c r="L27" s="55">
        <f t="shared" si="11"/>
        <v>138.09879999999998</v>
      </c>
      <c r="M27" s="375">
        <f t="shared" si="12"/>
        <v>46.518799999999942</v>
      </c>
      <c r="N27" s="56">
        <f t="shared" si="13"/>
        <v>0.67345581802274712</v>
      </c>
      <c r="O27" s="376">
        <f t="shared" si="14"/>
        <v>0.89000307394008193</v>
      </c>
      <c r="P27" s="56">
        <f t="shared" si="2"/>
        <v>0.32654418197725288</v>
      </c>
      <c r="Q27" s="376">
        <f>N4-O27</f>
        <v>0.10999692605991807</v>
      </c>
    </row>
    <row r="28" spans="1:20" ht="12.75" customHeight="1" x14ac:dyDescent="0.2">
      <c r="A28" s="48" t="s">
        <v>652</v>
      </c>
      <c r="B28" s="48">
        <f>'15W40'!B28+('T6'!I4-'15W40'!G4)*'T6'!H28+'T6'!S1</f>
        <v>226.75</v>
      </c>
      <c r="C28" s="371">
        <f t="shared" si="9"/>
        <v>260.49</v>
      </c>
      <c r="D28" s="371">
        <f t="shared" si="0"/>
        <v>33.740000000000009</v>
      </c>
      <c r="E28" s="49">
        <f t="shared" si="10"/>
        <v>103.36239999999999</v>
      </c>
      <c r="F28" s="371">
        <f t="shared" si="1"/>
        <v>137.10239999999999</v>
      </c>
      <c r="G28" s="49">
        <f>'15W40'!E28</f>
        <v>10.102400000000001</v>
      </c>
      <c r="H28" s="48">
        <f>'15W40'!F28</f>
        <v>14</v>
      </c>
      <c r="I28" s="49">
        <f>H28*I4</f>
        <v>85.259999999999991</v>
      </c>
      <c r="J28" s="371">
        <f>H28*I5</f>
        <v>119</v>
      </c>
      <c r="K28" s="49">
        <v>8</v>
      </c>
      <c r="L28" s="55">
        <f t="shared" si="11"/>
        <v>123.38760000000001</v>
      </c>
      <c r="M28" s="375">
        <f t="shared" si="12"/>
        <v>89.647600000000011</v>
      </c>
      <c r="N28" s="56">
        <f t="shared" si="13"/>
        <v>0.45584299889746416</v>
      </c>
      <c r="O28" s="376">
        <f t="shared" si="14"/>
        <v>0.60464123484013221</v>
      </c>
      <c r="P28" s="56">
        <f t="shared" si="2"/>
        <v>0.54415700110253584</v>
      </c>
      <c r="Q28" s="376">
        <f>N4-O28</f>
        <v>0.39535876515986779</v>
      </c>
    </row>
    <row r="29" spans="1:20" ht="12.75" customHeight="1" x14ac:dyDescent="0.2">
      <c r="A29" s="48"/>
      <c r="B29" s="48"/>
      <c r="C29" s="371"/>
      <c r="D29" s="371"/>
      <c r="E29" s="49"/>
      <c r="F29" s="371"/>
      <c r="G29" s="49"/>
      <c r="H29" s="48"/>
      <c r="I29" s="49"/>
      <c r="J29" s="371"/>
      <c r="K29" s="49"/>
      <c r="L29" s="55"/>
      <c r="M29" s="375"/>
      <c r="N29" s="56"/>
      <c r="O29" s="376"/>
      <c r="P29" s="56"/>
      <c r="Q29" s="376"/>
    </row>
    <row r="30" spans="1:20" ht="12.75" customHeight="1" x14ac:dyDescent="0.2">
      <c r="A30" s="48" t="s">
        <v>653</v>
      </c>
      <c r="B30" s="48">
        <f>'15W40'!B30+('T6'!I4-'15W40'!G4)*'T6'!H30+'T6'!S1</f>
        <v>226.75</v>
      </c>
      <c r="C30" s="371">
        <f>B30+(L30-M30)</f>
        <v>260.49</v>
      </c>
      <c r="D30" s="371">
        <f t="shared" si="0"/>
        <v>33.740000000000009</v>
      </c>
      <c r="E30" s="49">
        <f>G30+I30+K30</f>
        <v>107.67679999999999</v>
      </c>
      <c r="F30" s="371">
        <f t="shared" si="1"/>
        <v>141.41679999999999</v>
      </c>
      <c r="G30" s="49">
        <f>'15W40'!E30</f>
        <v>14.416800000000002</v>
      </c>
      <c r="H30" s="48">
        <f>'15W40'!F30</f>
        <v>14</v>
      </c>
      <c r="I30" s="49">
        <f>H30*I4</f>
        <v>85.259999999999991</v>
      </c>
      <c r="J30" s="371">
        <f>H30*I5</f>
        <v>119</v>
      </c>
      <c r="K30" s="49">
        <v>8</v>
      </c>
      <c r="L30" s="55">
        <f>B30-E30</f>
        <v>119.07320000000001</v>
      </c>
      <c r="M30" s="375">
        <f>B30-F30</f>
        <v>85.333200000000005</v>
      </c>
      <c r="N30" s="56">
        <f>E30/B30</f>
        <v>0.47487012127894151</v>
      </c>
      <c r="O30" s="376">
        <f>F30/B30</f>
        <v>0.62366835722160963</v>
      </c>
      <c r="P30" s="56">
        <f t="shared" si="2"/>
        <v>0.52512987872105854</v>
      </c>
      <c r="Q30" s="376">
        <f>N4-O30</f>
        <v>0.37633164277839037</v>
      </c>
    </row>
    <row r="31" spans="1:20" ht="12.75" customHeight="1" x14ac:dyDescent="0.2">
      <c r="A31" s="48"/>
      <c r="B31" s="48"/>
      <c r="C31" s="371"/>
      <c r="D31" s="371"/>
      <c r="E31" s="49"/>
      <c r="F31" s="371"/>
      <c r="G31" s="49"/>
      <c r="H31" s="48"/>
      <c r="I31" s="49"/>
      <c r="J31" s="371"/>
      <c r="K31" s="49"/>
      <c r="L31" s="55"/>
      <c r="M31" s="375"/>
      <c r="N31" s="56"/>
      <c r="O31" s="376"/>
      <c r="P31" s="56"/>
      <c r="Q31" s="376"/>
    </row>
    <row r="32" spans="1:20" ht="12.75" customHeight="1" x14ac:dyDescent="0.2">
      <c r="A32" s="48" t="s">
        <v>423</v>
      </c>
      <c r="B32" s="48">
        <f>'15W40'!B32+('T6'!I4-'15W40'!G4)*'T6'!H32+'T6'!S1</f>
        <v>325.75</v>
      </c>
      <c r="C32" s="371">
        <f>B32+(L32-M32)</f>
        <v>359.49</v>
      </c>
      <c r="D32" s="371">
        <f t="shared" si="0"/>
        <v>33.740000000000009</v>
      </c>
      <c r="E32" s="49">
        <f>G32+I32+K32</f>
        <v>189.26</v>
      </c>
      <c r="F32" s="371">
        <f t="shared" si="1"/>
        <v>223</v>
      </c>
      <c r="G32" s="49">
        <f>'15W40'!E32</f>
        <v>96</v>
      </c>
      <c r="H32" s="48">
        <f>'15W40'!F32</f>
        <v>14</v>
      </c>
      <c r="I32" s="49">
        <f>H32*I4</f>
        <v>85.259999999999991</v>
      </c>
      <c r="J32" s="371">
        <f>H32*I5</f>
        <v>119</v>
      </c>
      <c r="K32" s="49">
        <v>8</v>
      </c>
      <c r="L32" s="55">
        <f>B32-E32</f>
        <v>136.49</v>
      </c>
      <c r="M32" s="375">
        <f>B32-F32</f>
        <v>102.75</v>
      </c>
      <c r="N32" s="56">
        <f>E32/B32</f>
        <v>0.58099769762087483</v>
      </c>
      <c r="O32" s="376">
        <f>F32/B32</f>
        <v>0.68457405986185726</v>
      </c>
      <c r="P32" s="56">
        <f t="shared" si="2"/>
        <v>0.41900230237912517</v>
      </c>
      <c r="Q32" s="376">
        <f>N4-O32</f>
        <v>0.31542594013814274</v>
      </c>
    </row>
    <row r="33" spans="1:17" ht="12.75" customHeight="1" x14ac:dyDescent="0.2">
      <c r="A33" s="48" t="s">
        <v>654</v>
      </c>
      <c r="B33" s="48">
        <f>'15W40'!B33+('T6'!I4-'15W40'!G4)*'T6'!H33+'T6'!S1</f>
        <v>255.75</v>
      </c>
      <c r="C33" s="371">
        <f>B33+(L33-M33)</f>
        <v>289.49</v>
      </c>
      <c r="D33" s="371">
        <f t="shared" si="0"/>
        <v>33.740000000000009</v>
      </c>
      <c r="E33" s="49">
        <f>G33+I33+K33</f>
        <v>120.68159999999999</v>
      </c>
      <c r="F33" s="371">
        <f t="shared" si="1"/>
        <v>154.42160000000001</v>
      </c>
      <c r="G33" s="49">
        <f>'15W40'!E33</f>
        <v>27.421599999999998</v>
      </c>
      <c r="H33" s="48">
        <f>'15W40'!F33</f>
        <v>14</v>
      </c>
      <c r="I33" s="49">
        <f>H33*I4</f>
        <v>85.259999999999991</v>
      </c>
      <c r="J33" s="371">
        <f>H33*I5</f>
        <v>119</v>
      </c>
      <c r="K33" s="49">
        <v>8</v>
      </c>
      <c r="L33" s="55">
        <f>B33-E33</f>
        <v>135.0684</v>
      </c>
      <c r="M33" s="375">
        <f>B33-F33</f>
        <v>101.32839999999999</v>
      </c>
      <c r="N33" s="56">
        <f>E33/B33</f>
        <v>0.47187331378299113</v>
      </c>
      <c r="O33" s="376">
        <f>F33/B33</f>
        <v>0.60379902248289352</v>
      </c>
      <c r="P33" s="56">
        <f t="shared" si="2"/>
        <v>0.52812668621700887</v>
      </c>
      <c r="Q33" s="376">
        <f>N4-O33</f>
        <v>0.39620097751710648</v>
      </c>
    </row>
    <row r="34" spans="1:17" ht="12.75" customHeight="1" x14ac:dyDescent="0.2">
      <c r="A34" s="48"/>
      <c r="B34" s="48"/>
      <c r="C34" s="371"/>
      <c r="D34" s="371"/>
      <c r="E34" s="49"/>
      <c r="F34" s="371"/>
      <c r="G34" s="49"/>
      <c r="H34" s="48"/>
      <c r="I34" s="49"/>
      <c r="J34" s="371"/>
      <c r="K34" s="49"/>
      <c r="L34" s="55"/>
      <c r="M34" s="375"/>
      <c r="N34" s="56"/>
      <c r="O34" s="376"/>
      <c r="P34" s="56"/>
      <c r="Q34" s="376"/>
    </row>
    <row r="35" spans="1:17" ht="12.75" customHeight="1" x14ac:dyDescent="0.2">
      <c r="A35" s="48" t="s">
        <v>655</v>
      </c>
      <c r="B35" s="48">
        <f>'15W40'!B35+('T6'!I4-'15W40'!G4)*'T6'!H35+'T6'!S2</f>
        <v>363.83</v>
      </c>
      <c r="C35" s="371">
        <f>B35+(L35-M35)</f>
        <v>426.49</v>
      </c>
      <c r="D35" s="371">
        <f t="shared" si="0"/>
        <v>62.660000000000025</v>
      </c>
      <c r="E35" s="49">
        <f>G35+I35+K35</f>
        <v>219.90880000000001</v>
      </c>
      <c r="F35" s="371">
        <f t="shared" si="1"/>
        <v>282.56880000000001</v>
      </c>
      <c r="G35" s="49">
        <f>'15W40'!E35</f>
        <v>53.56880000000001</v>
      </c>
      <c r="H35" s="48">
        <f>'15W40'!F35</f>
        <v>26</v>
      </c>
      <c r="I35" s="49">
        <f>H35*I4</f>
        <v>158.34</v>
      </c>
      <c r="J35" s="371">
        <f>H35*I5</f>
        <v>221</v>
      </c>
      <c r="K35" s="49">
        <v>8</v>
      </c>
      <c r="L35" s="55">
        <f>B35-E35</f>
        <v>143.92119999999997</v>
      </c>
      <c r="M35" s="375">
        <f>B35-F35</f>
        <v>81.261199999999974</v>
      </c>
      <c r="N35" s="56">
        <f>E35/B35</f>
        <v>0.60442734244015073</v>
      </c>
      <c r="O35" s="376">
        <f>F35/B35</f>
        <v>0.7766506335376413</v>
      </c>
      <c r="P35" s="56">
        <f t="shared" si="2"/>
        <v>0.39557265755984927</v>
      </c>
      <c r="Q35" s="376">
        <f>N4-O35</f>
        <v>0.2233493664623587</v>
      </c>
    </row>
    <row r="36" spans="1:17" ht="12.75" customHeight="1" x14ac:dyDescent="0.2">
      <c r="A36" s="48" t="s">
        <v>1245</v>
      </c>
      <c r="B36" s="48">
        <f>'15W40'!B36+('T6'!I4-'15W40'!G4)*'T6'!H36+'T6'!S3</f>
        <v>644.63</v>
      </c>
      <c r="C36" s="371">
        <f>B36+(L36-M36)</f>
        <v>755.49</v>
      </c>
      <c r="D36" s="371">
        <f t="shared" si="0"/>
        <v>110.86000000000001</v>
      </c>
      <c r="E36" s="49">
        <f>G36+I36+K36</f>
        <v>466.94</v>
      </c>
      <c r="F36" s="371">
        <f t="shared" si="1"/>
        <v>577.79999999999995</v>
      </c>
      <c r="G36" s="49">
        <f>'15W40'!E36</f>
        <v>178.8</v>
      </c>
      <c r="H36" s="48">
        <f>'15W40'!F36</f>
        <v>46</v>
      </c>
      <c r="I36" s="49">
        <f>H36*I4</f>
        <v>280.14</v>
      </c>
      <c r="J36" s="371">
        <f>H36*I5</f>
        <v>391</v>
      </c>
      <c r="K36" s="49">
        <v>8</v>
      </c>
      <c r="L36" s="55">
        <f>B36-E36</f>
        <v>177.69</v>
      </c>
      <c r="M36" s="375">
        <f>B36-F36</f>
        <v>66.830000000000041</v>
      </c>
      <c r="N36" s="56">
        <f>E36/B36</f>
        <v>0.72435350511145924</v>
      </c>
      <c r="O36" s="376">
        <f>F36/B36</f>
        <v>0.89632812621193547</v>
      </c>
      <c r="P36" s="56">
        <f t="shared" si="2"/>
        <v>0.27564649488854076</v>
      </c>
      <c r="Q36" s="376">
        <f>N5-O36</f>
        <v>-0.89632812621193547</v>
      </c>
    </row>
    <row r="37" spans="1:17" ht="12.75" customHeight="1" x14ac:dyDescent="0.2">
      <c r="A37" s="48" t="s">
        <v>1249</v>
      </c>
      <c r="B37" s="48">
        <f>'15W40'!B37+('T6'!I5-'15W40'!G5)*'T6'!H37+'T6'!S1</f>
        <v>398.99</v>
      </c>
      <c r="C37" s="371">
        <f>B37+(L37-M37)</f>
        <v>432.73</v>
      </c>
      <c r="D37" s="371">
        <f t="shared" si="0"/>
        <v>33.740000000000009</v>
      </c>
      <c r="E37" s="49">
        <f>G37+I37+K37</f>
        <v>151.13279999999997</v>
      </c>
      <c r="F37" s="371">
        <f t="shared" si="1"/>
        <v>184.87279999999998</v>
      </c>
      <c r="G37" s="49">
        <f>'15W40'!E37</f>
        <v>57.872799999999998</v>
      </c>
      <c r="H37" s="48">
        <f>'15W40'!F37</f>
        <v>14</v>
      </c>
      <c r="I37" s="49">
        <f>H37*I4</f>
        <v>85.259999999999991</v>
      </c>
      <c r="J37" s="371">
        <f>H37*I5</f>
        <v>119</v>
      </c>
      <c r="K37" s="49">
        <v>8</v>
      </c>
      <c r="L37" s="55">
        <f>B37-E37</f>
        <v>247.85720000000003</v>
      </c>
      <c r="M37" s="375">
        <f>B37-F37</f>
        <v>214.11720000000003</v>
      </c>
      <c r="N37" s="56">
        <f>E37/B37</f>
        <v>0.37878844081305291</v>
      </c>
      <c r="O37" s="376">
        <f>F37/B37</f>
        <v>0.46335196370836357</v>
      </c>
      <c r="P37" s="56">
        <f t="shared" si="2"/>
        <v>0.62121155918694715</v>
      </c>
      <c r="Q37" s="376">
        <f>N6-O37</f>
        <v>0.1265538347943575</v>
      </c>
    </row>
    <row r="38" spans="1:17" ht="12.75" customHeight="1" x14ac:dyDescent="0.2">
      <c r="A38" s="48" t="s">
        <v>1124</v>
      </c>
      <c r="B38" s="48">
        <f>'15W40'!B38+('T6'!I4-'15W40'!G4)*'T6'!H38+'T6'!S2</f>
        <v>291.75</v>
      </c>
      <c r="C38" s="371">
        <f>B38+(L38-M38)</f>
        <v>325.49</v>
      </c>
      <c r="D38" s="371">
        <f t="shared" si="0"/>
        <v>33.740000000000009</v>
      </c>
      <c r="E38" s="49">
        <f t="shared" ref="E38:E53" si="15">G38+I38+K38</f>
        <v>137.4008</v>
      </c>
      <c r="F38" s="371">
        <f t="shared" si="1"/>
        <v>171.14080000000001</v>
      </c>
      <c r="G38" s="49">
        <f>'15W40'!E38</f>
        <v>44.140799999999999</v>
      </c>
      <c r="H38" s="48">
        <f>'15W40'!F38</f>
        <v>14</v>
      </c>
      <c r="I38" s="49">
        <f>H38*I4</f>
        <v>85.259999999999991</v>
      </c>
      <c r="J38" s="371">
        <f>H38*I5</f>
        <v>119</v>
      </c>
      <c r="K38" s="49">
        <v>8</v>
      </c>
      <c r="L38" s="55">
        <f>B38-E38</f>
        <v>154.3492</v>
      </c>
      <c r="M38" s="375">
        <f>B38-F38</f>
        <v>120.60919999999999</v>
      </c>
      <c r="N38" s="56">
        <f>E38/B38</f>
        <v>0.47095389888603256</v>
      </c>
      <c r="O38" s="376">
        <f>F38/B38</f>
        <v>0.58660085689802921</v>
      </c>
      <c r="P38" s="56">
        <f t="shared" si="2"/>
        <v>0.52904610111396744</v>
      </c>
      <c r="Q38" s="376">
        <f>N4-O38</f>
        <v>0.41339914310197079</v>
      </c>
    </row>
    <row r="39" spans="1:17" ht="12.75" customHeight="1" x14ac:dyDescent="0.2">
      <c r="A39" s="48" t="s">
        <v>425</v>
      </c>
      <c r="B39" s="48">
        <f>'15W40'!B39+('T6'!I4-'15W40'!G4)*'T6'!H39+'T6'!S3</f>
        <v>361.75</v>
      </c>
      <c r="C39" s="371">
        <f>B39+(L39-M39)</f>
        <v>395.49</v>
      </c>
      <c r="D39" s="371">
        <f t="shared" si="0"/>
        <v>33.740000000000009</v>
      </c>
      <c r="E39" s="49">
        <f t="shared" si="15"/>
        <v>162.22999999999999</v>
      </c>
      <c r="F39" s="371">
        <f t="shared" si="1"/>
        <v>195.97</v>
      </c>
      <c r="G39" s="49">
        <f>'15W40'!E39</f>
        <v>68.97</v>
      </c>
      <c r="H39" s="48">
        <f>'15W40'!F39</f>
        <v>14</v>
      </c>
      <c r="I39" s="49">
        <f>H39*I4</f>
        <v>85.259999999999991</v>
      </c>
      <c r="J39" s="371">
        <f>H39*I5</f>
        <v>119</v>
      </c>
      <c r="K39" s="49">
        <v>8</v>
      </c>
      <c r="L39" s="55">
        <f>B39-E39</f>
        <v>199.52</v>
      </c>
      <c r="M39" s="375">
        <f>B39-F39</f>
        <v>165.78</v>
      </c>
      <c r="N39" s="56">
        <f>E39/B39</f>
        <v>0.44845888044229437</v>
      </c>
      <c r="O39" s="376">
        <f>F39/B39</f>
        <v>0.5417277125086386</v>
      </c>
      <c r="P39" s="56">
        <f t="shared" si="2"/>
        <v>0.55154111955770557</v>
      </c>
      <c r="Q39" s="376">
        <f>N4-O39</f>
        <v>0.4582722874913614</v>
      </c>
    </row>
    <row r="40" spans="1:17" ht="12.75" customHeight="1" x14ac:dyDescent="0.2">
      <c r="A40" s="48"/>
      <c r="B40" s="48"/>
      <c r="C40" s="371"/>
      <c r="D40" s="371"/>
      <c r="E40" s="49"/>
      <c r="F40" s="371"/>
      <c r="G40" s="49"/>
      <c r="H40" s="48"/>
      <c r="I40" s="49"/>
      <c r="J40" s="371"/>
      <c r="K40" s="49"/>
      <c r="L40" s="55"/>
      <c r="M40" s="375"/>
      <c r="N40" s="56"/>
      <c r="O40" s="376"/>
      <c r="P40" s="56"/>
      <c r="Q40" s="376"/>
    </row>
    <row r="41" spans="1:17" ht="12.75" customHeight="1" x14ac:dyDescent="0.2">
      <c r="A41" s="48" t="s">
        <v>907</v>
      </c>
      <c r="B41" s="48">
        <f>'15W40'!B41+('T6'!I4-'15W40'!G4)*'T6'!H41+'T6'!S2</f>
        <v>483.90999999999997</v>
      </c>
      <c r="C41" s="371">
        <f t="shared" ref="C41:C48" si="16">B41+(L41-M41)</f>
        <v>575.49</v>
      </c>
      <c r="D41" s="371">
        <f t="shared" si="0"/>
        <v>91.580000000000041</v>
      </c>
      <c r="E41" s="49">
        <f t="shared" si="15"/>
        <v>326.02480000000003</v>
      </c>
      <c r="F41" s="371">
        <f t="shared" si="1"/>
        <v>417.60480000000001</v>
      </c>
      <c r="G41" s="49">
        <f>'15W40'!E41</f>
        <v>86.604800000000012</v>
      </c>
      <c r="H41" s="48">
        <f>'15W40'!F41</f>
        <v>38</v>
      </c>
      <c r="I41" s="49">
        <f>H41*I4</f>
        <v>231.42</v>
      </c>
      <c r="J41" s="371">
        <f>H41*I5</f>
        <v>323</v>
      </c>
      <c r="K41" s="49">
        <v>8</v>
      </c>
      <c r="L41" s="55">
        <f t="shared" ref="L41:L48" si="17">B41-E41</f>
        <v>157.88519999999994</v>
      </c>
      <c r="M41" s="375">
        <f t="shared" ref="M41:M48" si="18">B41-F41</f>
        <v>66.305199999999957</v>
      </c>
      <c r="N41" s="56">
        <f t="shared" ref="N41:N48" si="19">E41/B41</f>
        <v>0.6737302390940465</v>
      </c>
      <c r="O41" s="376">
        <f t="shared" ref="O41:O48" si="20">F41/B41</f>
        <v>0.86298030625529554</v>
      </c>
      <c r="P41" s="56">
        <f t="shared" si="2"/>
        <v>0.3262697609059535</v>
      </c>
      <c r="Q41" s="376">
        <f>N4-O41</f>
        <v>0.13701969374470446</v>
      </c>
    </row>
    <row r="42" spans="1:17" ht="12.75" customHeight="1" x14ac:dyDescent="0.2">
      <c r="A42" s="48" t="s">
        <v>911</v>
      </c>
      <c r="B42" s="48">
        <f>'15W40'!B42+('T6'!I4-'15W40'!G4)*'T6'!H42+'T6'!S2</f>
        <v>554.91</v>
      </c>
      <c r="C42" s="371">
        <f t="shared" si="16"/>
        <v>646.49</v>
      </c>
      <c r="D42" s="371">
        <f t="shared" si="0"/>
        <v>91.580000000000041</v>
      </c>
      <c r="E42" s="49">
        <f t="shared" si="15"/>
        <v>412.91999999999996</v>
      </c>
      <c r="F42" s="371">
        <f t="shared" si="1"/>
        <v>504.5</v>
      </c>
      <c r="G42" s="49">
        <f>'15W40'!E42</f>
        <v>173.5</v>
      </c>
      <c r="H42" s="48">
        <f>'15W40'!F42</f>
        <v>38</v>
      </c>
      <c r="I42" s="49">
        <f>H42*I4</f>
        <v>231.42</v>
      </c>
      <c r="J42" s="371">
        <f>H42*I5</f>
        <v>323</v>
      </c>
      <c r="K42" s="49">
        <v>8</v>
      </c>
      <c r="L42" s="55">
        <f t="shared" si="17"/>
        <v>141.99</v>
      </c>
      <c r="M42" s="375">
        <f t="shared" si="18"/>
        <v>50.409999999999968</v>
      </c>
      <c r="N42" s="56">
        <f t="shared" si="19"/>
        <v>0.7441206682164675</v>
      </c>
      <c r="O42" s="376">
        <f t="shared" si="20"/>
        <v>0.90915643978302796</v>
      </c>
      <c r="P42" s="56">
        <f t="shared" si="2"/>
        <v>0.2558793317835325</v>
      </c>
      <c r="Q42" s="376">
        <f>N4-O42</f>
        <v>9.0843560216972041E-2</v>
      </c>
    </row>
    <row r="43" spans="1:17" ht="12.75" customHeight="1" x14ac:dyDescent="0.2">
      <c r="A43" s="48" t="s">
        <v>909</v>
      </c>
      <c r="B43" s="48">
        <f>'15W40'!B43+('T6'!I4-'15W40'!G4)*'T6'!H43+'T6'!S4</f>
        <v>608.19000000000005</v>
      </c>
      <c r="C43" s="371">
        <f t="shared" si="16"/>
        <v>740.74000000000012</v>
      </c>
      <c r="D43" s="371">
        <f t="shared" si="0"/>
        <v>132.55000000000007</v>
      </c>
      <c r="E43" s="49">
        <f t="shared" si="15"/>
        <v>429.5548</v>
      </c>
      <c r="F43" s="371">
        <f t="shared" si="1"/>
        <v>562.10480000000007</v>
      </c>
      <c r="G43" s="49">
        <f>'15W40'!E43</f>
        <v>86.604800000000012</v>
      </c>
      <c r="H43" s="48">
        <f>'15W40'!F43</f>
        <v>55</v>
      </c>
      <c r="I43" s="49">
        <f>H43*I4</f>
        <v>334.95</v>
      </c>
      <c r="J43" s="371">
        <f>H43*I5</f>
        <v>467.5</v>
      </c>
      <c r="K43" s="49">
        <v>8</v>
      </c>
      <c r="L43" s="55">
        <f t="shared" si="17"/>
        <v>178.63520000000005</v>
      </c>
      <c r="M43" s="375">
        <f t="shared" si="18"/>
        <v>46.085199999999986</v>
      </c>
      <c r="N43" s="56">
        <f t="shared" si="19"/>
        <v>0.7062838915470494</v>
      </c>
      <c r="O43" s="376">
        <f t="shared" si="20"/>
        <v>0.92422565316759564</v>
      </c>
      <c r="P43" s="56">
        <f t="shared" si="2"/>
        <v>0.2937161084529506</v>
      </c>
      <c r="Q43" s="376">
        <f>N4-O43</f>
        <v>7.577434683240436E-2</v>
      </c>
    </row>
    <row r="44" spans="1:17" ht="12.75" customHeight="1" x14ac:dyDescent="0.2">
      <c r="A44" s="48" t="s">
        <v>910</v>
      </c>
      <c r="B44" s="48">
        <f>'15W40'!B44+('T6'!I4-'15W40'!G4)*'T6'!H44+'T6'!S4</f>
        <v>681.19</v>
      </c>
      <c r="C44" s="371">
        <f t="shared" si="16"/>
        <v>813.74</v>
      </c>
      <c r="D44" s="371">
        <f t="shared" si="0"/>
        <v>132.54999999999995</v>
      </c>
      <c r="E44" s="49">
        <f t="shared" si="15"/>
        <v>516.45000000000005</v>
      </c>
      <c r="F44" s="371">
        <f t="shared" si="1"/>
        <v>649</v>
      </c>
      <c r="G44" s="49">
        <f>'15W40'!E44</f>
        <v>173.5</v>
      </c>
      <c r="H44" s="48">
        <f>'15W40'!F44</f>
        <v>55</v>
      </c>
      <c r="I44" s="49">
        <f>H44*I4</f>
        <v>334.95</v>
      </c>
      <c r="J44" s="371">
        <f>H44*I5</f>
        <v>467.5</v>
      </c>
      <c r="K44" s="49">
        <v>8</v>
      </c>
      <c r="L44" s="55">
        <f t="shared" si="17"/>
        <v>164.74</v>
      </c>
      <c r="M44" s="375">
        <f t="shared" si="18"/>
        <v>32.190000000000055</v>
      </c>
      <c r="N44" s="56">
        <f t="shared" si="19"/>
        <v>0.75815851671339862</v>
      </c>
      <c r="O44" s="376">
        <f t="shared" si="20"/>
        <v>0.95274446189756157</v>
      </c>
      <c r="P44" s="56">
        <f t="shared" si="2"/>
        <v>0.24184148328660138</v>
      </c>
      <c r="Q44" s="376">
        <f>N4-O44</f>
        <v>4.7255538102438432E-2</v>
      </c>
    </row>
    <row r="45" spans="1:17" ht="12.75" customHeight="1" x14ac:dyDescent="0.2">
      <c r="A45" s="48" t="s">
        <v>656</v>
      </c>
      <c r="B45" s="48">
        <f>'15W40'!B45+('T6'!I4-'15W40'!G4)*'T6'!H45+'T6'!S2</f>
        <v>437.90999999999997</v>
      </c>
      <c r="C45" s="371">
        <f t="shared" si="16"/>
        <v>529.49</v>
      </c>
      <c r="D45" s="371">
        <f t="shared" si="0"/>
        <v>91.580000000000041</v>
      </c>
      <c r="E45" s="49">
        <f t="shared" si="15"/>
        <v>289.80399999999997</v>
      </c>
      <c r="F45" s="371">
        <f t="shared" si="1"/>
        <v>381.38400000000001</v>
      </c>
      <c r="G45" s="49">
        <f>'15W40'!E45</f>
        <v>50.384</v>
      </c>
      <c r="H45" s="48">
        <f>'15W40'!F45</f>
        <v>38</v>
      </c>
      <c r="I45" s="49">
        <f>H45*I4</f>
        <v>231.42</v>
      </c>
      <c r="J45" s="371">
        <f>H45*I5</f>
        <v>323</v>
      </c>
      <c r="K45" s="49">
        <v>8</v>
      </c>
      <c r="L45" s="55">
        <f t="shared" si="17"/>
        <v>148.10599999999999</v>
      </c>
      <c r="M45" s="375">
        <f t="shared" si="18"/>
        <v>56.525999999999954</v>
      </c>
      <c r="N45" s="56">
        <f t="shared" si="19"/>
        <v>0.66178895206777644</v>
      </c>
      <c r="O45" s="376">
        <f t="shared" si="20"/>
        <v>0.87091868192094279</v>
      </c>
      <c r="P45" s="56">
        <f t="shared" si="2"/>
        <v>0.33821104793222356</v>
      </c>
      <c r="Q45" s="376">
        <f>N4-O45</f>
        <v>0.12908131807905721</v>
      </c>
    </row>
    <row r="46" spans="1:17" ht="12.75" customHeight="1" x14ac:dyDescent="0.2">
      <c r="A46" s="48" t="s">
        <v>657</v>
      </c>
      <c r="B46" s="48">
        <f>'15W40'!B46+('T6'!I4-'15W40'!G4)*'T6'!H46+'T6'!S4</f>
        <v>543.67000000000007</v>
      </c>
      <c r="C46" s="371">
        <f t="shared" si="16"/>
        <v>668.99</v>
      </c>
      <c r="D46" s="371">
        <f t="shared" si="0"/>
        <v>125.31999999999994</v>
      </c>
      <c r="E46" s="49">
        <f t="shared" si="15"/>
        <v>375.06400000000002</v>
      </c>
      <c r="F46" s="371">
        <f t="shared" si="1"/>
        <v>500.38400000000001</v>
      </c>
      <c r="G46" s="49">
        <f>'15W40'!E46</f>
        <v>50.384</v>
      </c>
      <c r="H46" s="48">
        <f>'15W40'!F46</f>
        <v>52</v>
      </c>
      <c r="I46" s="49">
        <f>H46*I4</f>
        <v>316.68</v>
      </c>
      <c r="J46" s="371">
        <f>H46*I5</f>
        <v>442</v>
      </c>
      <c r="K46" s="49">
        <v>8</v>
      </c>
      <c r="L46" s="55">
        <f t="shared" si="17"/>
        <v>168.60600000000005</v>
      </c>
      <c r="M46" s="375">
        <f t="shared" si="18"/>
        <v>43.286000000000058</v>
      </c>
      <c r="N46" s="56">
        <f t="shared" si="19"/>
        <v>0.689874372321445</v>
      </c>
      <c r="O46" s="376">
        <f t="shared" si="20"/>
        <v>0.92038184928357269</v>
      </c>
      <c r="P46" s="56">
        <f t="shared" si="2"/>
        <v>0.310125627678555</v>
      </c>
      <c r="Q46" s="376">
        <f>N4-O46</f>
        <v>7.9618150716427305E-2</v>
      </c>
    </row>
    <row r="47" spans="1:17" ht="12.75" customHeight="1" x14ac:dyDescent="0.2">
      <c r="A47" s="48" t="s">
        <v>658</v>
      </c>
      <c r="B47" s="48">
        <f>'15W40'!B47+('T6'!I4-'15W40'!G4)*'T6'!H47+'T6'!S2</f>
        <v>546.91</v>
      </c>
      <c r="C47" s="371">
        <f t="shared" si="16"/>
        <v>638.49</v>
      </c>
      <c r="D47" s="371">
        <f t="shared" si="0"/>
        <v>91.580000000000041</v>
      </c>
      <c r="E47" s="49">
        <f t="shared" si="15"/>
        <v>400.80999999999995</v>
      </c>
      <c r="F47" s="371">
        <f t="shared" si="1"/>
        <v>492.39</v>
      </c>
      <c r="G47" s="49">
        <f>'15W40'!E47</f>
        <v>161.38999999999999</v>
      </c>
      <c r="H47" s="48">
        <f>'15W40'!F47</f>
        <v>38</v>
      </c>
      <c r="I47" s="49">
        <f>H47*I4</f>
        <v>231.42</v>
      </c>
      <c r="J47" s="371">
        <f>H47*I5</f>
        <v>323</v>
      </c>
      <c r="K47" s="49">
        <v>8</v>
      </c>
      <c r="L47" s="55">
        <f t="shared" si="17"/>
        <v>146.10000000000002</v>
      </c>
      <c r="M47" s="375">
        <f t="shared" si="18"/>
        <v>54.519999999999982</v>
      </c>
      <c r="N47" s="56">
        <f t="shared" si="19"/>
        <v>0.73286281106580597</v>
      </c>
      <c r="O47" s="376">
        <f t="shared" si="20"/>
        <v>0.90031266570368074</v>
      </c>
      <c r="P47" s="56">
        <f t="shared" si="2"/>
        <v>0.26713718893419403</v>
      </c>
      <c r="Q47" s="376">
        <f>N4-O47</f>
        <v>9.9687334296319263E-2</v>
      </c>
    </row>
    <row r="48" spans="1:17" ht="12.75" customHeight="1" x14ac:dyDescent="0.2">
      <c r="A48" s="48" t="s">
        <v>659</v>
      </c>
      <c r="B48" s="48">
        <f>'15W40'!B48+('T6'!I4-'15W40'!G4)*'T6'!H48+'T6'!S4</f>
        <v>655.67</v>
      </c>
      <c r="C48" s="371">
        <f t="shared" si="16"/>
        <v>780.99</v>
      </c>
      <c r="D48" s="371">
        <f t="shared" si="0"/>
        <v>125.32000000000005</v>
      </c>
      <c r="E48" s="49">
        <f t="shared" si="15"/>
        <v>486.07</v>
      </c>
      <c r="F48" s="371">
        <f t="shared" si="1"/>
        <v>611.39</v>
      </c>
      <c r="G48" s="49">
        <f>'15W40'!E48</f>
        <v>161.38999999999999</v>
      </c>
      <c r="H48" s="48">
        <f>'15W40'!F48</f>
        <v>52</v>
      </c>
      <c r="I48" s="49">
        <f>H48*I4</f>
        <v>316.68</v>
      </c>
      <c r="J48" s="371">
        <f>H48*I5</f>
        <v>442</v>
      </c>
      <c r="K48" s="49">
        <v>8</v>
      </c>
      <c r="L48" s="55">
        <f t="shared" si="17"/>
        <v>169.59999999999997</v>
      </c>
      <c r="M48" s="375">
        <f t="shared" si="18"/>
        <v>44.279999999999973</v>
      </c>
      <c r="N48" s="56">
        <f t="shared" si="19"/>
        <v>0.74133329266246739</v>
      </c>
      <c r="O48" s="376">
        <f t="shared" si="20"/>
        <v>0.93246602711729987</v>
      </c>
      <c r="P48" s="56">
        <f t="shared" si="2"/>
        <v>0.25866670733753261</v>
      </c>
      <c r="Q48" s="376">
        <f>N4-O48</f>
        <v>6.7533972882700133E-2</v>
      </c>
    </row>
    <row r="49" spans="1:23" x14ac:dyDescent="0.2">
      <c r="A49" s="48"/>
      <c r="B49" s="48"/>
      <c r="C49" s="371"/>
      <c r="D49" s="371"/>
      <c r="E49" s="49"/>
      <c r="F49" s="371"/>
      <c r="G49" s="49"/>
      <c r="H49" s="48"/>
      <c r="I49" s="49"/>
      <c r="J49" s="371"/>
      <c r="K49" s="49"/>
      <c r="L49" s="55"/>
      <c r="M49" s="375"/>
      <c r="N49" s="56"/>
      <c r="O49" s="376"/>
      <c r="P49" s="56"/>
      <c r="Q49" s="376"/>
    </row>
    <row r="50" spans="1:23" x14ac:dyDescent="0.2">
      <c r="A50" s="48" t="s">
        <v>660</v>
      </c>
      <c r="B50" s="48">
        <f>'15W40'!B50+('T6'!I4-'15W40'!G4)*'T6'!H50+'T6'!S2</f>
        <v>533.82999999999993</v>
      </c>
      <c r="C50" s="371">
        <f>B50+(L50-M50)</f>
        <v>596.49</v>
      </c>
      <c r="D50" s="371">
        <f t="shared" si="0"/>
        <v>62.660000000000082</v>
      </c>
      <c r="E50" s="49">
        <f t="shared" si="15"/>
        <v>389.02</v>
      </c>
      <c r="F50" s="371">
        <f t="shared" si="1"/>
        <v>451.68</v>
      </c>
      <c r="G50" s="49">
        <f>'15W40'!E50</f>
        <v>222.68</v>
      </c>
      <c r="H50" s="48">
        <f>'15W40'!F50</f>
        <v>26</v>
      </c>
      <c r="I50" s="49">
        <f>H50*I4</f>
        <v>158.34</v>
      </c>
      <c r="J50" s="371">
        <f>H50*I5</f>
        <v>221</v>
      </c>
      <c r="K50" s="49">
        <v>8</v>
      </c>
      <c r="L50" s="55">
        <f>B50-E50</f>
        <v>144.80999999999995</v>
      </c>
      <c r="M50" s="375">
        <f>B50-F50</f>
        <v>82.14999999999992</v>
      </c>
      <c r="N50" s="56">
        <f>E50/B50</f>
        <v>0.72873386658674111</v>
      </c>
      <c r="O50" s="376">
        <f>F50/B50</f>
        <v>0.84611205814585178</v>
      </c>
      <c r="P50" s="56">
        <f t="shared" si="2"/>
        <v>0.27126613341325889</v>
      </c>
      <c r="Q50" s="376">
        <f>N4-O50</f>
        <v>0.15388794185414822</v>
      </c>
    </row>
    <row r="51" spans="1:23" x14ac:dyDescent="0.2">
      <c r="A51" s="48" t="s">
        <v>661</v>
      </c>
      <c r="B51" s="48">
        <f>'15W40'!B51+('T6'!I4-'15W40'!G4)*'T6'!H51+'T6'!S2</f>
        <v>454.83</v>
      </c>
      <c r="C51" s="371">
        <f>B51+(L51-M51)</f>
        <v>517.49</v>
      </c>
      <c r="D51" s="371">
        <f t="shared" si="0"/>
        <v>62.660000000000025</v>
      </c>
      <c r="E51" s="49">
        <f t="shared" si="15"/>
        <v>311.51599999999996</v>
      </c>
      <c r="F51" s="371">
        <f t="shared" si="1"/>
        <v>374.17599999999999</v>
      </c>
      <c r="G51" s="49">
        <f>'15W40'!E51</f>
        <v>145.17599999999999</v>
      </c>
      <c r="H51" s="48">
        <f>'15W40'!F51</f>
        <v>26</v>
      </c>
      <c r="I51" s="49">
        <f>H51*I4</f>
        <v>158.34</v>
      </c>
      <c r="J51" s="371">
        <f>H51*I5</f>
        <v>221</v>
      </c>
      <c r="K51" s="49">
        <v>8</v>
      </c>
      <c r="L51" s="55">
        <f>B51-E51</f>
        <v>143.31400000000002</v>
      </c>
      <c r="M51" s="375">
        <f>B51-F51</f>
        <v>80.653999999999996</v>
      </c>
      <c r="N51" s="56">
        <f>E51/B51</f>
        <v>0.68490644856319938</v>
      </c>
      <c r="O51" s="376">
        <f>F51/B51</f>
        <v>0.82267220719829381</v>
      </c>
      <c r="P51" s="56">
        <f t="shared" si="2"/>
        <v>0.31509355143680062</v>
      </c>
      <c r="Q51" s="376">
        <f>N4-O51</f>
        <v>0.17732779280170619</v>
      </c>
    </row>
    <row r="52" spans="1:23" x14ac:dyDescent="0.2">
      <c r="A52" s="48" t="s">
        <v>662</v>
      </c>
      <c r="B52" s="48">
        <f>'15W40'!B52+('T6'!I4-'15W40'!G4)*'T6'!H52+'T6'!S2</f>
        <v>554.91</v>
      </c>
      <c r="C52" s="371">
        <f>B52+(L52-M52)</f>
        <v>646.49</v>
      </c>
      <c r="D52" s="371">
        <f t="shared" si="0"/>
        <v>91.580000000000041</v>
      </c>
      <c r="E52" s="49">
        <f t="shared" si="15"/>
        <v>404.11</v>
      </c>
      <c r="F52" s="371">
        <f t="shared" si="1"/>
        <v>495.69</v>
      </c>
      <c r="G52" s="49">
        <f>'15W40'!E52</f>
        <v>164.69</v>
      </c>
      <c r="H52" s="48">
        <f>'15W40'!F52</f>
        <v>38</v>
      </c>
      <c r="I52" s="49">
        <f>H52*I4</f>
        <v>231.42</v>
      </c>
      <c r="J52" s="371">
        <f>H52*I5</f>
        <v>323</v>
      </c>
      <c r="K52" s="49">
        <v>8</v>
      </c>
      <c r="L52" s="55">
        <f>B52-E52</f>
        <v>150.79999999999995</v>
      </c>
      <c r="M52" s="375">
        <f>B52-F52</f>
        <v>59.21999999999997</v>
      </c>
      <c r="N52" s="56">
        <f>E52/B52</f>
        <v>0.72824421978338838</v>
      </c>
      <c r="O52" s="376">
        <f>F52/B52</f>
        <v>0.89327999134994873</v>
      </c>
      <c r="P52" s="56">
        <f t="shared" si="2"/>
        <v>0.27175578021661162</v>
      </c>
      <c r="Q52" s="376">
        <f>N4-O52</f>
        <v>0.10672000865005127</v>
      </c>
    </row>
    <row r="53" spans="1:23" x14ac:dyDescent="0.2">
      <c r="A53" s="48" t="s">
        <v>663</v>
      </c>
      <c r="B53" s="48">
        <f>'15W40'!B53+('T6'!I4-'15W40'!G4)*'T6'!H53+'T6'!S2</f>
        <v>476.90999999999997</v>
      </c>
      <c r="C53" s="371">
        <f>B53+(L53-M53)</f>
        <v>568.49</v>
      </c>
      <c r="D53" s="371">
        <f t="shared" si="0"/>
        <v>91.580000000000041</v>
      </c>
      <c r="E53" s="49">
        <f t="shared" si="15"/>
        <v>328.22319999999996</v>
      </c>
      <c r="F53" s="371">
        <f t="shared" si="1"/>
        <v>419.8032</v>
      </c>
      <c r="G53" s="49">
        <f>'15W40'!E53</f>
        <v>88.80319999999999</v>
      </c>
      <c r="H53" s="48">
        <f>'15W40'!F53</f>
        <v>38</v>
      </c>
      <c r="I53" s="49">
        <f>H53*I4</f>
        <v>231.42</v>
      </c>
      <c r="J53" s="371">
        <f>H53*I5</f>
        <v>323</v>
      </c>
      <c r="K53" s="49">
        <v>8</v>
      </c>
      <c r="L53" s="55">
        <f>B53-E53</f>
        <v>148.68680000000001</v>
      </c>
      <c r="M53" s="375">
        <f>B53-F53</f>
        <v>57.106799999999964</v>
      </c>
      <c r="N53" s="56">
        <f>E53/B53</f>
        <v>0.68822880627372041</v>
      </c>
      <c r="O53" s="376">
        <f>F53/B53</f>
        <v>0.88025665219852811</v>
      </c>
      <c r="P53" s="56">
        <f t="shared" si="2"/>
        <v>0.31177119372627959</v>
      </c>
      <c r="Q53" s="376">
        <f>N4-O53</f>
        <v>0.11974334780147189</v>
      </c>
    </row>
    <row r="54" spans="1:23" x14ac:dyDescent="0.2">
      <c r="A54" s="48"/>
      <c r="B54" s="48"/>
      <c r="C54" s="371"/>
      <c r="D54" s="371"/>
      <c r="E54" s="49"/>
      <c r="F54" s="371"/>
      <c r="G54" s="49"/>
      <c r="H54" s="48"/>
      <c r="I54" s="49"/>
      <c r="J54" s="371"/>
      <c r="K54" s="49"/>
      <c r="L54" s="55"/>
      <c r="M54" s="375"/>
      <c r="N54" s="56"/>
      <c r="O54" s="376"/>
      <c r="P54" s="56"/>
      <c r="Q54" s="376"/>
    </row>
    <row r="55" spans="1:23" x14ac:dyDescent="0.2">
      <c r="A55" s="48" t="s">
        <v>665</v>
      </c>
      <c r="B55" s="48">
        <f>'15W40'!B55+('T6'!I4-'15W40'!G4)*'T6'!H55+'T6'!S3</f>
        <v>511.47</v>
      </c>
      <c r="C55" s="371">
        <f t="shared" ref="C55:C60" si="21">B55+(L55-M55)</f>
        <v>624.74</v>
      </c>
      <c r="D55" s="371">
        <f t="shared" si="0"/>
        <v>113.26999999999998</v>
      </c>
      <c r="E55" s="49">
        <f t="shared" ref="E55:E60" si="22">G55+I55+K55</f>
        <v>344.24</v>
      </c>
      <c r="F55" s="371">
        <f t="shared" si="1"/>
        <v>457.51</v>
      </c>
      <c r="G55" s="49">
        <f>'15W40'!E55</f>
        <v>50.010000000000005</v>
      </c>
      <c r="H55" s="48">
        <f>'15W40'!F55</f>
        <v>47</v>
      </c>
      <c r="I55" s="49">
        <f>H55*I4</f>
        <v>286.23</v>
      </c>
      <c r="J55" s="371">
        <f>H55*I5</f>
        <v>399.5</v>
      </c>
      <c r="K55" s="49">
        <v>8</v>
      </c>
      <c r="L55" s="55">
        <f t="shared" ref="L55:L60" si="23">B55-E55</f>
        <v>167.23000000000002</v>
      </c>
      <c r="M55" s="375">
        <f t="shared" ref="M55:M60" si="24">B55-F55</f>
        <v>53.960000000000036</v>
      </c>
      <c r="N55" s="56">
        <f t="shared" ref="N55:N60" si="25">E55/B55</f>
        <v>0.67304045203042207</v>
      </c>
      <c r="O55" s="376">
        <f t="shared" ref="O55:O60" si="26">F55/B55</f>
        <v>0.89450016618765515</v>
      </c>
      <c r="P55" s="56">
        <f t="shared" si="2"/>
        <v>0.32695954796957793</v>
      </c>
      <c r="Q55" s="376">
        <f>N4-O55</f>
        <v>0.10549983381234485</v>
      </c>
    </row>
    <row r="56" spans="1:23" x14ac:dyDescent="0.2">
      <c r="A56" s="48" t="s">
        <v>666</v>
      </c>
      <c r="B56" s="48">
        <f>'15W40'!B56+('T6'!I4-'15W40'!G4)*'T6'!H56+'T6'!S3</f>
        <v>489.47</v>
      </c>
      <c r="C56" s="371">
        <f t="shared" si="21"/>
        <v>602.74</v>
      </c>
      <c r="D56" s="371">
        <f t="shared" si="0"/>
        <v>113.26999999999998</v>
      </c>
      <c r="E56" s="49">
        <f t="shared" si="22"/>
        <v>335.67160000000001</v>
      </c>
      <c r="F56" s="371">
        <f t="shared" si="1"/>
        <v>448.94159999999999</v>
      </c>
      <c r="G56" s="49">
        <f>'15W40'!E56</f>
        <v>41.441600000000001</v>
      </c>
      <c r="H56" s="48">
        <f>'15W40'!F56</f>
        <v>47</v>
      </c>
      <c r="I56" s="49">
        <f>H56*I4</f>
        <v>286.23</v>
      </c>
      <c r="J56" s="371">
        <f>H56*I5</f>
        <v>399.5</v>
      </c>
      <c r="K56" s="49">
        <v>8</v>
      </c>
      <c r="L56" s="55">
        <f t="shared" si="23"/>
        <v>153.79840000000002</v>
      </c>
      <c r="M56" s="375">
        <f t="shared" si="24"/>
        <v>40.528400000000033</v>
      </c>
      <c r="N56" s="56">
        <f t="shared" si="25"/>
        <v>0.68578585000102155</v>
      </c>
      <c r="O56" s="376">
        <f t="shared" si="26"/>
        <v>0.91719941978057895</v>
      </c>
      <c r="P56" s="56">
        <f t="shared" si="2"/>
        <v>0.31421414999897845</v>
      </c>
      <c r="Q56" s="376">
        <f>N4-O56</f>
        <v>8.2800580219421049E-2</v>
      </c>
    </row>
    <row r="57" spans="1:23" x14ac:dyDescent="0.2">
      <c r="A57" s="48" t="s">
        <v>667</v>
      </c>
      <c r="B57" s="48">
        <f>'15W40'!B57+('T6'!I4-'15W40'!G4)*'T6'!H57+'T6'!S2</f>
        <v>377.83</v>
      </c>
      <c r="C57" s="371">
        <f t="shared" si="21"/>
        <v>440.49</v>
      </c>
      <c r="D57" s="371">
        <f t="shared" si="0"/>
        <v>62.660000000000025</v>
      </c>
      <c r="E57" s="49">
        <f t="shared" si="22"/>
        <v>213.89</v>
      </c>
      <c r="F57" s="371">
        <f t="shared" si="1"/>
        <v>276.55</v>
      </c>
      <c r="G57" s="49">
        <f>'15W40'!E57</f>
        <v>47.55</v>
      </c>
      <c r="H57" s="48">
        <f>'15W40'!F57</f>
        <v>26</v>
      </c>
      <c r="I57" s="49">
        <f>H57*I4</f>
        <v>158.34</v>
      </c>
      <c r="J57" s="371">
        <f>H57*I5</f>
        <v>221</v>
      </c>
      <c r="K57" s="49">
        <v>8</v>
      </c>
      <c r="L57" s="55">
        <f t="shared" si="23"/>
        <v>163.94</v>
      </c>
      <c r="M57" s="375">
        <f t="shared" si="24"/>
        <v>101.27999999999997</v>
      </c>
      <c r="N57" s="56">
        <f t="shared" si="25"/>
        <v>0.5661011566048223</v>
      </c>
      <c r="O57" s="376">
        <f t="shared" si="26"/>
        <v>0.73194293729984394</v>
      </c>
      <c r="P57" s="56">
        <f t="shared" si="2"/>
        <v>0.4338988433951777</v>
      </c>
      <c r="Q57" s="376">
        <f>N4-O57</f>
        <v>0.26805706270015606</v>
      </c>
    </row>
    <row r="58" spans="1:23" x14ac:dyDescent="0.2">
      <c r="A58" s="48" t="s">
        <v>668</v>
      </c>
      <c r="B58" s="48">
        <f>'15W40'!B58+('T6'!I4-'15W40'!G4)*'T6'!H58+'T6'!S2</f>
        <v>339.83</v>
      </c>
      <c r="C58" s="371">
        <f t="shared" si="21"/>
        <v>402.49</v>
      </c>
      <c r="D58" s="371">
        <f t="shared" si="0"/>
        <v>62.660000000000025</v>
      </c>
      <c r="E58" s="49">
        <f t="shared" si="22"/>
        <v>199.816</v>
      </c>
      <c r="F58" s="371">
        <f t="shared" si="1"/>
        <v>262.476</v>
      </c>
      <c r="G58" s="49">
        <f>'15W40'!E58</f>
        <v>33.475999999999999</v>
      </c>
      <c r="H58" s="48">
        <f>'15W40'!F58</f>
        <v>26</v>
      </c>
      <c r="I58" s="49">
        <f>H58*I4</f>
        <v>158.34</v>
      </c>
      <c r="J58" s="371">
        <f>H58*I5</f>
        <v>221</v>
      </c>
      <c r="K58" s="49">
        <v>8</v>
      </c>
      <c r="L58" s="55">
        <f t="shared" si="23"/>
        <v>140.01399999999998</v>
      </c>
      <c r="M58" s="375">
        <f t="shared" si="24"/>
        <v>77.353999999999985</v>
      </c>
      <c r="N58" s="56">
        <f t="shared" si="25"/>
        <v>0.58798811170291032</v>
      </c>
      <c r="O58" s="376">
        <f t="shared" si="26"/>
        <v>0.77237442250537036</v>
      </c>
      <c r="P58" s="56">
        <f t="shared" si="2"/>
        <v>0.41201188829708968</v>
      </c>
      <c r="Q58" s="376">
        <f>N4-O58</f>
        <v>0.22762557749462964</v>
      </c>
    </row>
    <row r="59" spans="1:23" x14ac:dyDescent="0.2">
      <c r="A59" s="48" t="s">
        <v>669</v>
      </c>
      <c r="B59" s="48">
        <f>'15W40'!B59+('T6'!I4-'15W40'!G4)*'T6'!H59+'T6'!S2</f>
        <v>314.14999999999998</v>
      </c>
      <c r="C59" s="371">
        <f t="shared" si="21"/>
        <v>371.99</v>
      </c>
      <c r="D59" s="371">
        <f t="shared" si="0"/>
        <v>57.840000000000032</v>
      </c>
      <c r="E59" s="49">
        <f t="shared" si="22"/>
        <v>154.16</v>
      </c>
      <c r="F59" s="371">
        <f t="shared" si="1"/>
        <v>212</v>
      </c>
      <c r="G59" s="49">
        <f>'15W40'!E59</f>
        <v>0</v>
      </c>
      <c r="H59" s="48">
        <f>'15W40'!F59</f>
        <v>24</v>
      </c>
      <c r="I59" s="49">
        <f>H59*I4</f>
        <v>146.16</v>
      </c>
      <c r="J59" s="371">
        <f>H59*I5</f>
        <v>204</v>
      </c>
      <c r="K59" s="49">
        <v>8</v>
      </c>
      <c r="L59" s="55">
        <f t="shared" si="23"/>
        <v>159.98999999999998</v>
      </c>
      <c r="M59" s="375">
        <f t="shared" si="24"/>
        <v>102.14999999999998</v>
      </c>
      <c r="N59" s="56">
        <f t="shared" si="25"/>
        <v>0.49072099315613565</v>
      </c>
      <c r="O59" s="376">
        <f t="shared" si="26"/>
        <v>0.67483686137195609</v>
      </c>
      <c r="P59" s="56">
        <f t="shared" si="2"/>
        <v>0.5092790068438644</v>
      </c>
      <c r="Q59" s="376">
        <f>N4-O59</f>
        <v>0.32516313862804391</v>
      </c>
    </row>
    <row r="60" spans="1:23" x14ac:dyDescent="0.2">
      <c r="A60" s="48" t="s">
        <v>691</v>
      </c>
      <c r="B60" s="48">
        <f>'15W40'!B60+('T6'!I4-'15W40'!G4)*'T6'!H60+'T6'!S1</f>
        <v>283.90999999999997</v>
      </c>
      <c r="C60" s="371">
        <f t="shared" si="21"/>
        <v>315.23999999999995</v>
      </c>
      <c r="D60" s="371">
        <f t="shared" si="0"/>
        <v>31.329999999999984</v>
      </c>
      <c r="E60" s="49">
        <f t="shared" si="22"/>
        <v>160.41000000000003</v>
      </c>
      <c r="F60" s="371">
        <f t="shared" si="1"/>
        <v>191.74</v>
      </c>
      <c r="G60" s="49">
        <f>'15W40'!E60</f>
        <v>73.240000000000009</v>
      </c>
      <c r="H60" s="48">
        <f>'15W40'!F60</f>
        <v>13</v>
      </c>
      <c r="I60" s="49">
        <f>H60*I4</f>
        <v>79.17</v>
      </c>
      <c r="J60" s="371">
        <f>H60*I5</f>
        <v>110.5</v>
      </c>
      <c r="K60" s="49">
        <v>8</v>
      </c>
      <c r="L60" s="55">
        <f t="shared" si="23"/>
        <v>123.49999999999994</v>
      </c>
      <c r="M60" s="375">
        <f t="shared" si="24"/>
        <v>92.169999999999959</v>
      </c>
      <c r="N60" s="56">
        <f t="shared" si="25"/>
        <v>0.56500299390651987</v>
      </c>
      <c r="O60" s="376">
        <f t="shared" si="26"/>
        <v>0.67535486597865535</v>
      </c>
      <c r="P60" s="56">
        <f t="shared" si="2"/>
        <v>0.43499700609348013</v>
      </c>
      <c r="Q60" s="376">
        <f>N4-O60</f>
        <v>0.32464513402134465</v>
      </c>
    </row>
    <row r="61" spans="1:23" x14ac:dyDescent="0.2">
      <c r="A61" s="48"/>
      <c r="B61" s="48"/>
      <c r="C61" s="371"/>
      <c r="D61" s="371"/>
      <c r="E61" s="49"/>
      <c r="F61" s="371"/>
      <c r="G61" s="49"/>
      <c r="H61" s="48"/>
      <c r="I61" s="49"/>
      <c r="J61" s="371"/>
      <c r="K61" s="49"/>
      <c r="L61" s="55"/>
      <c r="M61" s="375"/>
      <c r="N61" s="56"/>
      <c r="O61" s="376"/>
      <c r="P61" s="56"/>
      <c r="Q61" s="376"/>
      <c r="W61" s="57"/>
    </row>
    <row r="62" spans="1:23" x14ac:dyDescent="0.2">
      <c r="A62" s="48"/>
      <c r="B62" s="48"/>
      <c r="C62" s="371"/>
      <c r="D62" s="371"/>
      <c r="E62" s="49"/>
      <c r="F62" s="371"/>
      <c r="G62" s="49"/>
      <c r="H62" s="48"/>
      <c r="I62" s="49"/>
      <c r="J62" s="371"/>
      <c r="K62" s="49"/>
      <c r="L62" s="55"/>
      <c r="M62" s="375"/>
      <c r="N62" s="56"/>
      <c r="O62" s="376"/>
      <c r="P62" s="56"/>
      <c r="Q62" s="376"/>
    </row>
    <row r="63" spans="1:23" x14ac:dyDescent="0.2">
      <c r="A63" s="48" t="s">
        <v>673</v>
      </c>
      <c r="B63" s="48">
        <f>'15W40'!B63+('T6'!I4-'15W40'!G4)*'T6'!H63+'T6'!S2</f>
        <v>344.83</v>
      </c>
      <c r="C63" s="371">
        <f>B63+(L63-M63)</f>
        <v>407.49</v>
      </c>
      <c r="D63" s="371">
        <f t="shared" si="0"/>
        <v>62.660000000000025</v>
      </c>
      <c r="E63" s="49">
        <f>G63+I63+K63</f>
        <v>204.3664</v>
      </c>
      <c r="F63" s="371">
        <f t="shared" si="1"/>
        <v>267.02640000000002</v>
      </c>
      <c r="G63" s="49">
        <f>'15W40'!E63</f>
        <v>38.026400000000002</v>
      </c>
      <c r="H63" s="48">
        <f>'15W40'!F63</f>
        <v>26</v>
      </c>
      <c r="I63" s="49">
        <f>H63*I4</f>
        <v>158.34</v>
      </c>
      <c r="J63" s="371">
        <f>H63*I5</f>
        <v>221</v>
      </c>
      <c r="K63" s="49">
        <v>8</v>
      </c>
      <c r="L63" s="55">
        <f>B63-E63</f>
        <v>140.46359999999999</v>
      </c>
      <c r="M63" s="375">
        <f>B63-F63</f>
        <v>77.80359999999996</v>
      </c>
      <c r="N63" s="56">
        <f>E63/B63</f>
        <v>0.5926584113911203</v>
      </c>
      <c r="O63" s="376">
        <f>F63/B63</f>
        <v>0.77437113940202429</v>
      </c>
      <c r="P63" s="56">
        <f t="shared" si="2"/>
        <v>0.4073415886088797</v>
      </c>
      <c r="Q63" s="376">
        <f>N4-O63</f>
        <v>0.22562886059797571</v>
      </c>
    </row>
    <row r="64" spans="1:23" x14ac:dyDescent="0.2">
      <c r="A64" s="48" t="s">
        <v>184</v>
      </c>
      <c r="B64" s="48"/>
      <c r="C64" s="371"/>
      <c r="D64" s="371"/>
      <c r="E64" s="49"/>
      <c r="F64" s="371"/>
      <c r="G64" s="49"/>
      <c r="H64" s="48"/>
      <c r="I64" s="49"/>
      <c r="J64" s="371"/>
      <c r="K64" s="49"/>
      <c r="L64" s="55"/>
      <c r="M64" s="375"/>
      <c r="N64" s="56"/>
      <c r="O64" s="376"/>
      <c r="P64" s="56"/>
      <c r="Q64" s="376"/>
    </row>
    <row r="65" spans="1:17" x14ac:dyDescent="0.2">
      <c r="A65" s="48" t="s">
        <v>674</v>
      </c>
      <c r="B65" s="48">
        <f>'15W40'!B65+('T6'!I4-'15W40'!G4)*'T6'!H65+'T6'!S3</f>
        <v>603.63</v>
      </c>
      <c r="C65" s="371">
        <f>B65+(L65-M65)</f>
        <v>714.49</v>
      </c>
      <c r="D65" s="371">
        <f t="shared" si="0"/>
        <v>110.86000000000001</v>
      </c>
      <c r="E65" s="49">
        <f>G65+I65+K65</f>
        <v>450.19</v>
      </c>
      <c r="F65" s="371">
        <f t="shared" si="1"/>
        <v>561.04999999999995</v>
      </c>
      <c r="G65" s="49">
        <f>'15W40'!E65</f>
        <v>162.05000000000001</v>
      </c>
      <c r="H65" s="48">
        <f>'15W40'!F65</f>
        <v>46</v>
      </c>
      <c r="I65" s="49">
        <f>H65*I4</f>
        <v>280.14</v>
      </c>
      <c r="J65" s="371">
        <f>H65*I5</f>
        <v>391</v>
      </c>
      <c r="K65" s="49">
        <v>8</v>
      </c>
      <c r="L65" s="55">
        <f>B65-E65</f>
        <v>153.44</v>
      </c>
      <c r="M65" s="375">
        <f>B65-F65</f>
        <v>42.580000000000041</v>
      </c>
      <c r="N65" s="56">
        <f>E65/B65</f>
        <v>0.74580454914434335</v>
      </c>
      <c r="O65" s="376">
        <f>F65/B65</f>
        <v>0.92946009972996702</v>
      </c>
      <c r="P65" s="56">
        <f t="shared" si="2"/>
        <v>0.25419545085565665</v>
      </c>
      <c r="Q65" s="376">
        <f>N4-O65</f>
        <v>7.0539900270032985E-2</v>
      </c>
    </row>
    <row r="66" spans="1:17" x14ac:dyDescent="0.2">
      <c r="A66" s="48" t="s">
        <v>675</v>
      </c>
      <c r="B66" s="48">
        <f>'15W40'!B66+('T6'!I4-'15W40'!G4)*'T6'!H66+'T6'!S3</f>
        <v>524.63</v>
      </c>
      <c r="C66" s="371">
        <f>B66+(L66-M66)</f>
        <v>635.49</v>
      </c>
      <c r="D66" s="371">
        <f t="shared" si="0"/>
        <v>110.86000000000001</v>
      </c>
      <c r="E66" s="49">
        <f>G66+I66+K66</f>
        <v>367.98719999999997</v>
      </c>
      <c r="F66" s="371">
        <f t="shared" si="1"/>
        <v>478.84719999999999</v>
      </c>
      <c r="G66" s="49">
        <f>'15W40'!E66</f>
        <v>79.847200000000001</v>
      </c>
      <c r="H66" s="48">
        <f>'15W40'!F66</f>
        <v>46</v>
      </c>
      <c r="I66" s="49">
        <f>H66*I4</f>
        <v>280.14</v>
      </c>
      <c r="J66" s="371">
        <f>H66*I5</f>
        <v>391</v>
      </c>
      <c r="K66" s="49">
        <v>8</v>
      </c>
      <c r="L66" s="55">
        <f>B66-E66</f>
        <v>156.64280000000002</v>
      </c>
      <c r="M66" s="375">
        <f>B66-F66</f>
        <v>45.782800000000009</v>
      </c>
      <c r="N66" s="56">
        <f>E66/B66</f>
        <v>0.70142233574137958</v>
      </c>
      <c r="O66" s="376">
        <f>F66/B66</f>
        <v>0.91273316432533402</v>
      </c>
      <c r="P66" s="56">
        <f t="shared" si="2"/>
        <v>0.29857766425862042</v>
      </c>
      <c r="Q66" s="376">
        <f>N4-O66</f>
        <v>8.7266835674665977E-2</v>
      </c>
    </row>
    <row r="67" spans="1:17" x14ac:dyDescent="0.2">
      <c r="A67" s="48" t="s">
        <v>676</v>
      </c>
      <c r="B67" s="48">
        <f>'15W40'!B67+('T6'!I4-'15W40'!G4)*'T6'!H67+'T6'!S2</f>
        <v>324.14999999999998</v>
      </c>
      <c r="C67" s="371">
        <f>B67+(L67-M67)</f>
        <v>381.98999999999995</v>
      </c>
      <c r="D67" s="371">
        <f t="shared" si="0"/>
        <v>57.839999999999975</v>
      </c>
      <c r="E67" s="49">
        <f>G67+I67+K67</f>
        <v>180.84800000000001</v>
      </c>
      <c r="F67" s="371">
        <f t="shared" si="1"/>
        <v>238.68799999999999</v>
      </c>
      <c r="G67" s="49">
        <f>'15W40'!E67</f>
        <v>26.688000000000002</v>
      </c>
      <c r="H67" s="48">
        <f>'15W40'!F67</f>
        <v>24</v>
      </c>
      <c r="I67" s="49">
        <f>H67*I4</f>
        <v>146.16</v>
      </c>
      <c r="J67" s="371">
        <f>H67*I5</f>
        <v>204</v>
      </c>
      <c r="K67" s="49">
        <v>8</v>
      </c>
      <c r="L67" s="55">
        <f>B67-E67</f>
        <v>143.30199999999996</v>
      </c>
      <c r="M67" s="375">
        <f>B67-F67</f>
        <v>85.461999999999989</v>
      </c>
      <c r="N67" s="56">
        <f>E67/B67</f>
        <v>0.55791454573499932</v>
      </c>
      <c r="O67" s="376">
        <f>F67/B67</f>
        <v>0.73635045503624863</v>
      </c>
      <c r="P67" s="56">
        <f t="shared" si="2"/>
        <v>0.44208545426500068</v>
      </c>
      <c r="Q67" s="376">
        <f>N4-O67</f>
        <v>0.26364954496375137</v>
      </c>
    </row>
    <row r="68" spans="1:17" x14ac:dyDescent="0.2">
      <c r="B68" s="48"/>
      <c r="C68" s="371"/>
      <c r="D68" s="371"/>
      <c r="E68" s="49"/>
      <c r="F68" s="371"/>
      <c r="G68" s="49"/>
      <c r="H68" s="48"/>
      <c r="I68" s="49"/>
      <c r="J68" s="371"/>
      <c r="K68" s="49"/>
      <c r="L68" s="55"/>
      <c r="M68" s="375"/>
      <c r="N68" s="56"/>
      <c r="O68" s="376"/>
      <c r="P68" s="56"/>
      <c r="Q68" s="376"/>
    </row>
    <row r="69" spans="1:17" x14ac:dyDescent="0.2">
      <c r="A69" s="48" t="s">
        <v>677</v>
      </c>
      <c r="B69" s="48">
        <f>'15W40'!B69+('T6'!I4-'15W40'!G4)*'T6'!H69+'T6'!S2</f>
        <v>458.55</v>
      </c>
      <c r="C69" s="371">
        <f t="shared" ref="C69:C74" si="27">B69+(L69-M69)</f>
        <v>540.49</v>
      </c>
      <c r="D69" s="371">
        <f t="shared" si="0"/>
        <v>81.94</v>
      </c>
      <c r="E69" s="49">
        <f t="shared" ref="E69:E74" si="28">G69+I69+K69</f>
        <v>301.66480000000001</v>
      </c>
      <c r="F69" s="371">
        <f t="shared" si="1"/>
        <v>383.60480000000001</v>
      </c>
      <c r="G69" s="49">
        <f>'15W40'!E69</f>
        <v>86.604800000000012</v>
      </c>
      <c r="H69" s="48">
        <f>'15W40'!F69</f>
        <v>34</v>
      </c>
      <c r="I69" s="49">
        <f>H69*I4</f>
        <v>207.06</v>
      </c>
      <c r="J69" s="371">
        <f>H69*I5</f>
        <v>289</v>
      </c>
      <c r="K69" s="49">
        <v>8</v>
      </c>
      <c r="L69" s="55">
        <f t="shared" ref="L69:L74" si="29">B69-E69</f>
        <v>156.8852</v>
      </c>
      <c r="M69" s="375">
        <f t="shared" ref="M69:M74" si="30">B69-F69</f>
        <v>74.9452</v>
      </c>
      <c r="N69" s="56">
        <f t="shared" ref="N69:N74" si="31">E69/B69</f>
        <v>0.6578667538981573</v>
      </c>
      <c r="O69" s="376">
        <f t="shared" ref="O69:O74" si="32">F69/B69</f>
        <v>0.83656046232690007</v>
      </c>
      <c r="P69" s="56">
        <f t="shared" si="2"/>
        <v>0.3421332461018427</v>
      </c>
      <c r="Q69" s="376">
        <f>N4-O69</f>
        <v>0.16343953767309993</v>
      </c>
    </row>
    <row r="70" spans="1:17" x14ac:dyDescent="0.2">
      <c r="A70" s="48" t="s">
        <v>678</v>
      </c>
      <c r="B70" s="48">
        <f>'15W40'!B70+('T6'!I4-'15W40'!G4)*'T6'!H70+'T6'!S3</f>
        <v>517.27</v>
      </c>
      <c r="C70" s="371">
        <f t="shared" si="27"/>
        <v>618.49</v>
      </c>
      <c r="D70" s="371">
        <f t="shared" si="0"/>
        <v>101.22000000000003</v>
      </c>
      <c r="E70" s="49">
        <f t="shared" si="28"/>
        <v>350.38480000000004</v>
      </c>
      <c r="F70" s="371">
        <f t="shared" si="1"/>
        <v>451.60480000000001</v>
      </c>
      <c r="G70" s="49">
        <f>'15W40'!E70</f>
        <v>86.604800000000012</v>
      </c>
      <c r="H70" s="48">
        <f>'15W40'!F70</f>
        <v>42</v>
      </c>
      <c r="I70" s="49">
        <f>H70*I4</f>
        <v>255.78</v>
      </c>
      <c r="J70" s="371">
        <f>H70*I5</f>
        <v>357</v>
      </c>
      <c r="K70" s="49">
        <v>8</v>
      </c>
      <c r="L70" s="55">
        <f t="shared" si="29"/>
        <v>166.88519999999994</v>
      </c>
      <c r="M70" s="375">
        <f t="shared" si="30"/>
        <v>65.66519999999997</v>
      </c>
      <c r="N70" s="56">
        <f t="shared" si="31"/>
        <v>0.67737313202002836</v>
      </c>
      <c r="O70" s="376">
        <f t="shared" si="32"/>
        <v>0.87305430432849385</v>
      </c>
      <c r="P70" s="56">
        <f t="shared" si="2"/>
        <v>0.32262686797997164</v>
      </c>
      <c r="Q70" s="376">
        <f>N4-O70</f>
        <v>0.12694569567150615</v>
      </c>
    </row>
    <row r="71" spans="1:17" x14ac:dyDescent="0.2">
      <c r="A71" s="48" t="s">
        <v>679</v>
      </c>
      <c r="B71" s="48">
        <f>'15W40'!B71+('T6'!I4-'15W40'!G4)*'T6'!H71+'T6'!S4</f>
        <v>590.66999999999996</v>
      </c>
      <c r="C71" s="371">
        <f t="shared" si="27"/>
        <v>715.99</v>
      </c>
      <c r="D71" s="371">
        <f t="shared" si="0"/>
        <v>125.32000000000005</v>
      </c>
      <c r="E71" s="49">
        <f t="shared" si="28"/>
        <v>411.28480000000002</v>
      </c>
      <c r="F71" s="371">
        <f t="shared" si="1"/>
        <v>536.60480000000007</v>
      </c>
      <c r="G71" s="49">
        <f>'15W40'!E71</f>
        <v>86.604800000000012</v>
      </c>
      <c r="H71" s="48">
        <f>'15W40'!F71</f>
        <v>52</v>
      </c>
      <c r="I71" s="49">
        <f>H71*I4</f>
        <v>316.68</v>
      </c>
      <c r="J71" s="371">
        <f>H71*I5</f>
        <v>442</v>
      </c>
      <c r="K71" s="49">
        <v>8</v>
      </c>
      <c r="L71" s="55">
        <f t="shared" si="29"/>
        <v>179.38519999999994</v>
      </c>
      <c r="M71" s="375">
        <f t="shared" si="30"/>
        <v>54.065199999999891</v>
      </c>
      <c r="N71" s="56">
        <f t="shared" si="31"/>
        <v>0.69630216533766742</v>
      </c>
      <c r="O71" s="376">
        <f t="shared" si="32"/>
        <v>0.90846801090287321</v>
      </c>
      <c r="P71" s="56">
        <f t="shared" si="2"/>
        <v>0.30369783466233258</v>
      </c>
      <c r="Q71" s="376">
        <f>N4-O71</f>
        <v>9.1531989097126787E-2</v>
      </c>
    </row>
    <row r="72" spans="1:17" x14ac:dyDescent="0.2">
      <c r="A72" s="48" t="s">
        <v>680</v>
      </c>
      <c r="B72" s="48">
        <f>'15W40'!B72+('T6'!I4-'15W40'!G4)*'T6'!H72+'T6'!S2</f>
        <v>527.54999999999995</v>
      </c>
      <c r="C72" s="371">
        <f t="shared" si="27"/>
        <v>609.4899999999999</v>
      </c>
      <c r="D72" s="371">
        <f t="shared" si="0"/>
        <v>81.939999999999941</v>
      </c>
      <c r="E72" s="49">
        <f t="shared" si="28"/>
        <v>381.35</v>
      </c>
      <c r="F72" s="371">
        <f t="shared" si="1"/>
        <v>463.28999999999996</v>
      </c>
      <c r="G72" s="49">
        <f>'15W40'!E72</f>
        <v>166.29</v>
      </c>
      <c r="H72" s="48">
        <f>'15W40'!F72</f>
        <v>34</v>
      </c>
      <c r="I72" s="49">
        <f>H72*I4</f>
        <v>207.06</v>
      </c>
      <c r="J72" s="371">
        <f>H72*I5</f>
        <v>289</v>
      </c>
      <c r="K72" s="49">
        <v>8</v>
      </c>
      <c r="L72" s="55">
        <f t="shared" si="29"/>
        <v>146.19999999999993</v>
      </c>
      <c r="M72" s="375">
        <f t="shared" si="30"/>
        <v>64.259999999999991</v>
      </c>
      <c r="N72" s="56">
        <f t="shared" si="31"/>
        <v>0.72286987015448778</v>
      </c>
      <c r="O72" s="376">
        <f t="shared" si="32"/>
        <v>0.87819164060278643</v>
      </c>
      <c r="P72" s="56">
        <f t="shared" si="2"/>
        <v>0.27713012984551222</v>
      </c>
      <c r="Q72" s="376">
        <f>N4-O72</f>
        <v>0.12180835939721357</v>
      </c>
    </row>
    <row r="73" spans="1:17" x14ac:dyDescent="0.2">
      <c r="A73" s="48" t="s">
        <v>681</v>
      </c>
      <c r="B73" s="48">
        <f>'15W40'!B73+('T6'!I4-'15W40'!G4)*'T6'!H73+'T6'!S3</f>
        <v>587.27</v>
      </c>
      <c r="C73" s="371">
        <f t="shared" si="27"/>
        <v>688.49</v>
      </c>
      <c r="D73" s="371">
        <f t="shared" ref="D73:D74" si="33">C73-B73</f>
        <v>101.22000000000003</v>
      </c>
      <c r="E73" s="49">
        <f t="shared" si="28"/>
        <v>430.07</v>
      </c>
      <c r="F73" s="371">
        <f t="shared" ref="F73:F74" si="34">G73+J73+K73</f>
        <v>531.29</v>
      </c>
      <c r="G73" s="49">
        <f>'15W40'!E73</f>
        <v>166.29</v>
      </c>
      <c r="H73" s="48">
        <f>'15W40'!F73</f>
        <v>42</v>
      </c>
      <c r="I73" s="49">
        <f>H73*I4</f>
        <v>255.78</v>
      </c>
      <c r="J73" s="371">
        <f>H73*I5</f>
        <v>357</v>
      </c>
      <c r="K73" s="49">
        <v>8</v>
      </c>
      <c r="L73" s="55">
        <f t="shared" si="29"/>
        <v>157.19999999999999</v>
      </c>
      <c r="M73" s="375">
        <f t="shared" si="30"/>
        <v>55.980000000000018</v>
      </c>
      <c r="N73" s="56">
        <f t="shared" si="31"/>
        <v>0.73232073833160216</v>
      </c>
      <c r="O73" s="376">
        <f t="shared" si="32"/>
        <v>0.90467757590205522</v>
      </c>
      <c r="P73" s="56">
        <f t="shared" si="2"/>
        <v>0.26767926166839784</v>
      </c>
      <c r="Q73" s="376">
        <f>N4-O73</f>
        <v>9.532242409794478E-2</v>
      </c>
    </row>
    <row r="74" spans="1:17" x14ac:dyDescent="0.2">
      <c r="A74" s="48" t="s">
        <v>682</v>
      </c>
      <c r="B74" s="48">
        <f>'15W40'!B74+('T6'!I4-'15W40'!G4)*'T6'!H74+'T6'!S4</f>
        <v>658.67</v>
      </c>
      <c r="C74" s="371">
        <f t="shared" si="27"/>
        <v>783.9899999999999</v>
      </c>
      <c r="D74" s="371">
        <f t="shared" si="33"/>
        <v>125.31999999999994</v>
      </c>
      <c r="E74" s="49">
        <f t="shared" si="28"/>
        <v>490.97</v>
      </c>
      <c r="F74" s="371">
        <f t="shared" si="34"/>
        <v>616.29</v>
      </c>
      <c r="G74" s="49">
        <f>'15W40'!E74</f>
        <v>166.29</v>
      </c>
      <c r="H74" s="48">
        <f>'15W40'!F74</f>
        <v>52</v>
      </c>
      <c r="I74" s="49">
        <f>H74*I4</f>
        <v>316.68</v>
      </c>
      <c r="J74" s="371">
        <f>H74*I5</f>
        <v>442</v>
      </c>
      <c r="K74" s="49">
        <v>8</v>
      </c>
      <c r="L74" s="55">
        <f t="shared" si="29"/>
        <v>167.69999999999993</v>
      </c>
      <c r="M74" s="375">
        <f t="shared" si="30"/>
        <v>42.379999999999995</v>
      </c>
      <c r="N74" s="56">
        <f t="shared" si="31"/>
        <v>0.74539602532375859</v>
      </c>
      <c r="O74" s="376">
        <f t="shared" si="32"/>
        <v>0.93565822035313584</v>
      </c>
      <c r="P74" s="56">
        <f t="shared" ref="P74" si="35">1-N74</f>
        <v>0.25460397467624141</v>
      </c>
      <c r="Q74" s="376">
        <f>N4-O74</f>
        <v>6.4341779646864161E-2</v>
      </c>
    </row>
    <row r="76" spans="1:17" ht="12.75" customHeight="1" x14ac:dyDescent="0.2">
      <c r="P76" s="57">
        <f>SUM(P6:P74)/53</f>
        <v>0.37617289692790051</v>
      </c>
      <c r="Q76" s="57">
        <f>SUM(Q6:Q74)/53</f>
        <v>0.16500696861439076</v>
      </c>
    </row>
  </sheetData>
  <pageMargins left="0.7" right="0.7" top="0.75" bottom="0.75" header="0.3" footer="0.3"/>
  <pageSetup paperSize="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88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6.28515625" style="46" customWidth="1"/>
    <col min="2" max="2" width="6.42578125" style="46" customWidth="1"/>
    <col min="3" max="3" width="6.5703125" style="46" customWidth="1"/>
    <col min="4" max="4" width="4.570312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7.140625" style="46" customWidth="1"/>
    <col min="13" max="13" width="6" style="46" customWidth="1"/>
    <col min="14" max="14" width="7.140625" style="46" customWidth="1"/>
    <col min="15" max="16384" width="9.140625" style="46"/>
  </cols>
  <sheetData>
    <row r="1" spans="1:16" ht="12.75" customHeight="1" x14ac:dyDescent="0.2">
      <c r="A1" s="46" t="s">
        <v>625</v>
      </c>
      <c r="B1" s="47" t="s">
        <v>1006</v>
      </c>
      <c r="G1" s="50">
        <f>'Oil Price'!F17</f>
        <v>8.2620000000000005</v>
      </c>
      <c r="H1" s="50">
        <v>0.1</v>
      </c>
      <c r="L1" s="48" t="s">
        <v>693</v>
      </c>
      <c r="M1" s="48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1250</v>
      </c>
      <c r="O3" s="48" t="s">
        <v>1251</v>
      </c>
      <c r="P3" s="48"/>
    </row>
    <row r="4" spans="1:16" ht="12.75" customHeight="1" x14ac:dyDescent="0.2">
      <c r="G4" s="50">
        <f>G1+H1</f>
        <v>8.3620000000000001</v>
      </c>
      <c r="H4" s="50"/>
      <c r="J4" s="46">
        <v>1</v>
      </c>
      <c r="L4" s="48" t="s">
        <v>696</v>
      </c>
      <c r="M4" s="48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'T6'!B6+('T6 Gallon'!G4-'T6'!I4)*'T6 Gallon'!F6+'T6 Gallon'!M2</f>
        <v>433.79</v>
      </c>
      <c r="C6" s="49">
        <f>E6+G6+H6</f>
        <v>270.34000000000003</v>
      </c>
      <c r="D6" s="48"/>
      <c r="E6" s="49">
        <f>'15W40'!E6</f>
        <v>53.290000000000006</v>
      </c>
      <c r="F6" s="48">
        <f>'15W40'!F6</f>
        <v>25</v>
      </c>
      <c r="G6" s="49">
        <f>F6*G4</f>
        <v>209.05</v>
      </c>
      <c r="H6" s="49">
        <v>8</v>
      </c>
      <c r="I6" s="55">
        <f>B6-C6</f>
        <v>163.44999999999999</v>
      </c>
      <c r="J6" s="56">
        <f>C6/B6</f>
        <v>0.62320477650476036</v>
      </c>
      <c r="K6" s="56">
        <f>1-J6</f>
        <v>0.37679522349523964</v>
      </c>
      <c r="L6" s="48"/>
      <c r="M6" s="48"/>
      <c r="N6" s="49">
        <f>B6-'T6'!B6</f>
        <v>71.800000000000011</v>
      </c>
      <c r="O6" s="49">
        <f>C6-'T6'!E6</f>
        <v>56.800000000000011</v>
      </c>
      <c r="P6" s="49"/>
    </row>
    <row r="7" spans="1:16" ht="12.75" customHeight="1" x14ac:dyDescent="0.2">
      <c r="A7" s="48" t="s">
        <v>633</v>
      </c>
      <c r="B7" s="49">
        <f>'T6'!B7+('T6 Gallon'!G4-'T6'!I4)*'T6 Gallon'!F7+'T6 Gallon'!M2</f>
        <v>411.79</v>
      </c>
      <c r="C7" s="49">
        <f>E7+G7+H7</f>
        <v>238.8492</v>
      </c>
      <c r="D7" s="48"/>
      <c r="E7" s="49">
        <f>'15W40'!E7</f>
        <v>21.799199999999999</v>
      </c>
      <c r="F7" s="48">
        <f>'15W40'!F7</f>
        <v>25</v>
      </c>
      <c r="G7" s="49">
        <f>F7*G4</f>
        <v>209.05</v>
      </c>
      <c r="H7" s="49">
        <v>8</v>
      </c>
      <c r="I7" s="55">
        <f>B7-C7</f>
        <v>172.94080000000002</v>
      </c>
      <c r="J7" s="56">
        <f>C7/B7</f>
        <v>0.58002671264479466</v>
      </c>
      <c r="K7" s="56">
        <f t="shared" ref="K7:K73" si="0">1-J7</f>
        <v>0.41997328735520534</v>
      </c>
      <c r="L7" s="48"/>
      <c r="M7" s="48"/>
      <c r="N7" s="49">
        <f>B7-'T6'!B7</f>
        <v>71.800000000000011</v>
      </c>
      <c r="O7" s="49">
        <f>C7-'T6'!E7</f>
        <v>56.800000000000011</v>
      </c>
      <c r="P7" s="49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L8" s="48"/>
      <c r="M8" s="48"/>
      <c r="N8" s="49"/>
      <c r="O8" s="49"/>
      <c r="P8" s="49"/>
    </row>
    <row r="9" spans="1:16" ht="12.75" customHeight="1" x14ac:dyDescent="0.2">
      <c r="A9" s="48" t="s">
        <v>634</v>
      </c>
      <c r="B9" s="49">
        <f>'T6'!B9+('T6 Gallon'!G4-'T6'!I4)*'T6 Gallon'!F9+'T6 Gallon'!M2</f>
        <v>556.24599999999998</v>
      </c>
      <c r="C9" s="49">
        <f>E9+G9+H9</f>
        <v>396.33600000000001</v>
      </c>
      <c r="D9" s="48"/>
      <c r="E9" s="49">
        <f>'15W40'!E9</f>
        <v>70.58</v>
      </c>
      <c r="F9" s="48">
        <f>'15W40'!F9</f>
        <v>38</v>
      </c>
      <c r="G9" s="49">
        <f>F9*G4</f>
        <v>317.75600000000003</v>
      </c>
      <c r="H9" s="49">
        <v>8</v>
      </c>
      <c r="I9" s="55">
        <f>B9-C9</f>
        <v>159.90999999999997</v>
      </c>
      <c r="J9" s="56">
        <f>C9/B9</f>
        <v>0.7125192810375266</v>
      </c>
      <c r="K9" s="56">
        <f t="shared" si="0"/>
        <v>0.2874807189624734</v>
      </c>
      <c r="L9" s="48"/>
      <c r="M9" s="48"/>
      <c r="N9" s="49">
        <f>B9-'T6'!B9</f>
        <v>101.33600000000001</v>
      </c>
      <c r="O9" s="49">
        <f>C9-'T6'!E9</f>
        <v>86.336000000000013</v>
      </c>
      <c r="P9" s="49"/>
    </row>
    <row r="10" spans="1:16" ht="12.75" customHeight="1" x14ac:dyDescent="0.2">
      <c r="A10" s="48" t="s">
        <v>635</v>
      </c>
      <c r="B10" s="49">
        <f>'T6'!B10+('T6 Gallon'!G4-'T6'!I4)*'T6 Gallon'!F10+'T6 Gallon'!M2</f>
        <v>515.24599999999998</v>
      </c>
      <c r="C10" s="49">
        <f>E10+G10+H10</f>
        <v>356.80080000000004</v>
      </c>
      <c r="D10" s="48"/>
      <c r="E10" s="49">
        <f>'15W40'!E10</f>
        <v>31.044799999999999</v>
      </c>
      <c r="F10" s="48">
        <f>'15W40'!F10</f>
        <v>38</v>
      </c>
      <c r="G10" s="49">
        <f>F10*G4</f>
        <v>317.75600000000003</v>
      </c>
      <c r="H10" s="49">
        <v>8</v>
      </c>
      <c r="I10" s="55">
        <f>B10-C10</f>
        <v>158.44519999999994</v>
      </c>
      <c r="J10" s="56">
        <f>C10/B10</f>
        <v>0.69248630751136364</v>
      </c>
      <c r="K10" s="56">
        <f t="shared" si="0"/>
        <v>0.30751369248863636</v>
      </c>
      <c r="L10" s="48"/>
      <c r="M10" s="48"/>
      <c r="N10" s="49">
        <f>B10-'T6'!B10</f>
        <v>101.33600000000001</v>
      </c>
      <c r="O10" s="49">
        <f>C10-'T6'!E10</f>
        <v>86.33600000000007</v>
      </c>
      <c r="P10" s="49"/>
    </row>
    <row r="11" spans="1:16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L11" s="48"/>
      <c r="M11" s="48"/>
      <c r="N11" s="49"/>
      <c r="O11" s="49"/>
      <c r="P11" s="49"/>
    </row>
    <row r="12" spans="1:16" ht="12.75" customHeight="1" x14ac:dyDescent="0.2">
      <c r="A12" s="48" t="s">
        <v>637</v>
      </c>
      <c r="B12" s="49">
        <f>'T6'!B12+('T6 Gallon'!G4-'T6'!I4)*'T6 Gallon'!F12+'T6 Gallon'!M3</f>
        <v>611.80600000000004</v>
      </c>
      <c r="C12" s="49">
        <f>E12+G12+H12</f>
        <v>438.14600000000002</v>
      </c>
      <c r="D12" s="48"/>
      <c r="E12" s="49">
        <f>'15W40'!E12</f>
        <v>70.58</v>
      </c>
      <c r="F12" s="48">
        <f>'15W40'!F12</f>
        <v>43</v>
      </c>
      <c r="G12" s="49">
        <f>F12*G4</f>
        <v>359.56600000000003</v>
      </c>
      <c r="H12" s="49">
        <v>8</v>
      </c>
      <c r="I12" s="55">
        <f>B12-C12</f>
        <v>173.66000000000003</v>
      </c>
      <c r="J12" s="56">
        <f>C12/B12</f>
        <v>0.7161518520576784</v>
      </c>
      <c r="K12" s="56">
        <f t="shared" si="0"/>
        <v>0.2838481479423216</v>
      </c>
      <c r="L12" s="48"/>
      <c r="M12" s="48"/>
      <c r="N12" s="49">
        <f>B12-'T6'!B12</f>
        <v>117.69600000000003</v>
      </c>
      <c r="O12" s="49">
        <f>C12-'T6'!E12</f>
        <v>97.696000000000026</v>
      </c>
      <c r="P12" s="49"/>
    </row>
    <row r="13" spans="1:16" ht="12.75" customHeight="1" x14ac:dyDescent="0.2">
      <c r="A13" s="48" t="s">
        <v>638</v>
      </c>
      <c r="B13" s="49">
        <f>'T6'!B13+('T6 Gallon'!G4-'T6'!I4)*'T6 Gallon'!F13+'T6 Gallon'!M3</f>
        <v>570.80600000000004</v>
      </c>
      <c r="C13" s="49">
        <f>E13+G13+H13</f>
        <v>398.61080000000004</v>
      </c>
      <c r="D13" s="48"/>
      <c r="E13" s="49">
        <f>'15W40'!E13</f>
        <v>31.044799999999999</v>
      </c>
      <c r="F13" s="48">
        <f>'15W40'!F13</f>
        <v>43</v>
      </c>
      <c r="G13" s="49">
        <f>F13*G4</f>
        <v>359.56600000000003</v>
      </c>
      <c r="H13" s="49">
        <v>8</v>
      </c>
      <c r="I13" s="55">
        <f>B13-C13</f>
        <v>172.1952</v>
      </c>
      <c r="J13" s="56">
        <f>C13/B13</f>
        <v>0.69832973024109768</v>
      </c>
      <c r="K13" s="56">
        <f t="shared" si="0"/>
        <v>0.30167026975890232</v>
      </c>
      <c r="L13" s="48"/>
      <c r="M13" s="48"/>
      <c r="N13" s="49">
        <f>B13-'T6'!B13</f>
        <v>117.69600000000003</v>
      </c>
      <c r="O13" s="49">
        <f>C13-'T6'!E13</f>
        <v>97.696000000000026</v>
      </c>
      <c r="P13" s="49"/>
    </row>
    <row r="14" spans="1:16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L14" s="48"/>
      <c r="M14" s="48"/>
      <c r="N14" s="49"/>
      <c r="O14" s="49"/>
      <c r="P14" s="49"/>
    </row>
    <row r="15" spans="1:16" ht="12.75" customHeight="1" x14ac:dyDescent="0.2">
      <c r="A15" s="48" t="s">
        <v>639</v>
      </c>
      <c r="B15" s="49">
        <f>'T6'!B15+('T6 Gallon'!G4-'T6'!I4)*'T6 Gallon'!F15+'T6 Gallon'!M3</f>
        <v>546.47</v>
      </c>
      <c r="C15" s="49">
        <f t="shared" ref="C15:C21" si="1">E15+G15+H15</f>
        <v>373.91120000000001</v>
      </c>
      <c r="D15" s="48"/>
      <c r="E15" s="49">
        <f>'15W40'!E15</f>
        <v>31.4312</v>
      </c>
      <c r="F15" s="48">
        <f>'15W40'!F15</f>
        <v>40</v>
      </c>
      <c r="G15" s="49">
        <f>F15*G4</f>
        <v>334.48</v>
      </c>
      <c r="H15" s="49">
        <v>8</v>
      </c>
      <c r="I15" s="55">
        <f t="shared" ref="I15:I74" si="2">B15-C15</f>
        <v>172.55880000000002</v>
      </c>
      <c r="J15" s="56">
        <f t="shared" ref="J15:J74" si="3">C15/B15</f>
        <v>0.68423005837465911</v>
      </c>
      <c r="K15" s="56">
        <f t="shared" si="0"/>
        <v>0.31576994162534089</v>
      </c>
      <c r="L15" s="48"/>
      <c r="M15" s="48"/>
      <c r="N15" s="49">
        <f>B15-'T6'!B15</f>
        <v>110.88</v>
      </c>
      <c r="O15" s="49">
        <f>C15-'T6'!E15</f>
        <v>90.88</v>
      </c>
      <c r="P15" s="49"/>
    </row>
    <row r="16" spans="1:16" ht="12.75" customHeight="1" x14ac:dyDescent="0.2">
      <c r="A16" s="48" t="s">
        <v>640</v>
      </c>
      <c r="B16" s="49">
        <f>'T6'!B16+('T6 Gallon'!G4-'T6'!I4)*'T6 Gallon'!F16+'T6 Gallon'!M1</f>
        <v>268.55799999999999</v>
      </c>
      <c r="C16" s="49">
        <f t="shared" si="1"/>
        <v>131.78800000000001</v>
      </c>
      <c r="D16" s="48"/>
      <c r="E16" s="49">
        <f>'15W40'!E16</f>
        <v>6.7200000000000006</v>
      </c>
      <c r="F16" s="48">
        <f>'15W40'!F16</f>
        <v>14</v>
      </c>
      <c r="G16" s="49">
        <f>F16*G4</f>
        <v>117.068</v>
      </c>
      <c r="H16" s="49">
        <v>8</v>
      </c>
      <c r="I16" s="55">
        <f t="shared" si="2"/>
        <v>136.76999999999998</v>
      </c>
      <c r="J16" s="56">
        <f t="shared" si="3"/>
        <v>0.49072453622681139</v>
      </c>
      <c r="K16" s="56">
        <f t="shared" si="0"/>
        <v>0.50927546377318866</v>
      </c>
      <c r="L16" s="48"/>
      <c r="M16" s="48"/>
      <c r="N16" s="49">
        <f>B16-'T6'!B16</f>
        <v>41.807999999999993</v>
      </c>
      <c r="O16" s="49">
        <f>C16-'T6'!E16</f>
        <v>31.808000000000021</v>
      </c>
      <c r="P16" s="49"/>
    </row>
    <row r="17" spans="1:16" ht="12.75" customHeight="1" x14ac:dyDescent="0.2">
      <c r="A17" s="48" t="s">
        <v>641</v>
      </c>
      <c r="B17" s="49">
        <f>'T6'!B17+('T6 Gallon'!G4-'T6'!I4)*'T6 Gallon'!F17+'T6 Gallon'!M2</f>
        <v>425.79</v>
      </c>
      <c r="C17" s="49">
        <f t="shared" si="1"/>
        <v>267.86040000000003</v>
      </c>
      <c r="D17" s="48"/>
      <c r="E17" s="49">
        <f>'15W40'!E17</f>
        <v>50.810400000000001</v>
      </c>
      <c r="F17" s="48">
        <f>'15W40'!F17</f>
        <v>25</v>
      </c>
      <c r="G17" s="49">
        <f>F17*G4</f>
        <v>209.05</v>
      </c>
      <c r="H17" s="49">
        <v>8</v>
      </c>
      <c r="I17" s="55">
        <f t="shared" si="2"/>
        <v>157.92959999999999</v>
      </c>
      <c r="J17" s="56">
        <f t="shared" si="3"/>
        <v>0.62909039667441702</v>
      </c>
      <c r="K17" s="56">
        <f t="shared" si="0"/>
        <v>0.37090960332558298</v>
      </c>
      <c r="L17" s="48"/>
      <c r="M17" s="48"/>
      <c r="N17" s="49">
        <f>B17-'T6'!B17</f>
        <v>71.800000000000011</v>
      </c>
      <c r="O17" s="49">
        <f>C17-'T6'!E17</f>
        <v>56.800000000000011</v>
      </c>
      <c r="P17" s="49"/>
    </row>
    <row r="18" spans="1:16" ht="12.75" customHeight="1" x14ac:dyDescent="0.2">
      <c r="A18" s="48" t="s">
        <v>642</v>
      </c>
      <c r="B18" s="49">
        <f>'T6'!B18+('T6 Gallon'!G4-'T6'!I4)*'T6 Gallon'!F18+'T6 Gallon'!M2</f>
        <v>423.79</v>
      </c>
      <c r="C18" s="49">
        <f t="shared" si="1"/>
        <v>243.738</v>
      </c>
      <c r="D18" s="48"/>
      <c r="E18" s="49">
        <f>'15W40'!E18</f>
        <v>26.688000000000002</v>
      </c>
      <c r="F18" s="48">
        <f>'15W40'!F18</f>
        <v>25</v>
      </c>
      <c r="G18" s="49">
        <f>F18*G4</f>
        <v>209.05</v>
      </c>
      <c r="H18" s="49">
        <v>8</v>
      </c>
      <c r="I18" s="55">
        <f t="shared" si="2"/>
        <v>180.05200000000002</v>
      </c>
      <c r="J18" s="56">
        <f t="shared" si="3"/>
        <v>0.57513862998183063</v>
      </c>
      <c r="K18" s="56">
        <f t="shared" si="0"/>
        <v>0.42486137001816937</v>
      </c>
      <c r="L18" s="48"/>
      <c r="M18" s="48"/>
      <c r="N18" s="49">
        <f>B18-'T6'!B18</f>
        <v>71.800000000000011</v>
      </c>
      <c r="O18" s="49">
        <f>C18-'T6'!E18</f>
        <v>56.800000000000011</v>
      </c>
      <c r="P18" s="49"/>
    </row>
    <row r="19" spans="1:16" ht="12.75" customHeight="1" x14ac:dyDescent="0.2">
      <c r="A19" s="48" t="s">
        <v>643</v>
      </c>
      <c r="B19" s="49">
        <f>'T6'!B19+('T6 Gallon'!G4-'T6'!I4)*'T6 Gallon'!F19+'T6 Gallon'!M3</f>
        <v>511.02200000000005</v>
      </c>
      <c r="C19" s="49">
        <f t="shared" si="1"/>
        <v>348.8664</v>
      </c>
      <c r="D19" s="48"/>
      <c r="E19" s="49">
        <f>'15W40'!E19</f>
        <v>39.834400000000002</v>
      </c>
      <c r="F19" s="48">
        <f>'15W40'!F19</f>
        <v>36</v>
      </c>
      <c r="G19" s="49">
        <f>F19*G4</f>
        <v>301.03199999999998</v>
      </c>
      <c r="H19" s="49">
        <v>8</v>
      </c>
      <c r="I19" s="55">
        <f t="shared" si="2"/>
        <v>162.15560000000005</v>
      </c>
      <c r="J19" s="56">
        <f t="shared" si="3"/>
        <v>0.68268372007467382</v>
      </c>
      <c r="K19" s="56">
        <f t="shared" si="0"/>
        <v>0.31731627992532618</v>
      </c>
      <c r="L19" s="48"/>
      <c r="M19" s="48"/>
      <c r="N19" s="49">
        <f>B19-'T6'!B19</f>
        <v>101.79200000000003</v>
      </c>
      <c r="O19" s="49">
        <f>C19-'T6'!E19</f>
        <v>81.791999999999973</v>
      </c>
      <c r="P19" s="49"/>
    </row>
    <row r="20" spans="1:16" ht="12.75" customHeight="1" x14ac:dyDescent="0.2">
      <c r="A20" s="48" t="s">
        <v>645</v>
      </c>
      <c r="B20" s="49">
        <f>'T6'!B20+('T6 Gallon'!G4-'T6'!I4)*'T6 Gallon'!F20+'T6 Gallon'!M3</f>
        <v>639.91800000000012</v>
      </c>
      <c r="C20" s="49">
        <f t="shared" si="1"/>
        <v>461.57760000000002</v>
      </c>
      <c r="D20" s="48"/>
      <c r="E20" s="49">
        <f>'15W40'!E20</f>
        <v>85.649600000000007</v>
      </c>
      <c r="F20" s="48">
        <f>'15W40'!F20</f>
        <v>44</v>
      </c>
      <c r="G20" s="49">
        <f>F20*G4</f>
        <v>367.928</v>
      </c>
      <c r="H20" s="49">
        <v>8</v>
      </c>
      <c r="I20" s="55">
        <f t="shared" si="2"/>
        <v>178.3404000000001</v>
      </c>
      <c r="J20" s="56">
        <f t="shared" si="3"/>
        <v>0.72130741751286875</v>
      </c>
      <c r="K20" s="56">
        <f t="shared" si="0"/>
        <v>0.27869258248713125</v>
      </c>
      <c r="L20" s="48"/>
      <c r="M20" s="48"/>
      <c r="N20" s="49">
        <f>B20-'T6'!B20</f>
        <v>119.96800000000007</v>
      </c>
      <c r="O20" s="49">
        <f>C20-'T6'!E20</f>
        <v>99.968000000000018</v>
      </c>
      <c r="P20" s="49"/>
    </row>
    <row r="21" spans="1:16" ht="12.75" customHeight="1" x14ac:dyDescent="0.2">
      <c r="A21" s="48" t="s">
        <v>646</v>
      </c>
      <c r="B21" s="49">
        <f>'T6'!B21+('T6 Gallon'!G4-'T6'!I4)*'T6 Gallon'!F21+'T6 Gallon'!M2</f>
        <v>480.798</v>
      </c>
      <c r="C21" s="49">
        <f t="shared" si="1"/>
        <v>323.73919999999998</v>
      </c>
      <c r="D21" s="48"/>
      <c r="E21" s="49">
        <f>'15W40'!E21</f>
        <v>31.4312</v>
      </c>
      <c r="F21" s="48">
        <f>'15W40'!F21</f>
        <v>34</v>
      </c>
      <c r="G21" s="49">
        <f>F21*G4</f>
        <v>284.30799999999999</v>
      </c>
      <c r="H21" s="49">
        <v>8</v>
      </c>
      <c r="I21" s="55">
        <f t="shared" si="2"/>
        <v>157.05880000000002</v>
      </c>
      <c r="J21" s="56">
        <f t="shared" si="3"/>
        <v>0.67333724349934898</v>
      </c>
      <c r="K21" s="56">
        <f t="shared" si="0"/>
        <v>0.32666275650065102</v>
      </c>
      <c r="L21" s="48"/>
      <c r="M21" s="48"/>
      <c r="N21" s="49">
        <f>B21-'T6'!B21</f>
        <v>92.24799999999999</v>
      </c>
      <c r="O21" s="49">
        <f>C21-'T6'!E21</f>
        <v>77.24799999999999</v>
      </c>
      <c r="P21" s="49"/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L22" s="48"/>
      <c r="M22" s="48"/>
      <c r="N22" s="49"/>
      <c r="O22" s="49"/>
      <c r="P22" s="49"/>
    </row>
    <row r="23" spans="1:16" ht="12.75" customHeight="1" x14ac:dyDescent="0.2">
      <c r="A23" s="48" t="s">
        <v>647</v>
      </c>
      <c r="B23" s="49">
        <f>'T6'!B23+('T6 Gallon'!G4-'T6'!I4)*'T6 Gallon'!F23+'T6 Gallon'!M2</f>
        <v>571.24599999999998</v>
      </c>
      <c r="C23" s="49">
        <f t="shared" ref="C23:C28" si="4">E23+G23+H23</f>
        <v>403.37600000000003</v>
      </c>
      <c r="D23" s="48"/>
      <c r="E23" s="49">
        <f>'15W40'!E23</f>
        <v>77.62</v>
      </c>
      <c r="F23" s="48">
        <f>'15W40'!F23</f>
        <v>38</v>
      </c>
      <c r="G23" s="49">
        <f>F23*G4</f>
        <v>317.75600000000003</v>
      </c>
      <c r="H23" s="49">
        <v>8</v>
      </c>
      <c r="I23" s="55">
        <f t="shared" si="2"/>
        <v>167.86999999999995</v>
      </c>
      <c r="J23" s="56">
        <f t="shared" si="3"/>
        <v>0.70613360968829553</v>
      </c>
      <c r="K23" s="56">
        <f t="shared" si="0"/>
        <v>0.29386639031170447</v>
      </c>
      <c r="L23" s="48"/>
      <c r="M23" s="48"/>
      <c r="N23" s="49">
        <f>B23-'T6'!B23</f>
        <v>101.33600000000001</v>
      </c>
      <c r="O23" s="49">
        <f>C23-'T6'!E23</f>
        <v>86.33600000000007</v>
      </c>
      <c r="P23" s="49"/>
    </row>
    <row r="24" spans="1:16" ht="12.75" customHeight="1" x14ac:dyDescent="0.2">
      <c r="A24" s="48" t="s">
        <v>648</v>
      </c>
      <c r="B24" s="49">
        <f>'T6'!B24+('T6 Gallon'!G4-'T6'!I4)*'T6 Gallon'!F24+'T6 Gallon'!M2</f>
        <v>606.57400000000007</v>
      </c>
      <c r="C24" s="49">
        <f t="shared" si="4"/>
        <v>444.43400000000003</v>
      </c>
      <c r="D24" s="48"/>
      <c r="E24" s="49">
        <f>'15W40'!E24</f>
        <v>168.85000000000002</v>
      </c>
      <c r="F24" s="48">
        <f>'15W40'!F24</f>
        <v>32</v>
      </c>
      <c r="G24" s="49">
        <f>F24*G4</f>
        <v>267.584</v>
      </c>
      <c r="H24" s="49">
        <v>8</v>
      </c>
      <c r="I24" s="55">
        <f t="shared" si="2"/>
        <v>162.14000000000004</v>
      </c>
      <c r="J24" s="56">
        <f t="shared" si="3"/>
        <v>0.7326954336981143</v>
      </c>
      <c r="K24" s="56">
        <f t="shared" si="0"/>
        <v>0.2673045663018857</v>
      </c>
      <c r="L24" s="48"/>
      <c r="M24" s="48"/>
      <c r="N24" s="49">
        <f>B24-'T6'!B24</f>
        <v>87.704000000000065</v>
      </c>
      <c r="O24" s="49">
        <f>C24-'T6'!E24</f>
        <v>72.704000000000008</v>
      </c>
      <c r="P24" s="49"/>
    </row>
    <row r="25" spans="1:16" ht="12.75" customHeight="1" x14ac:dyDescent="0.2">
      <c r="A25" s="48" t="s">
        <v>649</v>
      </c>
      <c r="B25" s="49">
        <f>'T6'!B25+('T6 Gallon'!G4-'T6'!I4)*'T6 Gallon'!F25+'T6 Gallon'!M3</f>
        <v>668.69399999999996</v>
      </c>
      <c r="C25" s="49">
        <f t="shared" si="4"/>
        <v>496.99400000000003</v>
      </c>
      <c r="D25" s="48"/>
      <c r="E25" s="49">
        <f>'15W40'!E25</f>
        <v>137.79000000000002</v>
      </c>
      <c r="F25" s="48">
        <f>'15W40'!F25</f>
        <v>42</v>
      </c>
      <c r="G25" s="49">
        <f>F25*G4</f>
        <v>351.20400000000001</v>
      </c>
      <c r="H25" s="49">
        <v>8</v>
      </c>
      <c r="I25" s="55">
        <f t="shared" si="2"/>
        <v>171.69999999999993</v>
      </c>
      <c r="J25" s="56">
        <f t="shared" si="3"/>
        <v>0.74323083503067178</v>
      </c>
      <c r="K25" s="56">
        <f t="shared" si="0"/>
        <v>0.25676916496932822</v>
      </c>
      <c r="L25" s="48"/>
      <c r="M25" s="48"/>
      <c r="N25" s="49">
        <f>B25-'T6'!B25</f>
        <v>115.42399999999998</v>
      </c>
      <c r="O25" s="49">
        <f>C25-'T6'!E25</f>
        <v>95.423999999999978</v>
      </c>
      <c r="P25" s="49"/>
    </row>
    <row r="26" spans="1:16" ht="12.75" customHeight="1" x14ac:dyDescent="0.2">
      <c r="A26" s="48" t="s">
        <v>650</v>
      </c>
      <c r="B26" s="49">
        <f>'T6'!B26+('T6 Gallon'!G4-'T6'!I4)*'T6 Gallon'!F26+'T6 Gallon'!M3</f>
        <v>646.69399999999996</v>
      </c>
      <c r="C26" s="49">
        <f t="shared" si="4"/>
        <v>473.2568</v>
      </c>
      <c r="D26" s="48"/>
      <c r="E26" s="49">
        <f>'15W40'!E26</f>
        <v>114.05280000000002</v>
      </c>
      <c r="F26" s="48">
        <f>'15W40'!F26</f>
        <v>42</v>
      </c>
      <c r="G26" s="49">
        <f>F26*G4</f>
        <v>351.20400000000001</v>
      </c>
      <c r="H26" s="49">
        <v>8</v>
      </c>
      <c r="I26" s="55">
        <f t="shared" si="2"/>
        <v>173.43719999999996</v>
      </c>
      <c r="J26" s="56">
        <f t="shared" si="3"/>
        <v>0.73180948021784653</v>
      </c>
      <c r="K26" s="56">
        <f t="shared" si="0"/>
        <v>0.26819051978215347</v>
      </c>
      <c r="L26" s="48"/>
      <c r="M26" s="48"/>
      <c r="N26" s="49">
        <f>B26-'T6'!B26</f>
        <v>115.42399999999998</v>
      </c>
      <c r="O26" s="49">
        <f>C26-'T6'!E26</f>
        <v>95.423999999999978</v>
      </c>
      <c r="P26" s="49"/>
    </row>
    <row r="27" spans="1:16" ht="12.75" customHeight="1" x14ac:dyDescent="0.2">
      <c r="A27" s="48" t="s">
        <v>651</v>
      </c>
      <c r="B27" s="49">
        <f>'T6'!B27+('T6 Gallon'!G4-'T6'!I4)*'T6 Gallon'!F27+'T6 Gallon'!M2</f>
        <v>524.24599999999998</v>
      </c>
      <c r="C27" s="49">
        <f t="shared" si="4"/>
        <v>371.1472</v>
      </c>
      <c r="D27" s="48"/>
      <c r="E27" s="49">
        <f>'15W40'!E27</f>
        <v>45.391199999999998</v>
      </c>
      <c r="F27" s="48">
        <f>'15W40'!F27</f>
        <v>38</v>
      </c>
      <c r="G27" s="49">
        <f>F27*G4</f>
        <v>317.75600000000003</v>
      </c>
      <c r="H27" s="49">
        <v>8</v>
      </c>
      <c r="I27" s="55">
        <f t="shared" si="2"/>
        <v>153.09879999999998</v>
      </c>
      <c r="J27" s="56">
        <f t="shared" si="3"/>
        <v>0.70796381851268297</v>
      </c>
      <c r="K27" s="56">
        <f t="shared" si="0"/>
        <v>0.29203618148731703</v>
      </c>
      <c r="L27" s="48"/>
      <c r="M27" s="48"/>
      <c r="N27" s="49">
        <f>B27-'T6'!B27</f>
        <v>101.33600000000001</v>
      </c>
      <c r="O27" s="49">
        <f>C27-'T6'!E27</f>
        <v>86.336000000000013</v>
      </c>
      <c r="P27" s="49"/>
    </row>
    <row r="28" spans="1:16" ht="12.75" customHeight="1" x14ac:dyDescent="0.2">
      <c r="A28" s="48" t="s">
        <v>652</v>
      </c>
      <c r="B28" s="49">
        <f>'T6'!B28+('T6 Gallon'!G4-'T6'!I4)*'T6 Gallon'!F28+'T6 Gallon'!M1</f>
        <v>268.55799999999999</v>
      </c>
      <c r="C28" s="49">
        <f t="shared" si="4"/>
        <v>135.1704</v>
      </c>
      <c r="D28" s="48"/>
      <c r="E28" s="49">
        <f>'15W40'!E28</f>
        <v>10.102400000000001</v>
      </c>
      <c r="F28" s="48">
        <f>'15W40'!F28</f>
        <v>14</v>
      </c>
      <c r="G28" s="49">
        <f>F28*G4</f>
        <v>117.068</v>
      </c>
      <c r="H28" s="49">
        <v>8</v>
      </c>
      <c r="I28" s="55">
        <f t="shared" si="2"/>
        <v>133.38759999999999</v>
      </c>
      <c r="J28" s="56">
        <f t="shared" si="3"/>
        <v>0.50331920851361722</v>
      </c>
      <c r="K28" s="56">
        <f t="shared" si="0"/>
        <v>0.49668079148638278</v>
      </c>
      <c r="L28" s="48"/>
      <c r="M28" s="48"/>
      <c r="N28" s="49">
        <f>B28-'T6'!B28</f>
        <v>41.807999999999993</v>
      </c>
      <c r="O28" s="49">
        <f>C28-'T6'!E28</f>
        <v>31.808000000000007</v>
      </c>
      <c r="P28" s="49"/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L29" s="48"/>
      <c r="M29" s="48"/>
      <c r="N29" s="49"/>
      <c r="O29" s="49"/>
      <c r="P29" s="49"/>
    </row>
    <row r="30" spans="1:16" ht="12.75" customHeight="1" x14ac:dyDescent="0.2">
      <c r="A30" s="48" t="s">
        <v>653</v>
      </c>
      <c r="B30" s="49">
        <f>'T6'!B30+('T6 Gallon'!G4-'T6'!I4)*'T6 Gallon'!F30+'T6 Gallon'!M1</f>
        <v>268.55799999999999</v>
      </c>
      <c r="C30" s="49">
        <f>E30+G30+H30</f>
        <v>139.48480000000001</v>
      </c>
      <c r="D30" s="48"/>
      <c r="E30" s="49">
        <f>'15W40'!E30</f>
        <v>14.416800000000002</v>
      </c>
      <c r="F30" s="48">
        <f>'15W40'!F30</f>
        <v>14</v>
      </c>
      <c r="G30" s="49">
        <f>F30*G4</f>
        <v>117.068</v>
      </c>
      <c r="H30" s="49">
        <v>8</v>
      </c>
      <c r="I30" s="55">
        <f t="shared" si="2"/>
        <v>129.07319999999999</v>
      </c>
      <c r="J30" s="56">
        <f t="shared" si="3"/>
        <v>0.51938426708569474</v>
      </c>
      <c r="K30" s="56">
        <f t="shared" si="0"/>
        <v>0.48061573291430526</v>
      </c>
      <c r="L30" s="48"/>
      <c r="M30" s="48"/>
      <c r="N30" s="49">
        <f>B30-'T6'!B30</f>
        <v>41.807999999999993</v>
      </c>
      <c r="O30" s="49">
        <f>C30-'T6'!E30</f>
        <v>31.808000000000021</v>
      </c>
      <c r="P30" s="49"/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L31" s="48"/>
      <c r="M31" s="48"/>
      <c r="N31" s="49"/>
      <c r="O31" s="49"/>
      <c r="P31" s="48"/>
    </row>
    <row r="32" spans="1:16" ht="12.75" customHeight="1" x14ac:dyDescent="0.2">
      <c r="A32" s="48" t="s">
        <v>423</v>
      </c>
      <c r="B32" s="49">
        <f>'T6'!B32+('T6 Gallon'!G4-'T6'!I4)*'T6 Gallon'!F32+'T6 Gallon'!M1</f>
        <v>367.55799999999999</v>
      </c>
      <c r="C32" s="49">
        <f>E32+G32+H32</f>
        <v>221.06799999999998</v>
      </c>
      <c r="D32" s="48"/>
      <c r="E32" s="49">
        <f>'15W40'!E32</f>
        <v>96</v>
      </c>
      <c r="F32" s="48">
        <f>'15W40'!F32</f>
        <v>14</v>
      </c>
      <c r="G32" s="49">
        <f>F32*G4</f>
        <v>117.068</v>
      </c>
      <c r="H32" s="49">
        <v>8</v>
      </c>
      <c r="I32" s="55">
        <f t="shared" si="2"/>
        <v>146.49</v>
      </c>
      <c r="J32" s="56">
        <f t="shared" si="3"/>
        <v>0.60145065540676568</v>
      </c>
      <c r="K32" s="56">
        <f t="shared" si="0"/>
        <v>0.39854934459323432</v>
      </c>
      <c r="L32" s="48"/>
      <c r="M32" s="48"/>
      <c r="N32" s="49">
        <f>B32-'T6'!B32</f>
        <v>41.807999999999993</v>
      </c>
      <c r="O32" s="49">
        <f>C32-'T6'!E32</f>
        <v>31.807999999999993</v>
      </c>
      <c r="P32" s="48"/>
    </row>
    <row r="33" spans="1:16" ht="12.75" customHeight="1" x14ac:dyDescent="0.2">
      <c r="A33" s="48" t="s">
        <v>654</v>
      </c>
      <c r="B33" s="49">
        <f>'T6'!B33+('T6 Gallon'!G4-'T6'!I4)*'T6 Gallon'!F33+'T6 Gallon'!M1</f>
        <v>297.55799999999999</v>
      </c>
      <c r="C33" s="49">
        <f>E33+G33+H33</f>
        <v>152.4896</v>
      </c>
      <c r="D33" s="48"/>
      <c r="E33" s="49">
        <f>'15W40'!E33</f>
        <v>27.421599999999998</v>
      </c>
      <c r="F33" s="48">
        <f>'15W40'!F33</f>
        <v>14</v>
      </c>
      <c r="G33" s="49">
        <f>F33*G4</f>
        <v>117.068</v>
      </c>
      <c r="H33" s="49">
        <v>8</v>
      </c>
      <c r="I33" s="55">
        <f t="shared" si="2"/>
        <v>145.0684</v>
      </c>
      <c r="J33" s="56">
        <f t="shared" si="3"/>
        <v>0.51247017388206673</v>
      </c>
      <c r="K33" s="56">
        <f t="shared" si="0"/>
        <v>0.48752982611793327</v>
      </c>
      <c r="L33" s="48"/>
      <c r="M33" s="48"/>
      <c r="N33" s="49">
        <f>B33-'T6'!B33</f>
        <v>41.807999999999993</v>
      </c>
      <c r="O33" s="49">
        <f>C33-'T6'!E33</f>
        <v>31.808000000000007</v>
      </c>
      <c r="P33" s="48"/>
    </row>
    <row r="34" spans="1:16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L34" s="48"/>
      <c r="M34" s="48"/>
      <c r="N34" s="49"/>
      <c r="O34" s="49"/>
      <c r="P34" s="48"/>
    </row>
    <row r="35" spans="1:16" ht="12.75" customHeight="1" x14ac:dyDescent="0.2">
      <c r="A35" s="48" t="s">
        <v>655</v>
      </c>
      <c r="B35" s="49">
        <f>'T6'!B35+('T6 Gallon'!G4-'T6'!I4)*'T6 Gallon'!F35+'T6 Gallon'!M2</f>
        <v>437.90199999999999</v>
      </c>
      <c r="C35" s="49">
        <f>E35+G35+H35</f>
        <v>278.98080000000004</v>
      </c>
      <c r="D35" s="49"/>
      <c r="E35" s="49">
        <f>'15W40'!E35</f>
        <v>53.56880000000001</v>
      </c>
      <c r="F35" s="48">
        <f>'15W40'!F35</f>
        <v>26</v>
      </c>
      <c r="G35" s="49">
        <f>F35*G4</f>
        <v>217.41200000000001</v>
      </c>
      <c r="H35" s="49">
        <v>8</v>
      </c>
      <c r="I35" s="55">
        <f t="shared" si="2"/>
        <v>158.92119999999994</v>
      </c>
      <c r="J35" s="56">
        <f t="shared" si="3"/>
        <v>0.63708500988805727</v>
      </c>
      <c r="K35" s="56">
        <f t="shared" si="0"/>
        <v>0.36291499011194273</v>
      </c>
      <c r="L35" s="48"/>
      <c r="M35" s="48"/>
      <c r="N35" s="49">
        <f>B35-'T6'!B35</f>
        <v>74.072000000000003</v>
      </c>
      <c r="O35" s="49">
        <f>C35-'T6'!E35</f>
        <v>59.072000000000031</v>
      </c>
      <c r="P35" s="48"/>
    </row>
    <row r="36" spans="1:16" ht="12.75" customHeight="1" x14ac:dyDescent="0.2">
      <c r="A36" s="48" t="s">
        <v>1245</v>
      </c>
      <c r="B36" s="49">
        <f>'T6'!B36+('T6 Gallon'!G4-'T6'!I4)*'T6 Gallon'!F36+'T6 Gallon'!M3</f>
        <v>769.14200000000005</v>
      </c>
      <c r="C36" s="49">
        <f>E36+G36+H36</f>
        <v>571.452</v>
      </c>
      <c r="D36" s="49"/>
      <c r="E36" s="49">
        <f>'15W40'!E36</f>
        <v>178.8</v>
      </c>
      <c r="F36" s="48">
        <f>'15W40'!F36</f>
        <v>46</v>
      </c>
      <c r="G36" s="49">
        <f>F36*G4</f>
        <v>384.65199999999999</v>
      </c>
      <c r="H36" s="49">
        <v>8</v>
      </c>
      <c r="I36" s="55">
        <f t="shared" si="2"/>
        <v>197.69000000000005</v>
      </c>
      <c r="J36" s="56">
        <f t="shared" si="3"/>
        <v>0.74297333912333474</v>
      </c>
      <c r="K36" s="56">
        <f t="shared" si="0"/>
        <v>0.25702666087666526</v>
      </c>
      <c r="L36" s="48"/>
      <c r="M36" s="48"/>
      <c r="N36" s="49"/>
      <c r="O36" s="49">
        <f>C36-'T6'!E36</f>
        <v>104.512</v>
      </c>
      <c r="P36" s="48"/>
    </row>
    <row r="37" spans="1:16" ht="12.75" customHeight="1" x14ac:dyDescent="0.2">
      <c r="A37" s="48" t="s">
        <v>1249</v>
      </c>
      <c r="B37" s="49">
        <f>'T6'!B37+('T6 Gallon'!G4-'T6'!I4)*'T6 Gallon'!F37+'T6 Gallon'!M1</f>
        <v>440.798</v>
      </c>
      <c r="C37" s="49">
        <f>E37+G37+H37</f>
        <v>182.9408</v>
      </c>
      <c r="D37" s="49"/>
      <c r="E37" s="49">
        <f>'15W40'!E37</f>
        <v>57.872799999999998</v>
      </c>
      <c r="F37" s="48">
        <f>'15W40'!F37</f>
        <v>14</v>
      </c>
      <c r="G37" s="49">
        <f>F37*G4</f>
        <v>117.068</v>
      </c>
      <c r="H37" s="49">
        <v>8</v>
      </c>
      <c r="I37" s="55">
        <f t="shared" si="2"/>
        <v>257.85720000000003</v>
      </c>
      <c r="J37" s="56">
        <f t="shared" si="3"/>
        <v>0.41502184674159137</v>
      </c>
      <c r="K37" s="56">
        <f t="shared" si="0"/>
        <v>0.58497815325840863</v>
      </c>
      <c r="L37" s="48"/>
      <c r="M37" s="48"/>
      <c r="N37" s="49"/>
      <c r="O37" s="49"/>
      <c r="P37" s="48"/>
    </row>
    <row r="38" spans="1:16" ht="12.75" customHeight="1" x14ac:dyDescent="0.2">
      <c r="A38" s="48" t="s">
        <v>1124</v>
      </c>
      <c r="B38" s="49">
        <f>'T6'!B38+('T6 Gallon'!G4-'T6'!I4)*'T6 Gallon'!F38+'T6 Gallon'!M1</f>
        <v>333.55799999999999</v>
      </c>
      <c r="C38" s="49">
        <f t="shared" ref="C38:C53" si="5">E38+G38+H38</f>
        <v>169.2088</v>
      </c>
      <c r="D38" s="48"/>
      <c r="E38" s="49">
        <f>'15W40'!E38</f>
        <v>44.140799999999999</v>
      </c>
      <c r="F38" s="48">
        <f>'15W40'!F38</f>
        <v>14</v>
      </c>
      <c r="G38" s="49">
        <f>F38*G4</f>
        <v>117.068</v>
      </c>
      <c r="H38" s="49">
        <v>8</v>
      </c>
      <c r="I38" s="55">
        <f t="shared" si="2"/>
        <v>164.3492</v>
      </c>
      <c r="J38" s="56">
        <f t="shared" si="3"/>
        <v>0.50728449025356914</v>
      </c>
      <c r="K38" s="56">
        <f t="shared" si="0"/>
        <v>0.49271550974643086</v>
      </c>
      <c r="L38" s="48"/>
      <c r="M38" s="48"/>
      <c r="N38" s="49">
        <f>B38-'T6'!B38</f>
        <v>41.807999999999993</v>
      </c>
      <c r="O38" s="49">
        <f>C38-'T6'!E38</f>
        <v>31.807999999999993</v>
      </c>
      <c r="P38" s="48"/>
    </row>
    <row r="39" spans="1:16" ht="12.75" customHeight="1" x14ac:dyDescent="0.2">
      <c r="A39" s="48" t="s">
        <v>425</v>
      </c>
      <c r="B39" s="49">
        <f>'T6'!B39+('T6 Gallon'!G4-'T6'!I4)*'T6 Gallon'!F39+'T6 Gallon'!M1</f>
        <v>403.55799999999999</v>
      </c>
      <c r="C39" s="49">
        <f t="shared" si="5"/>
        <v>194.03800000000001</v>
      </c>
      <c r="D39" s="48"/>
      <c r="E39" s="49">
        <f>'15W40'!E39</f>
        <v>68.97</v>
      </c>
      <c r="F39" s="48">
        <f>'15W40'!F39</f>
        <v>14</v>
      </c>
      <c r="G39" s="49">
        <f>F39*G4</f>
        <v>117.068</v>
      </c>
      <c r="H39" s="49">
        <v>8</v>
      </c>
      <c r="I39" s="55">
        <f t="shared" si="2"/>
        <v>209.51999999999998</v>
      </c>
      <c r="J39" s="56">
        <f t="shared" si="3"/>
        <v>0.48081812279771435</v>
      </c>
      <c r="K39" s="56">
        <f t="shared" si="0"/>
        <v>0.51918187720228559</v>
      </c>
      <c r="L39" s="48"/>
      <c r="M39" s="48"/>
      <c r="N39" s="49">
        <f>B39-'T6'!B39</f>
        <v>41.807999999999993</v>
      </c>
      <c r="O39" s="49">
        <f>C39-'T6'!E39</f>
        <v>31.808000000000021</v>
      </c>
      <c r="P39" s="48"/>
    </row>
    <row r="40" spans="1:16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L40" s="48"/>
      <c r="M40" s="48"/>
      <c r="N40" s="49"/>
      <c r="O40" s="49"/>
      <c r="P40" s="48"/>
    </row>
    <row r="41" spans="1:16" ht="12.75" customHeight="1" x14ac:dyDescent="0.2">
      <c r="A41" s="48" t="s">
        <v>907</v>
      </c>
      <c r="B41" s="49">
        <f>'T6'!B41+('T6 Gallon'!G4-'T6'!I4)*'T6 Gallon'!F41+'T6 Gallon'!M2</f>
        <v>585.24599999999998</v>
      </c>
      <c r="C41" s="49">
        <f t="shared" si="5"/>
        <v>412.36080000000004</v>
      </c>
      <c r="D41" s="48"/>
      <c r="E41" s="49">
        <f>'15W40'!E41</f>
        <v>86.604800000000012</v>
      </c>
      <c r="F41" s="48">
        <f>'15W40'!F41</f>
        <v>38</v>
      </c>
      <c r="G41" s="49">
        <f>F41*G4</f>
        <v>317.75600000000003</v>
      </c>
      <c r="H41" s="49">
        <v>8</v>
      </c>
      <c r="I41" s="55">
        <f t="shared" si="2"/>
        <v>172.88519999999994</v>
      </c>
      <c r="J41" s="56">
        <f t="shared" si="3"/>
        <v>0.70459396561445964</v>
      </c>
      <c r="K41" s="56">
        <f t="shared" si="0"/>
        <v>0.29540603438554036</v>
      </c>
      <c r="L41" s="48"/>
      <c r="M41" s="48"/>
      <c r="N41" s="49">
        <f>B41-'T6'!B41</f>
        <v>101.33600000000001</v>
      </c>
      <c r="O41" s="49">
        <f>C41-'T6'!E41</f>
        <v>86.336000000000013</v>
      </c>
      <c r="P41" s="48"/>
    </row>
    <row r="42" spans="1:16" ht="12.75" customHeight="1" x14ac:dyDescent="0.2">
      <c r="A42" s="48" t="s">
        <v>911</v>
      </c>
      <c r="B42" s="49">
        <f>'T6'!B42+('T6 Gallon'!G4-'T6'!I4)*'T6 Gallon'!F42+'T6 Gallon'!M2</f>
        <v>656.24599999999998</v>
      </c>
      <c r="C42" s="49">
        <f t="shared" si="5"/>
        <v>499.25600000000003</v>
      </c>
      <c r="D42" s="48"/>
      <c r="E42" s="49">
        <f>'15W40'!E42</f>
        <v>173.5</v>
      </c>
      <c r="F42" s="48">
        <f>'15W40'!F42</f>
        <v>38</v>
      </c>
      <c r="G42" s="49">
        <f>F42*G4</f>
        <v>317.75600000000003</v>
      </c>
      <c r="H42" s="49">
        <v>8</v>
      </c>
      <c r="I42" s="55">
        <f t="shared" si="2"/>
        <v>156.98999999999995</v>
      </c>
      <c r="J42" s="56">
        <f t="shared" si="3"/>
        <v>0.76077568472798318</v>
      </c>
      <c r="K42" s="56">
        <f t="shared" si="0"/>
        <v>0.23922431527201682</v>
      </c>
      <c r="L42" s="48"/>
      <c r="M42" s="48"/>
      <c r="N42" s="49">
        <f>B42-'T6'!B42</f>
        <v>101.33600000000001</v>
      </c>
      <c r="O42" s="49">
        <f>C42-'T6'!E42</f>
        <v>86.33600000000007</v>
      </c>
      <c r="P42" s="48"/>
    </row>
    <row r="43" spans="1:16" ht="12.75" customHeight="1" x14ac:dyDescent="0.2">
      <c r="A43" s="48" t="s">
        <v>909</v>
      </c>
      <c r="B43" s="49">
        <f>'T6'!B43+('T6 Gallon'!G4-'T6'!I4)*'T6 Gallon'!F43+'T6 Gallon'!M4</f>
        <v>758.15000000000009</v>
      </c>
      <c r="C43" s="49">
        <f t="shared" si="5"/>
        <v>554.51480000000004</v>
      </c>
      <c r="D43" s="48"/>
      <c r="E43" s="49">
        <f>'15W40'!E43</f>
        <v>86.604800000000012</v>
      </c>
      <c r="F43" s="48">
        <f>'15W40'!F43</f>
        <v>55</v>
      </c>
      <c r="G43" s="49">
        <f>F43*G4</f>
        <v>459.91</v>
      </c>
      <c r="H43" s="49">
        <v>8</v>
      </c>
      <c r="I43" s="55">
        <f t="shared" si="2"/>
        <v>203.63520000000005</v>
      </c>
      <c r="J43" s="56">
        <f t="shared" si="3"/>
        <v>0.73140513091076964</v>
      </c>
      <c r="K43" s="56">
        <f t="shared" si="0"/>
        <v>0.26859486908923036</v>
      </c>
      <c r="L43" s="48"/>
      <c r="M43" s="48"/>
      <c r="N43" s="49">
        <f>B43-'T6'!B43</f>
        <v>149.96000000000004</v>
      </c>
      <c r="O43" s="49">
        <f>C43-'T6'!E43</f>
        <v>124.96000000000004</v>
      </c>
      <c r="P43" s="48"/>
    </row>
    <row r="44" spans="1:16" ht="12.75" customHeight="1" x14ac:dyDescent="0.2">
      <c r="A44" s="48" t="s">
        <v>910</v>
      </c>
      <c r="B44" s="49">
        <f>'T6'!B44+('T6 Gallon'!G4-'T6'!I4)*'T6 Gallon'!F44+'T6 Gallon'!M4</f>
        <v>831.15000000000009</v>
      </c>
      <c r="C44" s="49">
        <f t="shared" si="5"/>
        <v>641.41000000000008</v>
      </c>
      <c r="D44" s="48"/>
      <c r="E44" s="49">
        <f>'15W40'!E44</f>
        <v>173.5</v>
      </c>
      <c r="F44" s="48">
        <f>'15W40'!F44</f>
        <v>55</v>
      </c>
      <c r="G44" s="49">
        <f>F44*G4</f>
        <v>459.91</v>
      </c>
      <c r="H44" s="49">
        <v>8</v>
      </c>
      <c r="I44" s="55">
        <f t="shared" si="2"/>
        <v>189.74</v>
      </c>
      <c r="J44" s="56">
        <f t="shared" si="3"/>
        <v>0.77171389039282923</v>
      </c>
      <c r="K44" s="56">
        <f t="shared" si="0"/>
        <v>0.22828610960717077</v>
      </c>
      <c r="L44" s="48"/>
      <c r="M44" s="48"/>
      <c r="N44" s="49">
        <f>B44-'T6'!B44</f>
        <v>149.96000000000004</v>
      </c>
      <c r="O44" s="49">
        <f>C44-'T6'!E44</f>
        <v>124.96000000000004</v>
      </c>
      <c r="P44" s="48"/>
    </row>
    <row r="45" spans="1:16" ht="12.75" customHeight="1" x14ac:dyDescent="0.2">
      <c r="A45" s="48" t="s">
        <v>656</v>
      </c>
      <c r="B45" s="49">
        <f>'T6'!B45+('T6 Gallon'!G4-'T6'!I4)*'T6 Gallon'!F45+'T6 Gallon'!M2</f>
        <v>539.24599999999998</v>
      </c>
      <c r="C45" s="49">
        <f t="shared" si="5"/>
        <v>376.14000000000004</v>
      </c>
      <c r="D45" s="48"/>
      <c r="E45" s="49">
        <f>'15W40'!E45</f>
        <v>50.384</v>
      </c>
      <c r="F45" s="48">
        <f>'15W40'!F45</f>
        <v>38</v>
      </c>
      <c r="G45" s="49">
        <f>F45*G4</f>
        <v>317.75600000000003</v>
      </c>
      <c r="H45" s="49">
        <v>8</v>
      </c>
      <c r="I45" s="55">
        <f t="shared" si="2"/>
        <v>163.10599999999994</v>
      </c>
      <c r="J45" s="56">
        <f t="shared" si="3"/>
        <v>0.69752951343171776</v>
      </c>
      <c r="K45" s="56">
        <f t="shared" si="0"/>
        <v>0.30247048656828224</v>
      </c>
      <c r="L45" s="48"/>
      <c r="M45" s="48"/>
      <c r="N45" s="49">
        <f>B45-'T6'!B45</f>
        <v>101.33600000000001</v>
      </c>
      <c r="O45" s="49">
        <f>C45-'T6'!E45</f>
        <v>86.33600000000007</v>
      </c>
      <c r="P45" s="48"/>
    </row>
    <row r="46" spans="1:16" ht="12.75" customHeight="1" x14ac:dyDescent="0.2">
      <c r="A46" s="48" t="s">
        <v>657</v>
      </c>
      <c r="B46" s="49">
        <f>'T6'!B46+('T6 Gallon'!G4-'T6'!I4)*'T6 Gallon'!F46+'T6 Gallon'!M4</f>
        <v>686.81400000000008</v>
      </c>
      <c r="C46" s="49">
        <f t="shared" si="5"/>
        <v>493.20800000000003</v>
      </c>
      <c r="D46" s="48"/>
      <c r="E46" s="49">
        <f>'15W40'!E46</f>
        <v>50.384</v>
      </c>
      <c r="F46" s="48">
        <f>'15W40'!F46</f>
        <v>52</v>
      </c>
      <c r="G46" s="49">
        <f>F46*G4</f>
        <v>434.82400000000001</v>
      </c>
      <c r="H46" s="49">
        <v>8</v>
      </c>
      <c r="I46" s="55">
        <f t="shared" si="2"/>
        <v>193.60600000000005</v>
      </c>
      <c r="J46" s="56">
        <f t="shared" si="3"/>
        <v>0.71810999775776263</v>
      </c>
      <c r="K46" s="56">
        <f t="shared" si="0"/>
        <v>0.28189000224223737</v>
      </c>
      <c r="L46" s="48"/>
      <c r="M46" s="48"/>
      <c r="N46" s="49">
        <f>B46-'T6'!B46</f>
        <v>143.14400000000001</v>
      </c>
      <c r="O46" s="49">
        <f>C46-'T6'!E46</f>
        <v>118.14400000000001</v>
      </c>
      <c r="P46" s="48"/>
    </row>
    <row r="47" spans="1:16" x14ac:dyDescent="0.2">
      <c r="A47" s="48" t="s">
        <v>658</v>
      </c>
      <c r="B47" s="49">
        <f>'T6'!B47+('T6 Gallon'!G4-'T6'!I4)*'T6 Gallon'!F47+'T6 Gallon'!M2</f>
        <v>648.24599999999998</v>
      </c>
      <c r="C47" s="49">
        <f t="shared" si="5"/>
        <v>487.14600000000002</v>
      </c>
      <c r="D47" s="48"/>
      <c r="E47" s="49">
        <f>'15W40'!E47</f>
        <v>161.38999999999999</v>
      </c>
      <c r="F47" s="48">
        <f>'15W40'!F47</f>
        <v>38</v>
      </c>
      <c r="G47" s="49">
        <f>F47*G4</f>
        <v>317.75600000000003</v>
      </c>
      <c r="H47" s="49">
        <v>8</v>
      </c>
      <c r="I47" s="55">
        <f t="shared" si="2"/>
        <v>161.09999999999997</v>
      </c>
      <c r="J47" s="56">
        <f t="shared" si="3"/>
        <v>0.75148323321701949</v>
      </c>
      <c r="K47" s="56">
        <f t="shared" si="0"/>
        <v>0.24851676678298051</v>
      </c>
      <c r="L47" s="48"/>
      <c r="M47" s="48"/>
      <c r="N47" s="49">
        <f>B47-'T6'!B47</f>
        <v>101.33600000000001</v>
      </c>
      <c r="O47" s="49">
        <f>C47-'T6'!E47</f>
        <v>86.33600000000007</v>
      </c>
      <c r="P47" s="48"/>
    </row>
    <row r="48" spans="1:16" x14ac:dyDescent="0.2">
      <c r="A48" s="48" t="s">
        <v>659</v>
      </c>
      <c r="B48" s="49">
        <f>'T6'!B48+('T6 Gallon'!G4-'T6'!I4)*'T6 Gallon'!F48+'T6 Gallon'!M4</f>
        <v>798.81399999999996</v>
      </c>
      <c r="C48" s="49">
        <f t="shared" si="5"/>
        <v>604.21399999999994</v>
      </c>
      <c r="D48" s="48"/>
      <c r="E48" s="49">
        <f>'15W40'!E48</f>
        <v>161.38999999999999</v>
      </c>
      <c r="F48" s="48">
        <f>'15W40'!F48</f>
        <v>52</v>
      </c>
      <c r="G48" s="49">
        <f>F48*G4</f>
        <v>434.82400000000001</v>
      </c>
      <c r="H48" s="49">
        <v>8</v>
      </c>
      <c r="I48" s="55">
        <f t="shared" si="2"/>
        <v>194.60000000000002</v>
      </c>
      <c r="J48" s="56">
        <f t="shared" si="3"/>
        <v>0.75638884646488413</v>
      </c>
      <c r="K48" s="56">
        <f t="shared" si="0"/>
        <v>0.24361115353511587</v>
      </c>
      <c r="L48" s="48"/>
      <c r="M48" s="48"/>
      <c r="N48" s="49">
        <f>B48-'T6'!B48</f>
        <v>143.14400000000001</v>
      </c>
      <c r="O48" s="49">
        <f>C48-'T6'!E48</f>
        <v>118.14399999999995</v>
      </c>
      <c r="P48" s="48"/>
    </row>
    <row r="49" spans="1:16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L49" s="48"/>
      <c r="M49" s="48"/>
      <c r="N49" s="49"/>
      <c r="O49" s="49"/>
      <c r="P49" s="48"/>
    </row>
    <row r="50" spans="1:16" x14ac:dyDescent="0.2">
      <c r="A50" s="48" t="s">
        <v>660</v>
      </c>
      <c r="B50" s="49">
        <f>'T6'!B50+('T6 Gallon'!G4-'T6'!I4)*'T6 Gallon'!F50+'T6 Gallon'!M2</f>
        <v>607.90199999999993</v>
      </c>
      <c r="C50" s="49">
        <f t="shared" si="5"/>
        <v>448.09199999999998</v>
      </c>
      <c r="D50" s="48"/>
      <c r="E50" s="49">
        <f>'15W40'!E50</f>
        <v>222.68</v>
      </c>
      <c r="F50" s="48">
        <f>'15W40'!F50</f>
        <v>26</v>
      </c>
      <c r="G50" s="49">
        <f>F50*G4</f>
        <v>217.41200000000001</v>
      </c>
      <c r="H50" s="49">
        <v>8</v>
      </c>
      <c r="I50" s="55">
        <f t="shared" si="2"/>
        <v>159.80999999999995</v>
      </c>
      <c r="J50" s="56">
        <f t="shared" si="3"/>
        <v>0.73711223190580066</v>
      </c>
      <c r="K50" s="56">
        <f t="shared" si="0"/>
        <v>0.26288776809419934</v>
      </c>
      <c r="L50" s="48"/>
      <c r="M50" s="48"/>
      <c r="N50" s="49">
        <f>B50-'T6'!B50</f>
        <v>74.072000000000003</v>
      </c>
      <c r="O50" s="49">
        <f>C50-'T6'!E50</f>
        <v>59.072000000000003</v>
      </c>
      <c r="P50" s="48"/>
    </row>
    <row r="51" spans="1:16" x14ac:dyDescent="0.2">
      <c r="A51" s="48" t="s">
        <v>661</v>
      </c>
      <c r="B51" s="49">
        <f>'T6'!B51+('T6 Gallon'!G4-'T6'!I4)*'T6 Gallon'!F51+'T6 Gallon'!M2</f>
        <v>528.90200000000004</v>
      </c>
      <c r="C51" s="49">
        <f t="shared" si="5"/>
        <v>370.58799999999997</v>
      </c>
      <c r="D51" s="48"/>
      <c r="E51" s="49">
        <f>'15W40'!E51</f>
        <v>145.17599999999999</v>
      </c>
      <c r="F51" s="48">
        <f>'15W40'!F51</f>
        <v>26</v>
      </c>
      <c r="G51" s="49">
        <f>F51*G4</f>
        <v>217.41200000000001</v>
      </c>
      <c r="H51" s="49">
        <v>8</v>
      </c>
      <c r="I51" s="55">
        <f t="shared" si="2"/>
        <v>158.31400000000008</v>
      </c>
      <c r="J51" s="56">
        <f t="shared" si="3"/>
        <v>0.70067422698344861</v>
      </c>
      <c r="K51" s="56">
        <f t="shared" si="0"/>
        <v>0.29932577301655139</v>
      </c>
      <c r="L51" s="48"/>
      <c r="M51" s="48"/>
      <c r="N51" s="49">
        <f>B51-'T6'!B51</f>
        <v>74.07200000000006</v>
      </c>
      <c r="O51" s="49">
        <f>C51-'T6'!E51</f>
        <v>59.072000000000003</v>
      </c>
      <c r="P51" s="48"/>
    </row>
    <row r="52" spans="1:16" x14ac:dyDescent="0.2">
      <c r="A52" s="48" t="s">
        <v>662</v>
      </c>
      <c r="B52" s="49">
        <f>'T6'!B52+('T6 Gallon'!G4-'T6'!I4)*'T6 Gallon'!F52+'T6 Gallon'!M2</f>
        <v>656.24599999999998</v>
      </c>
      <c r="C52" s="49">
        <f t="shared" si="5"/>
        <v>490.44600000000003</v>
      </c>
      <c r="D52" s="48"/>
      <c r="E52" s="49">
        <f>'15W40'!E52</f>
        <v>164.69</v>
      </c>
      <c r="F52" s="48">
        <f>'15W40'!F52</f>
        <v>38</v>
      </c>
      <c r="G52" s="49">
        <f>F52*G4</f>
        <v>317.75600000000003</v>
      </c>
      <c r="H52" s="49">
        <v>8</v>
      </c>
      <c r="I52" s="55">
        <f t="shared" si="2"/>
        <v>165.79999999999995</v>
      </c>
      <c r="J52" s="56">
        <f t="shared" si="3"/>
        <v>0.74735084099560234</v>
      </c>
      <c r="K52" s="56">
        <f t="shared" si="0"/>
        <v>0.25264915900439766</v>
      </c>
      <c r="L52" s="48"/>
      <c r="M52" s="48"/>
      <c r="N52" s="49">
        <f>B52-'T6'!B52</f>
        <v>101.33600000000001</v>
      </c>
      <c r="O52" s="49">
        <f>C52-'T6'!E52</f>
        <v>86.336000000000013</v>
      </c>
      <c r="P52" s="48"/>
    </row>
    <row r="53" spans="1:16" x14ac:dyDescent="0.2">
      <c r="A53" s="48" t="s">
        <v>663</v>
      </c>
      <c r="B53" s="49">
        <f>'T6'!B53+('T6 Gallon'!G4-'T6'!I4)*'T6 Gallon'!F53+'T6 Gallon'!M2</f>
        <v>578.24599999999998</v>
      </c>
      <c r="C53" s="49">
        <f t="shared" si="5"/>
        <v>414.55920000000003</v>
      </c>
      <c r="D53" s="48"/>
      <c r="E53" s="49">
        <f>'15W40'!E53</f>
        <v>88.80319999999999</v>
      </c>
      <c r="F53" s="48">
        <f>'15W40'!F53</f>
        <v>38</v>
      </c>
      <c r="G53" s="49">
        <f>F53*G4</f>
        <v>317.75600000000003</v>
      </c>
      <c r="H53" s="49">
        <v>8</v>
      </c>
      <c r="I53" s="55">
        <f t="shared" si="2"/>
        <v>163.68679999999995</v>
      </c>
      <c r="J53" s="56">
        <f t="shared" si="3"/>
        <v>0.71692532244062224</v>
      </c>
      <c r="K53" s="56">
        <f t="shared" si="0"/>
        <v>0.28307467755937776</v>
      </c>
      <c r="L53" s="48"/>
      <c r="M53" s="48"/>
      <c r="N53" s="49">
        <f>B53-'T6'!B53</f>
        <v>101.33600000000001</v>
      </c>
      <c r="O53" s="49">
        <f>C53-'T6'!E53</f>
        <v>86.33600000000007</v>
      </c>
      <c r="P53" s="48"/>
    </row>
    <row r="54" spans="1:16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L54" s="48"/>
      <c r="M54" s="48"/>
      <c r="N54" s="49"/>
      <c r="O54" s="49"/>
      <c r="P54" s="48"/>
    </row>
    <row r="55" spans="1:16" x14ac:dyDescent="0.2">
      <c r="A55" s="48" t="s">
        <v>665</v>
      </c>
      <c r="B55" s="49">
        <f>'T6'!B55+('T6 Gallon'!G4-'T6'!I4)*'T6 Gallon'!F55+'T6 Gallon'!M4</f>
        <v>643.25400000000002</v>
      </c>
      <c r="C55" s="49">
        <f t="shared" ref="C55:C60" si="6">E55+G55+H55</f>
        <v>451.024</v>
      </c>
      <c r="D55" s="48"/>
      <c r="E55" s="49">
        <f>'15W40'!E55</f>
        <v>50.010000000000005</v>
      </c>
      <c r="F55" s="48">
        <f>'15W40'!F55</f>
        <v>47</v>
      </c>
      <c r="G55" s="49">
        <f>F55*G4</f>
        <v>393.01400000000001</v>
      </c>
      <c r="H55" s="49">
        <v>8</v>
      </c>
      <c r="I55" s="55">
        <f t="shared" si="2"/>
        <v>192.23000000000002</v>
      </c>
      <c r="J55" s="56">
        <f t="shared" si="3"/>
        <v>0.70116003942455074</v>
      </c>
      <c r="K55" s="56">
        <f t="shared" si="0"/>
        <v>0.29883996057544926</v>
      </c>
      <c r="L55" s="48"/>
      <c r="M55" s="48"/>
      <c r="N55" s="49">
        <f>B55-'T6'!B55</f>
        <v>131.78399999999999</v>
      </c>
      <c r="O55" s="49">
        <f>C55-'T6'!E55</f>
        <v>106.78399999999999</v>
      </c>
      <c r="P55" s="48"/>
    </row>
    <row r="56" spans="1:16" x14ac:dyDescent="0.2">
      <c r="A56" s="48" t="s">
        <v>666</v>
      </c>
      <c r="B56" s="49">
        <f>'T6'!B56+('T6 Gallon'!G4-'T6'!I4)*'T6 Gallon'!F56+'T6 Gallon'!M4</f>
        <v>621.25400000000002</v>
      </c>
      <c r="C56" s="49">
        <f t="shared" si="6"/>
        <v>442.4556</v>
      </c>
      <c r="D56" s="48"/>
      <c r="E56" s="49">
        <f>'15W40'!E56</f>
        <v>41.441600000000001</v>
      </c>
      <c r="F56" s="48">
        <f>'15W40'!F56</f>
        <v>47</v>
      </c>
      <c r="G56" s="49">
        <f>F56*G4</f>
        <v>393.01400000000001</v>
      </c>
      <c r="H56" s="49">
        <v>8</v>
      </c>
      <c r="I56" s="55">
        <f t="shared" si="2"/>
        <v>178.79840000000002</v>
      </c>
      <c r="J56" s="56">
        <f t="shared" si="3"/>
        <v>0.71219758746020145</v>
      </c>
      <c r="K56" s="56">
        <f t="shared" si="0"/>
        <v>0.28780241253979855</v>
      </c>
      <c r="L56" s="48"/>
      <c r="M56" s="48"/>
      <c r="N56" s="49">
        <f>B56-'T6'!B56</f>
        <v>131.78399999999999</v>
      </c>
      <c r="O56" s="49">
        <f>C56-'T6'!E56</f>
        <v>106.78399999999999</v>
      </c>
      <c r="P56" s="48"/>
    </row>
    <row r="57" spans="1:16" x14ac:dyDescent="0.2">
      <c r="A57" s="48" t="s">
        <v>667</v>
      </c>
      <c r="B57" s="49">
        <f>'T6'!B57+('T6 Gallon'!G4-'T6'!I4)*'T6 Gallon'!F57+'T6 Gallon'!M2</f>
        <v>451.90199999999999</v>
      </c>
      <c r="C57" s="49">
        <f t="shared" si="6"/>
        <v>272.96199999999999</v>
      </c>
      <c r="D57" s="48"/>
      <c r="E57" s="49">
        <f>'15W40'!E57</f>
        <v>47.55</v>
      </c>
      <c r="F57" s="48">
        <f>'15W40'!F57</f>
        <v>26</v>
      </c>
      <c r="G57" s="49">
        <f>F57*G4</f>
        <v>217.41200000000001</v>
      </c>
      <c r="H57" s="49">
        <v>8</v>
      </c>
      <c r="I57" s="55">
        <f t="shared" si="2"/>
        <v>178.94</v>
      </c>
      <c r="J57" s="56">
        <f t="shared" si="3"/>
        <v>0.60402919216998374</v>
      </c>
      <c r="K57" s="56">
        <f t="shared" si="0"/>
        <v>0.39597080783001626</v>
      </c>
      <c r="L57" s="48"/>
      <c r="M57" s="48"/>
      <c r="N57" s="49">
        <f>B57-'T6'!B57</f>
        <v>74.072000000000003</v>
      </c>
      <c r="O57" s="49">
        <f>C57-'T6'!E57</f>
        <v>59.072000000000003</v>
      </c>
      <c r="P57" s="48"/>
    </row>
    <row r="58" spans="1:16" x14ac:dyDescent="0.2">
      <c r="A58" s="48" t="s">
        <v>668</v>
      </c>
      <c r="B58" s="49">
        <f>'T6'!B58+('T6 Gallon'!G4-'T6'!I4)*'T6 Gallon'!F58+'T6 Gallon'!M2</f>
        <v>413.90199999999999</v>
      </c>
      <c r="C58" s="49">
        <f t="shared" si="6"/>
        <v>258.88800000000003</v>
      </c>
      <c r="D58" s="48"/>
      <c r="E58" s="49">
        <f>'15W40'!E58</f>
        <v>33.475999999999999</v>
      </c>
      <c r="F58" s="48">
        <f>'15W40'!F58</f>
        <v>26</v>
      </c>
      <c r="G58" s="49">
        <f>F58*G4</f>
        <v>217.41200000000001</v>
      </c>
      <c r="H58" s="49">
        <v>8</v>
      </c>
      <c r="I58" s="55">
        <f t="shared" si="2"/>
        <v>155.01399999999995</v>
      </c>
      <c r="J58" s="56">
        <f t="shared" si="3"/>
        <v>0.62548139414644055</v>
      </c>
      <c r="K58" s="56">
        <f t="shared" si="0"/>
        <v>0.37451860585355945</v>
      </c>
      <c r="L58" s="48"/>
      <c r="M58" s="48"/>
      <c r="N58" s="49">
        <f>B58-'T6'!B58</f>
        <v>74.072000000000003</v>
      </c>
      <c r="O58" s="49">
        <f>C58-'T6'!E58</f>
        <v>59.072000000000031</v>
      </c>
      <c r="P58" s="48"/>
    </row>
    <row r="59" spans="1:16" x14ac:dyDescent="0.2">
      <c r="A59" s="48" t="s">
        <v>669</v>
      </c>
      <c r="B59" s="49">
        <f>'T6'!B59+('T6 Gallon'!G4-'T6'!I4)*'T6 Gallon'!F59+'T6 Gallon'!M1</f>
        <v>360.50199999999995</v>
      </c>
      <c r="C59" s="49">
        <f t="shared" si="6"/>
        <v>141.792</v>
      </c>
      <c r="D59" s="48"/>
      <c r="E59" s="49">
        <f>'15W40'!E59</f>
        <v>0</v>
      </c>
      <c r="F59" s="48">
        <v>16</v>
      </c>
      <c r="G59" s="49">
        <f>F59*G4</f>
        <v>133.792</v>
      </c>
      <c r="H59" s="49">
        <v>8</v>
      </c>
      <c r="I59" s="55">
        <f t="shared" si="2"/>
        <v>218.70999999999995</v>
      </c>
      <c r="J59" s="56">
        <f t="shared" si="3"/>
        <v>0.39331820627902209</v>
      </c>
      <c r="K59" s="56">
        <f t="shared" si="0"/>
        <v>0.60668179372097786</v>
      </c>
      <c r="L59" s="48"/>
      <c r="M59" s="48"/>
      <c r="N59" s="49">
        <f>B59-'T6'!B59</f>
        <v>46.351999999999975</v>
      </c>
      <c r="O59" s="49">
        <f>C59-'T6'!E59</f>
        <v>-12.367999999999995</v>
      </c>
      <c r="P59" s="48"/>
    </row>
    <row r="60" spans="1:16" x14ac:dyDescent="0.2">
      <c r="A60" s="48" t="s">
        <v>691</v>
      </c>
      <c r="B60" s="49">
        <f>'T6'!B60+('T6 Gallon'!G4-'T6'!I4)*'T6 Gallon'!F60+'T6 Gallon'!M1</f>
        <v>323.44599999999997</v>
      </c>
      <c r="C60" s="49">
        <f t="shared" si="6"/>
        <v>189.94600000000003</v>
      </c>
      <c r="D60" s="48"/>
      <c r="E60" s="49">
        <f>'15W40'!E60</f>
        <v>73.240000000000009</v>
      </c>
      <c r="F60" s="48">
        <f>'15W40'!F60</f>
        <v>13</v>
      </c>
      <c r="G60" s="49">
        <f>F60*G4</f>
        <v>108.706</v>
      </c>
      <c r="H60" s="49">
        <v>8</v>
      </c>
      <c r="I60" s="55">
        <f t="shared" si="2"/>
        <v>133.49999999999994</v>
      </c>
      <c r="J60" s="56">
        <f t="shared" si="3"/>
        <v>0.58725722377151068</v>
      </c>
      <c r="K60" s="56">
        <f t="shared" si="0"/>
        <v>0.41274277622848932</v>
      </c>
      <c r="L60" s="48"/>
      <c r="M60" s="48"/>
      <c r="N60" s="49">
        <f>B60-'T6'!B60</f>
        <v>39.536000000000001</v>
      </c>
      <c r="O60" s="49">
        <f>C60-'T6'!E60</f>
        <v>29.536000000000001</v>
      </c>
      <c r="P60" s="48"/>
    </row>
    <row r="61" spans="1:16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L61" s="48"/>
      <c r="M61" s="48"/>
      <c r="N61" s="49"/>
      <c r="O61" s="49"/>
      <c r="P61" s="48"/>
    </row>
    <row r="62" spans="1:16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L62" s="48"/>
      <c r="M62" s="48"/>
      <c r="N62" s="49"/>
      <c r="O62" s="49"/>
      <c r="P62" s="48"/>
    </row>
    <row r="63" spans="1:16" x14ac:dyDescent="0.2">
      <c r="A63" s="48" t="s">
        <v>673</v>
      </c>
      <c r="B63" s="49">
        <f>'T6'!B63+('T6 Gallon'!G4-'T6'!I4)*'T6 Gallon'!F63+'T6 Gallon'!M2</f>
        <v>418.90199999999999</v>
      </c>
      <c r="C63" s="49">
        <f>E63+G63+H63</f>
        <v>263.4384</v>
      </c>
      <c r="D63" s="48"/>
      <c r="E63" s="49">
        <f>'15W40'!E63</f>
        <v>38.026400000000002</v>
      </c>
      <c r="F63" s="48">
        <f>'15W40'!F63</f>
        <v>26</v>
      </c>
      <c r="G63" s="49">
        <f>F63*G4</f>
        <v>217.41200000000001</v>
      </c>
      <c r="H63" s="49">
        <v>8</v>
      </c>
      <c r="I63" s="55">
        <f t="shared" si="2"/>
        <v>155.46359999999999</v>
      </c>
      <c r="J63" s="56">
        <f t="shared" si="3"/>
        <v>0.62887835340962805</v>
      </c>
      <c r="K63" s="56">
        <f t="shared" si="0"/>
        <v>0.37112164659037195</v>
      </c>
      <c r="L63" s="48"/>
      <c r="M63" s="48"/>
      <c r="N63" s="49">
        <f>B63-'T6'!B63</f>
        <v>74.072000000000003</v>
      </c>
      <c r="O63" s="49">
        <f>C63-'T6'!E63</f>
        <v>59.072000000000003</v>
      </c>
      <c r="P63" s="48"/>
    </row>
    <row r="64" spans="1:16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L64" s="48"/>
      <c r="M64" s="48"/>
      <c r="N64" s="49"/>
      <c r="O64" s="49"/>
      <c r="P64" s="48"/>
    </row>
    <row r="65" spans="1:16" x14ac:dyDescent="0.2">
      <c r="A65" s="48" t="s">
        <v>674</v>
      </c>
      <c r="B65" s="49">
        <f>'T6'!B65+('T6 Gallon'!G4-'T6'!I4)*'T6 Gallon'!F65+'T6 Gallon'!M3</f>
        <v>728.14200000000005</v>
      </c>
      <c r="C65" s="49">
        <f>E65+G65+H65</f>
        <v>554.702</v>
      </c>
      <c r="D65" s="48"/>
      <c r="E65" s="49">
        <f>'15W40'!E65</f>
        <v>162.05000000000001</v>
      </c>
      <c r="F65" s="48">
        <f>'15W40'!F65</f>
        <v>46</v>
      </c>
      <c r="G65" s="49">
        <f>F65*G4</f>
        <v>384.65199999999999</v>
      </c>
      <c r="H65" s="49">
        <v>8</v>
      </c>
      <c r="I65" s="55">
        <f t="shared" si="2"/>
        <v>173.44000000000005</v>
      </c>
      <c r="J65" s="56">
        <f t="shared" si="3"/>
        <v>0.7618047029288243</v>
      </c>
      <c r="K65" s="56">
        <f t="shared" si="0"/>
        <v>0.2381952970711757</v>
      </c>
      <c r="L65" s="48"/>
      <c r="M65" s="48"/>
      <c r="N65" s="49">
        <f>B65-'T6'!B65</f>
        <v>124.51200000000006</v>
      </c>
      <c r="O65" s="49">
        <f>C65-'T6'!E65</f>
        <v>104.512</v>
      </c>
      <c r="P65" s="48"/>
    </row>
    <row r="66" spans="1:16" x14ac:dyDescent="0.2">
      <c r="A66" s="48" t="s">
        <v>675</v>
      </c>
      <c r="B66" s="49">
        <f>'T6'!B66+('T6 Gallon'!G4-'T6'!I4)*'T6 Gallon'!F66+'T6 Gallon'!M3</f>
        <v>649.14200000000005</v>
      </c>
      <c r="C66" s="49">
        <f>E66+G66+H66</f>
        <v>472.49919999999997</v>
      </c>
      <c r="D66" s="48"/>
      <c r="E66" s="49">
        <f>'15W40'!E66</f>
        <v>79.847200000000001</v>
      </c>
      <c r="F66" s="48">
        <f>'15W40'!F66</f>
        <v>46</v>
      </c>
      <c r="G66" s="49">
        <f>F66*G4</f>
        <v>384.65199999999999</v>
      </c>
      <c r="H66" s="49">
        <v>8</v>
      </c>
      <c r="I66" s="55">
        <f t="shared" si="2"/>
        <v>176.64280000000008</v>
      </c>
      <c r="J66" s="56">
        <f t="shared" si="3"/>
        <v>0.72788265125350071</v>
      </c>
      <c r="K66" s="56">
        <f t="shared" si="0"/>
        <v>0.27211734874649929</v>
      </c>
      <c r="L66" s="48"/>
      <c r="M66" s="48"/>
      <c r="N66" s="49">
        <f>B66-'T6'!B66</f>
        <v>124.51200000000006</v>
      </c>
      <c r="O66" s="49">
        <f>C66-'T6'!E66</f>
        <v>104.512</v>
      </c>
      <c r="P66" s="48"/>
    </row>
    <row r="67" spans="1:16" x14ac:dyDescent="0.2">
      <c r="A67" s="48" t="s">
        <v>676</v>
      </c>
      <c r="B67" s="49">
        <f>'T6'!B67+('T6 Gallon'!G4-'T6'!I4)*'T6 Gallon'!F67+'T6 Gallon'!M2</f>
        <v>393.678</v>
      </c>
      <c r="C67" s="49">
        <f>E67+G67+H67</f>
        <v>235.37599999999998</v>
      </c>
      <c r="D67" s="48"/>
      <c r="E67" s="49">
        <f>'15W40'!E67</f>
        <v>26.688000000000002</v>
      </c>
      <c r="F67" s="48">
        <f>'15W40'!F67</f>
        <v>24</v>
      </c>
      <c r="G67" s="49">
        <f>F67*G4</f>
        <v>200.68799999999999</v>
      </c>
      <c r="H67" s="49">
        <v>8</v>
      </c>
      <c r="I67" s="55">
        <f t="shared" si="2"/>
        <v>158.30200000000002</v>
      </c>
      <c r="J67" s="56">
        <f t="shared" si="3"/>
        <v>0.59788964585270188</v>
      </c>
      <c r="K67" s="56">
        <f t="shared" si="0"/>
        <v>0.40211035414729812</v>
      </c>
      <c r="L67" s="48"/>
      <c r="M67" s="48"/>
      <c r="N67" s="49">
        <f>B67-'T6'!B67</f>
        <v>69.52800000000002</v>
      </c>
      <c r="O67" s="49">
        <f>C67-'T6'!E67</f>
        <v>54.527999999999963</v>
      </c>
      <c r="P67" s="48"/>
    </row>
    <row r="68" spans="1:16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L68" s="48"/>
      <c r="M68" s="48"/>
      <c r="N68" s="49"/>
      <c r="O68" s="49"/>
      <c r="P68" s="48"/>
    </row>
    <row r="69" spans="1:16" x14ac:dyDescent="0.2">
      <c r="A69" s="48" t="s">
        <v>677</v>
      </c>
      <c r="B69" s="49">
        <f>'T6'!B69+('T6 Gallon'!G4-'T6'!I4)*'T6 Gallon'!F69+'T6 Gallon'!M2</f>
        <v>550.798</v>
      </c>
      <c r="C69" s="49">
        <f t="shared" ref="C69:C74" si="7">E69+G69+H69</f>
        <v>378.9128</v>
      </c>
      <c r="D69" s="48"/>
      <c r="E69" s="49">
        <f>'15W40'!E69</f>
        <v>86.604800000000012</v>
      </c>
      <c r="F69" s="48">
        <f>'15W40'!F69</f>
        <v>34</v>
      </c>
      <c r="G69" s="49">
        <f>F69*G4</f>
        <v>284.30799999999999</v>
      </c>
      <c r="H69" s="49">
        <v>8</v>
      </c>
      <c r="I69" s="55">
        <f t="shared" si="2"/>
        <v>171.8852</v>
      </c>
      <c r="J69" s="56">
        <f t="shared" si="3"/>
        <v>0.68793423360288164</v>
      </c>
      <c r="K69" s="56">
        <f t="shared" si="0"/>
        <v>0.31206576639711836</v>
      </c>
      <c r="L69" s="48"/>
      <c r="M69" s="48"/>
      <c r="N69" s="49">
        <f>B69-'T6'!B69</f>
        <v>92.24799999999999</v>
      </c>
      <c r="O69" s="49">
        <f>C69-'T6'!E69</f>
        <v>77.24799999999999</v>
      </c>
      <c r="P69" s="48"/>
    </row>
    <row r="70" spans="1:16" x14ac:dyDescent="0.2">
      <c r="A70" s="48" t="s">
        <v>678</v>
      </c>
      <c r="B70" s="49">
        <f>'T6'!B70+('T6 Gallon'!G4-'T6'!I4)*'T6 Gallon'!F70+'T6 Gallon'!M3</f>
        <v>632.69399999999996</v>
      </c>
      <c r="C70" s="49">
        <f t="shared" si="7"/>
        <v>445.80880000000002</v>
      </c>
      <c r="D70" s="48"/>
      <c r="E70" s="49">
        <f>'15W40'!E70</f>
        <v>86.604800000000012</v>
      </c>
      <c r="F70" s="48">
        <f>'15W40'!F70</f>
        <v>42</v>
      </c>
      <c r="G70" s="49">
        <f>F70*G4</f>
        <v>351.20400000000001</v>
      </c>
      <c r="H70" s="49">
        <v>8</v>
      </c>
      <c r="I70" s="55">
        <f t="shared" si="2"/>
        <v>186.88519999999994</v>
      </c>
      <c r="J70" s="56">
        <f t="shared" si="3"/>
        <v>0.70461992685247532</v>
      </c>
      <c r="K70" s="56">
        <f t="shared" si="0"/>
        <v>0.29538007314752468</v>
      </c>
      <c r="L70" s="48"/>
      <c r="M70" s="48"/>
      <c r="N70" s="49">
        <f>B70-'T6'!B70</f>
        <v>115.42399999999998</v>
      </c>
      <c r="O70" s="49">
        <f>C70-'T6'!E70</f>
        <v>95.423999999999978</v>
      </c>
      <c r="P70" s="48"/>
    </row>
    <row r="71" spans="1:16" x14ac:dyDescent="0.2">
      <c r="A71" s="48" t="s">
        <v>679</v>
      </c>
      <c r="B71" s="49">
        <f>'T6'!B71+('T6 Gallon'!G4-'T6'!I4)*'T6 Gallon'!F71+'T6 Gallon'!M4</f>
        <v>733.81399999999996</v>
      </c>
      <c r="C71" s="49">
        <f t="shared" si="7"/>
        <v>529.42880000000002</v>
      </c>
      <c r="D71" s="48"/>
      <c r="E71" s="49">
        <f>'15W40'!E71</f>
        <v>86.604800000000012</v>
      </c>
      <c r="F71" s="48">
        <f>'15W40'!F71</f>
        <v>52</v>
      </c>
      <c r="G71" s="49">
        <f>F71*G4</f>
        <v>434.82400000000001</v>
      </c>
      <c r="H71" s="49">
        <v>8</v>
      </c>
      <c r="I71" s="55">
        <f t="shared" si="2"/>
        <v>204.38519999999994</v>
      </c>
      <c r="J71" s="56">
        <f t="shared" si="3"/>
        <v>0.72147546926060291</v>
      </c>
      <c r="K71" s="56">
        <f t="shared" si="0"/>
        <v>0.27852453073939709</v>
      </c>
      <c r="L71" s="48"/>
      <c r="M71" s="48"/>
      <c r="N71" s="49">
        <f>B71-'T6'!B71</f>
        <v>143.14400000000001</v>
      </c>
      <c r="O71" s="49">
        <f>C71-'T6'!E71</f>
        <v>118.14400000000001</v>
      </c>
      <c r="P71" s="48"/>
    </row>
    <row r="72" spans="1:16" x14ac:dyDescent="0.2">
      <c r="A72" s="48" t="s">
        <v>680</v>
      </c>
      <c r="B72" s="49">
        <f>'T6'!B72+('T6 Gallon'!G4-'T6'!I4)*'T6 Gallon'!F72+'T6 Gallon'!M2</f>
        <v>619.798</v>
      </c>
      <c r="C72" s="49">
        <f t="shared" si="7"/>
        <v>458.59799999999996</v>
      </c>
      <c r="D72" s="48"/>
      <c r="E72" s="49">
        <f>'15W40'!E72</f>
        <v>166.29</v>
      </c>
      <c r="F72" s="48">
        <f>'15W40'!F72</f>
        <v>34</v>
      </c>
      <c r="G72" s="49">
        <f>F72*G4</f>
        <v>284.30799999999999</v>
      </c>
      <c r="H72" s="49">
        <v>8</v>
      </c>
      <c r="I72" s="55">
        <f t="shared" si="2"/>
        <v>161.20000000000005</v>
      </c>
      <c r="J72" s="56">
        <f t="shared" si="3"/>
        <v>0.73991526271462627</v>
      </c>
      <c r="K72" s="56">
        <f t="shared" si="0"/>
        <v>0.26008473728537373</v>
      </c>
      <c r="L72" s="48"/>
      <c r="M72" s="48"/>
      <c r="N72" s="49">
        <f>B72-'T6'!B72</f>
        <v>92.248000000000047</v>
      </c>
      <c r="O72" s="49">
        <f>C72-'T6'!E72</f>
        <v>77.247999999999934</v>
      </c>
      <c r="P72" s="48"/>
    </row>
    <row r="73" spans="1:16" x14ac:dyDescent="0.2">
      <c r="A73" s="48" t="s">
        <v>681</v>
      </c>
      <c r="B73" s="49">
        <f>'T6'!B73+('T6 Gallon'!G4-'T6'!I4)*'T6 Gallon'!F73+'T6 Gallon'!M3</f>
        <v>702.69399999999996</v>
      </c>
      <c r="C73" s="49">
        <f t="shared" si="7"/>
        <v>525.49400000000003</v>
      </c>
      <c r="D73" s="48"/>
      <c r="E73" s="49">
        <f>'15W40'!E73</f>
        <v>166.29</v>
      </c>
      <c r="F73" s="48">
        <f>'15W40'!F73</f>
        <v>42</v>
      </c>
      <c r="G73" s="49">
        <f>F73*G4</f>
        <v>351.20400000000001</v>
      </c>
      <c r="H73" s="49">
        <v>8</v>
      </c>
      <c r="I73" s="55">
        <f t="shared" si="2"/>
        <v>177.19999999999993</v>
      </c>
      <c r="J73" s="56">
        <f t="shared" si="3"/>
        <v>0.74782764617315656</v>
      </c>
      <c r="K73" s="56">
        <f t="shared" si="0"/>
        <v>0.25217235382684344</v>
      </c>
      <c r="L73" s="48"/>
      <c r="M73" s="48"/>
      <c r="N73" s="49">
        <f>B73-'T6'!B73</f>
        <v>115.42399999999998</v>
      </c>
      <c r="O73" s="49">
        <f>C73-'T6'!E73</f>
        <v>95.424000000000035</v>
      </c>
      <c r="P73" s="48"/>
    </row>
    <row r="74" spans="1:16" x14ac:dyDescent="0.2">
      <c r="A74" s="48" t="s">
        <v>682</v>
      </c>
      <c r="B74" s="49">
        <f>'T6'!B74+('T6 Gallon'!G4-'T6'!I4)*'T6 Gallon'!F74+'T6 Gallon'!M4</f>
        <v>801.81399999999996</v>
      </c>
      <c r="C74" s="49">
        <f t="shared" si="7"/>
        <v>609.11400000000003</v>
      </c>
      <c r="D74" s="48"/>
      <c r="E74" s="49">
        <f>'15W40'!E74</f>
        <v>166.29</v>
      </c>
      <c r="F74" s="48">
        <f>'15W40'!F74</f>
        <v>52</v>
      </c>
      <c r="G74" s="49">
        <f>F74*G4</f>
        <v>434.82400000000001</v>
      </c>
      <c r="H74" s="49">
        <v>8</v>
      </c>
      <c r="I74" s="55">
        <f t="shared" si="2"/>
        <v>192.69999999999993</v>
      </c>
      <c r="J74" s="56">
        <f t="shared" si="3"/>
        <v>0.75966994839202118</v>
      </c>
      <c r="K74" s="56">
        <f t="shared" ref="K74" si="8">1-J74</f>
        <v>0.24033005160797882</v>
      </c>
      <c r="L74" s="48"/>
      <c r="M74" s="48"/>
      <c r="N74" s="49">
        <f>B74-'T6'!B74</f>
        <v>143.14400000000001</v>
      </c>
      <c r="O74" s="49">
        <f>C74-'T6'!E74</f>
        <v>118.14400000000001</v>
      </c>
      <c r="P74" s="48"/>
    </row>
    <row r="75" spans="1:16" ht="12.75" customHeight="1" x14ac:dyDescent="0.2">
      <c r="B75" s="50"/>
      <c r="N75" s="48"/>
    </row>
    <row r="76" spans="1:16" ht="12.75" customHeight="1" x14ac:dyDescent="0.2">
      <c r="B76" s="50"/>
      <c r="N76" s="48"/>
    </row>
    <row r="77" spans="1:16" ht="12.75" customHeight="1" x14ac:dyDescent="0.2">
      <c r="B77" s="50"/>
      <c r="N77" s="48"/>
    </row>
    <row r="78" spans="1:16" ht="12.75" customHeight="1" x14ac:dyDescent="0.2">
      <c r="B78" s="50"/>
      <c r="N78" s="48"/>
    </row>
    <row r="79" spans="1:16" ht="12.75" customHeight="1" x14ac:dyDescent="0.2">
      <c r="B79" s="50"/>
      <c r="N79" s="48"/>
    </row>
    <row r="80" spans="1:16" ht="12.75" customHeight="1" x14ac:dyDescent="0.2">
      <c r="B80" s="50"/>
      <c r="N80" s="48"/>
    </row>
    <row r="81" spans="2:14" ht="12.75" customHeight="1" x14ac:dyDescent="0.2">
      <c r="B81" s="50"/>
      <c r="N81" s="48"/>
    </row>
    <row r="82" spans="2:14" ht="12.75" customHeight="1" x14ac:dyDescent="0.2">
      <c r="B82" s="50"/>
      <c r="N82" s="48"/>
    </row>
    <row r="83" spans="2:14" ht="12.75" customHeight="1" x14ac:dyDescent="0.2">
      <c r="B83" s="50"/>
      <c r="N83" s="48"/>
    </row>
    <row r="84" spans="2:14" ht="12.75" customHeight="1" x14ac:dyDescent="0.2">
      <c r="B84" s="50"/>
      <c r="N84" s="48"/>
    </row>
    <row r="85" spans="2:14" ht="12.75" customHeight="1" x14ac:dyDescent="0.2">
      <c r="B85" s="50"/>
      <c r="N85" s="48"/>
    </row>
    <row r="86" spans="2:14" ht="12.75" customHeight="1" x14ac:dyDescent="0.2">
      <c r="N86" s="48"/>
    </row>
    <row r="87" spans="2:14" ht="12.75" customHeight="1" x14ac:dyDescent="0.2">
      <c r="N87" s="48"/>
    </row>
    <row r="88" spans="2:14" ht="12.75" customHeight="1" x14ac:dyDescent="0.2">
      <c r="N88" s="48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zoomScale="120" zoomScaleNormal="120" workbookViewId="0">
      <pane ySplit="4" topLeftCell="A5" activePane="bottomLeft" state="frozen"/>
      <selection pane="bottomLeft" activeCell="G25" sqref="G25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140625" style="46" customWidth="1"/>
    <col min="13" max="13" width="4.7109375" style="46" customWidth="1"/>
    <col min="14" max="14" width="8.140625" style="46" customWidth="1"/>
    <col min="15" max="16384" width="9.140625" style="46"/>
  </cols>
  <sheetData>
    <row r="1" spans="1:16" ht="12.75" customHeight="1" x14ac:dyDescent="0.2">
      <c r="A1" s="46" t="s">
        <v>625</v>
      </c>
      <c r="B1" s="47" t="s">
        <v>699</v>
      </c>
      <c r="G1" s="50">
        <f>'Oil Price'!C29</f>
        <v>6.79</v>
      </c>
      <c r="H1" s="50">
        <v>0.1</v>
      </c>
      <c r="L1" s="48" t="s">
        <v>693</v>
      </c>
      <c r="M1" s="389">
        <v>30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9">
        <v>50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389">
        <v>60</v>
      </c>
      <c r="N3" s="48" t="s">
        <v>1250</v>
      </c>
      <c r="O3" s="48" t="s">
        <v>1251</v>
      </c>
      <c r="P3" s="48"/>
    </row>
    <row r="4" spans="1:16" ht="12.75" customHeight="1" x14ac:dyDescent="0.2">
      <c r="G4" s="50">
        <f>G1+H1</f>
        <v>6.89</v>
      </c>
      <c r="H4" s="50"/>
      <c r="J4" s="46">
        <v>1</v>
      </c>
      <c r="L4" s="48" t="s">
        <v>696</v>
      </c>
      <c r="M4" s="389">
        <v>70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8">
        <f>'15W40'!B6+('Delo 5W30'!G4-'15W40'!G4)*'Delo 5W30'!F6+'Delo 5W30'!M2</f>
        <v>381.99</v>
      </c>
      <c r="C6" s="49">
        <f>E6+G6+H6</f>
        <v>233.54000000000002</v>
      </c>
      <c r="D6" s="48"/>
      <c r="E6" s="49">
        <f>'15W40'!E6</f>
        <v>53.290000000000006</v>
      </c>
      <c r="F6" s="48">
        <f>'15W40'!F6</f>
        <v>25</v>
      </c>
      <c r="G6" s="49">
        <f>F6*G4</f>
        <v>172.25</v>
      </c>
      <c r="H6" s="49">
        <v>8</v>
      </c>
      <c r="I6" s="55">
        <f>B6-C6</f>
        <v>148.44999999999999</v>
      </c>
      <c r="J6" s="56">
        <f>C6/B6</f>
        <v>0.61137726118484781</v>
      </c>
      <c r="K6" s="56">
        <f>1-J6</f>
        <v>0.38862273881515219</v>
      </c>
      <c r="N6" s="48"/>
      <c r="O6" s="48"/>
      <c r="P6" s="48"/>
    </row>
    <row r="7" spans="1:16" ht="12.75" customHeight="1" x14ac:dyDescent="0.2">
      <c r="A7" s="48" t="s">
        <v>633</v>
      </c>
      <c r="B7" s="48">
        <f>'15W40'!B7+('Delo 5W30'!G4-'15W40'!G4)*'Delo 5W30'!F7+'Delo 5W30'!M2</f>
        <v>359.99</v>
      </c>
      <c r="C7" s="49">
        <f>E7+G7+H7</f>
        <v>202.04919999999998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172.25</v>
      </c>
      <c r="H7" s="49">
        <v>8</v>
      </c>
      <c r="I7" s="55">
        <f>B7-C7</f>
        <v>157.94080000000002</v>
      </c>
      <c r="J7" s="56">
        <f>C7/B7</f>
        <v>0.56126336842690072</v>
      </c>
      <c r="K7" s="56">
        <f t="shared" ref="K7:K73" si="0">1-J7</f>
        <v>0.43873663157309928</v>
      </c>
      <c r="N7" s="48"/>
      <c r="O7" s="48"/>
      <c r="P7" s="48"/>
    </row>
    <row r="8" spans="1:16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N8" s="48"/>
      <c r="O8" s="48"/>
      <c r="P8" s="48"/>
    </row>
    <row r="9" spans="1:16" ht="12.75" customHeight="1" x14ac:dyDescent="0.2">
      <c r="A9" s="48" t="s">
        <v>634</v>
      </c>
      <c r="B9" s="48">
        <f>'15W40'!B9+('Delo 5W30'!G4-'15W40'!G4)*'Delo 5W30'!F9+'Delo 5W30'!M2</f>
        <v>485.31</v>
      </c>
      <c r="C9" s="49">
        <f>E9+G9+H9</f>
        <v>340.4</v>
      </c>
      <c r="D9" s="48"/>
      <c r="E9" s="49">
        <f>'15W40'!E9</f>
        <v>70.58</v>
      </c>
      <c r="F9" s="48">
        <f>'15W40'!F9</f>
        <v>38</v>
      </c>
      <c r="G9" s="49">
        <f>F9*G4</f>
        <v>261.82</v>
      </c>
      <c r="H9" s="49">
        <v>8</v>
      </c>
      <c r="I9" s="55">
        <f>B9-C9</f>
        <v>144.91000000000003</v>
      </c>
      <c r="J9" s="56">
        <f>C9/B9</f>
        <v>0.701407347880736</v>
      </c>
      <c r="K9" s="56">
        <f t="shared" si="0"/>
        <v>0.298592652119264</v>
      </c>
      <c r="N9" s="48"/>
      <c r="O9" s="48"/>
      <c r="P9" s="48"/>
    </row>
    <row r="10" spans="1:16" ht="12.75" customHeight="1" x14ac:dyDescent="0.2">
      <c r="A10" s="48" t="s">
        <v>635</v>
      </c>
      <c r="B10" s="48">
        <f>'15W40'!B10+('Delo 5W30'!G4-'15W40'!G4)*'Delo 5W30'!F10+'Delo 5W30'!M2</f>
        <v>444.31</v>
      </c>
      <c r="C10" s="49">
        <f>E10+G10+H10</f>
        <v>300.8648</v>
      </c>
      <c r="D10" s="48"/>
      <c r="E10" s="49">
        <f>'15W40'!E10</f>
        <v>31.044799999999999</v>
      </c>
      <c r="F10" s="48">
        <f>'15W40'!F10</f>
        <v>38</v>
      </c>
      <c r="G10" s="49">
        <f>F10*G4</f>
        <v>261.82</v>
      </c>
      <c r="H10" s="49">
        <v>8</v>
      </c>
      <c r="I10" s="55">
        <f>B10-C10</f>
        <v>143.4452</v>
      </c>
      <c r="J10" s="56">
        <f>C10/B10</f>
        <v>0.67715063806801556</v>
      </c>
      <c r="K10" s="56">
        <f t="shared" si="0"/>
        <v>0.32284936193198444</v>
      </c>
      <c r="N10" s="48"/>
      <c r="O10" s="48"/>
      <c r="P10" s="48"/>
    </row>
    <row r="11" spans="1:16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N11" s="48"/>
      <c r="O11" s="48"/>
      <c r="P11" s="48"/>
    </row>
    <row r="12" spans="1:16" ht="12.75" customHeight="1" x14ac:dyDescent="0.2">
      <c r="A12" s="48" t="s">
        <v>637</v>
      </c>
      <c r="B12" s="48">
        <f>'15W40'!B12+('Delo 5W30'!G4-'15W40'!G4)*'Delo 5W30'!F12+'Delo 5W30'!M3</f>
        <v>528.51</v>
      </c>
      <c r="C12" s="49">
        <f>E12+G12+H12</f>
        <v>374.84999999999997</v>
      </c>
      <c r="D12" s="48"/>
      <c r="E12" s="49">
        <f>'15W40'!E12</f>
        <v>70.58</v>
      </c>
      <c r="F12" s="48">
        <f>'15W40'!F12</f>
        <v>43</v>
      </c>
      <c r="G12" s="49">
        <f>F12*G4</f>
        <v>296.27</v>
      </c>
      <c r="H12" s="49">
        <v>8</v>
      </c>
      <c r="I12" s="55">
        <f>B12-C12</f>
        <v>153.66000000000003</v>
      </c>
      <c r="J12" s="56">
        <f>C12/B12</f>
        <v>0.70925810296872338</v>
      </c>
      <c r="K12" s="56">
        <f t="shared" si="0"/>
        <v>0.29074189703127662</v>
      </c>
      <c r="N12" s="48"/>
      <c r="O12" s="48"/>
      <c r="P12" s="48"/>
    </row>
    <row r="13" spans="1:16" ht="12.75" customHeight="1" x14ac:dyDescent="0.2">
      <c r="A13" s="48" t="s">
        <v>638</v>
      </c>
      <c r="B13" s="48">
        <f>'15W40'!B13+('Delo 5W30'!G4-'15W40'!G4)*'Delo 5W30'!F13+'Delo 5W30'!M3</f>
        <v>487.51</v>
      </c>
      <c r="C13" s="49">
        <f>E13+G13+H13</f>
        <v>335.31479999999999</v>
      </c>
      <c r="D13" s="48"/>
      <c r="E13" s="49">
        <f>'15W40'!E13</f>
        <v>31.044799999999999</v>
      </c>
      <c r="F13" s="48">
        <f>'15W40'!F13</f>
        <v>43</v>
      </c>
      <c r="G13" s="49">
        <f>F13*G4</f>
        <v>296.27</v>
      </c>
      <c r="H13" s="49">
        <v>8</v>
      </c>
      <c r="I13" s="55">
        <f>B13-C13</f>
        <v>152.1952</v>
      </c>
      <c r="J13" s="56">
        <f>C13/B13</f>
        <v>0.68781112182314208</v>
      </c>
      <c r="K13" s="56">
        <f t="shared" si="0"/>
        <v>0.31218887817685792</v>
      </c>
      <c r="N13" s="48"/>
      <c r="O13" s="48"/>
      <c r="P13" s="48"/>
    </row>
    <row r="14" spans="1:16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N14" s="48"/>
      <c r="O14" s="48"/>
      <c r="P14" s="48"/>
    </row>
    <row r="15" spans="1:16" ht="12.75" customHeight="1" x14ac:dyDescent="0.2">
      <c r="A15" s="48" t="s">
        <v>639</v>
      </c>
      <c r="B15" s="48">
        <f>'15W40'!B15+('Delo 5W30'!G4-'15W40'!G4)*'Delo 5W30'!F15+'Delo 5W30'!M3</f>
        <v>467.59000000000003</v>
      </c>
      <c r="C15" s="49">
        <f t="shared" ref="C15:C21" si="1">E15+G15+H15</f>
        <v>315.03119999999996</v>
      </c>
      <c r="D15" s="48"/>
      <c r="E15" s="49">
        <f>'15W40'!E15</f>
        <v>31.4312</v>
      </c>
      <c r="F15" s="48">
        <f>'15W40'!F15</f>
        <v>40</v>
      </c>
      <c r="G15" s="49">
        <f>F15*G4</f>
        <v>275.59999999999997</v>
      </c>
      <c r="H15" s="49">
        <v>8</v>
      </c>
      <c r="I15" s="55">
        <f t="shared" ref="I15:I16" si="2">B15-C15</f>
        <v>152.55880000000008</v>
      </c>
      <c r="J15" s="56">
        <f t="shared" ref="J15:J16" si="3">C15/B15</f>
        <v>0.67373382664299908</v>
      </c>
      <c r="K15" s="56">
        <f t="shared" si="0"/>
        <v>0.32626617335700092</v>
      </c>
      <c r="N15" s="48"/>
      <c r="O15" s="48"/>
      <c r="P15" s="48"/>
    </row>
    <row r="16" spans="1:16" ht="12.75" customHeight="1" x14ac:dyDescent="0.2">
      <c r="A16" s="48" t="s">
        <v>640</v>
      </c>
      <c r="B16" s="48">
        <f>'15W40'!B16+('Delo 5W30'!G4-'15W40'!G4)*'Delo 5W30'!F16+'Delo 5W30'!M1</f>
        <v>237.95</v>
      </c>
      <c r="C16" s="49">
        <f t="shared" si="1"/>
        <v>111.17999999999999</v>
      </c>
      <c r="D16" s="48"/>
      <c r="E16" s="49">
        <f>'15W40'!E16</f>
        <v>6.7200000000000006</v>
      </c>
      <c r="F16" s="48">
        <f>'15W40'!F16</f>
        <v>14</v>
      </c>
      <c r="G16" s="49">
        <f>F16*G4</f>
        <v>96.46</v>
      </c>
      <c r="H16" s="49">
        <v>8</v>
      </c>
      <c r="I16" s="55">
        <f t="shared" si="2"/>
        <v>126.77</v>
      </c>
      <c r="J16" s="56">
        <f t="shared" si="3"/>
        <v>0.4672410170203824</v>
      </c>
      <c r="K16" s="56">
        <f t="shared" si="0"/>
        <v>0.53275898297961755</v>
      </c>
      <c r="N16" s="48"/>
      <c r="O16" s="48"/>
      <c r="P16" s="48"/>
    </row>
    <row r="17" spans="1:16" ht="12.75" customHeight="1" x14ac:dyDescent="0.2">
      <c r="A17" s="48" t="s">
        <v>641</v>
      </c>
      <c r="B17" s="48">
        <f>'15W40'!B17+('Delo 5W30'!G4-'15W40'!G4)*'Delo 5W30'!F17+'Delo 5W30'!M2</f>
        <v>373.99</v>
      </c>
      <c r="C17" s="49">
        <f t="shared" si="1"/>
        <v>231.06040000000002</v>
      </c>
      <c r="D17" s="48"/>
      <c r="E17" s="49">
        <f>'15W40'!E17</f>
        <v>50.810400000000001</v>
      </c>
      <c r="F17" s="48">
        <f>'15W40'!F17</f>
        <v>25</v>
      </c>
      <c r="G17" s="49">
        <f>F17*G4</f>
        <v>172.25</v>
      </c>
      <c r="H17" s="49">
        <v>8</v>
      </c>
      <c r="I17" s="55">
        <f t="shared" ref="I17:I74" si="4">B17-C17</f>
        <v>142.92959999999999</v>
      </c>
      <c r="J17" s="56">
        <f t="shared" ref="J17:J74" si="5">C17/B17</f>
        <v>0.61782507553677912</v>
      </c>
      <c r="K17" s="56">
        <f t="shared" si="0"/>
        <v>0.38217492446322088</v>
      </c>
      <c r="N17" s="48"/>
      <c r="O17" s="48"/>
      <c r="P17" s="48"/>
    </row>
    <row r="18" spans="1:16" ht="12.75" customHeight="1" x14ac:dyDescent="0.2">
      <c r="A18" s="48" t="s">
        <v>642</v>
      </c>
      <c r="B18" s="48">
        <f>'15W40'!B18+('Delo 5W30'!G4-'15W40'!G4)*'Delo 5W30'!F18+'Delo 5W30'!M2</f>
        <v>371.99</v>
      </c>
      <c r="C18" s="49">
        <f t="shared" si="1"/>
        <v>206.93799999999999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172.25</v>
      </c>
      <c r="H18" s="49">
        <v>8</v>
      </c>
      <c r="I18" s="55">
        <f t="shared" si="4"/>
        <v>165.05200000000002</v>
      </c>
      <c r="J18" s="56">
        <f t="shared" si="5"/>
        <v>0.55629990053496059</v>
      </c>
      <c r="K18" s="56">
        <f t="shared" si="0"/>
        <v>0.44370009946503941</v>
      </c>
      <c r="N18" s="48"/>
      <c r="O18" s="48"/>
      <c r="P18" s="48"/>
    </row>
    <row r="19" spans="1:16" ht="12.75" customHeight="1" x14ac:dyDescent="0.2">
      <c r="A19" s="48" t="s">
        <v>643</v>
      </c>
      <c r="B19" s="48">
        <f>'15W40'!B19+('Delo 5W30'!G4-'15W40'!G4)*'Delo 5W30'!F19+'Delo 5W30'!M2</f>
        <v>438.03</v>
      </c>
      <c r="C19" s="49">
        <f t="shared" si="1"/>
        <v>295.87439999999998</v>
      </c>
      <c r="D19" s="48"/>
      <c r="E19" s="49">
        <f>'15W40'!E19</f>
        <v>39.834400000000002</v>
      </c>
      <c r="F19" s="48">
        <f>'15W40'!F19</f>
        <v>36</v>
      </c>
      <c r="G19" s="49">
        <f>F19*G4</f>
        <v>248.04</v>
      </c>
      <c r="H19" s="49">
        <v>8</v>
      </c>
      <c r="I19" s="55">
        <f t="shared" si="4"/>
        <v>142.15559999999999</v>
      </c>
      <c r="J19" s="56">
        <f t="shared" si="5"/>
        <v>0.6754660639682214</v>
      </c>
      <c r="K19" s="56">
        <f t="shared" si="0"/>
        <v>0.3245339360317786</v>
      </c>
      <c r="N19" s="48"/>
      <c r="O19" s="48"/>
      <c r="P19" s="48"/>
    </row>
    <row r="20" spans="1:16" ht="12.75" customHeight="1" x14ac:dyDescent="0.2">
      <c r="A20" s="48" t="s">
        <v>645</v>
      </c>
      <c r="B20" s="48">
        <f>'15W40'!B20+('Delo 5W30'!G4-'15W40'!G4)*'Delo 5W30'!F20+'Delo 5W30'!M3</f>
        <v>555.15</v>
      </c>
      <c r="C20" s="49">
        <f t="shared" si="1"/>
        <v>396.80959999999999</v>
      </c>
      <c r="D20" s="48"/>
      <c r="E20" s="49">
        <f>'15W40'!E20</f>
        <v>85.649600000000007</v>
      </c>
      <c r="F20" s="48">
        <f>'15W40'!F20</f>
        <v>44</v>
      </c>
      <c r="G20" s="49">
        <f>F20*G4</f>
        <v>303.15999999999997</v>
      </c>
      <c r="H20" s="49">
        <v>8</v>
      </c>
      <c r="I20" s="55">
        <f t="shared" si="4"/>
        <v>158.34039999999999</v>
      </c>
      <c r="J20" s="56">
        <f t="shared" si="5"/>
        <v>0.71477906872016572</v>
      </c>
      <c r="K20" s="56">
        <f t="shared" si="0"/>
        <v>0.28522093127983428</v>
      </c>
      <c r="N20" s="48"/>
      <c r="O20" s="48"/>
      <c r="P20" s="48"/>
    </row>
    <row r="21" spans="1:16" ht="12.75" customHeight="1" x14ac:dyDescent="0.2">
      <c r="A21" s="48" t="s">
        <v>646</v>
      </c>
      <c r="B21" s="48">
        <f>'15W40'!B21+('Delo 5W30'!G4-'15W40'!G4)*'Delo 5W30'!F21+'Delo 5W30'!M2</f>
        <v>415.75</v>
      </c>
      <c r="C21" s="49">
        <f t="shared" si="1"/>
        <v>273.69119999999998</v>
      </c>
      <c r="D21" s="48"/>
      <c r="E21" s="49">
        <f>'15W40'!E21</f>
        <v>31.4312</v>
      </c>
      <c r="F21" s="48">
        <f>'15W40'!F21</f>
        <v>34</v>
      </c>
      <c r="G21" s="49">
        <f>F21*G4</f>
        <v>234.26</v>
      </c>
      <c r="H21" s="49">
        <v>8</v>
      </c>
      <c r="I21" s="55">
        <f t="shared" si="4"/>
        <v>142.05880000000002</v>
      </c>
      <c r="J21" s="56">
        <f t="shared" si="5"/>
        <v>0.65830715574263376</v>
      </c>
      <c r="K21" s="56">
        <f t="shared" si="0"/>
        <v>0.34169284425736624</v>
      </c>
      <c r="N21" s="48"/>
      <c r="O21" s="48"/>
      <c r="P21" s="48"/>
    </row>
    <row r="22" spans="1:16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N22" s="48"/>
      <c r="O22" s="48"/>
      <c r="P22" s="48"/>
    </row>
    <row r="23" spans="1:16" ht="12.75" customHeight="1" x14ac:dyDescent="0.2">
      <c r="A23" s="48" t="s">
        <v>647</v>
      </c>
      <c r="B23" s="48">
        <f>'15W40'!B23+('Delo 5W30'!G4-'15W40'!G4)*'Delo 5W30'!F23+'Delo 5W30'!M2</f>
        <v>500.31</v>
      </c>
      <c r="C23" s="49">
        <f t="shared" ref="C23:C28" si="6">E23+G23+H23</f>
        <v>347.44</v>
      </c>
      <c r="D23" s="48"/>
      <c r="E23" s="49">
        <f>'15W40'!E23</f>
        <v>77.62</v>
      </c>
      <c r="F23" s="48">
        <f>'15W40'!F23</f>
        <v>38</v>
      </c>
      <c r="G23" s="49">
        <f>F23*G4</f>
        <v>261.82</v>
      </c>
      <c r="H23" s="49">
        <v>8</v>
      </c>
      <c r="I23" s="55">
        <f t="shared" si="4"/>
        <v>152.87</v>
      </c>
      <c r="J23" s="56">
        <f t="shared" si="5"/>
        <v>0.69444944134636521</v>
      </c>
      <c r="K23" s="56">
        <f t="shared" si="0"/>
        <v>0.30555055865363479</v>
      </c>
      <c r="N23" s="48"/>
      <c r="O23" s="48"/>
      <c r="P23" s="48"/>
    </row>
    <row r="24" spans="1:16" ht="12.75" customHeight="1" x14ac:dyDescent="0.2">
      <c r="A24" s="48" t="s">
        <v>648</v>
      </c>
      <c r="B24" s="48">
        <f>'15W40'!B24+('Delo 5W30'!G4-'15W40'!G4)*'Delo 5W30'!F24+'Delo 5W30'!M2</f>
        <v>544.47</v>
      </c>
      <c r="C24" s="49">
        <f t="shared" si="6"/>
        <v>397.33000000000004</v>
      </c>
      <c r="D24" s="48"/>
      <c r="E24" s="49">
        <f>'15W40'!E24</f>
        <v>168.85000000000002</v>
      </c>
      <c r="F24" s="48">
        <f>'15W40'!F24</f>
        <v>32</v>
      </c>
      <c r="G24" s="49">
        <f>F24*G4</f>
        <v>220.48</v>
      </c>
      <c r="H24" s="49">
        <v>8</v>
      </c>
      <c r="I24" s="55">
        <f t="shared" si="4"/>
        <v>147.13999999999999</v>
      </c>
      <c r="J24" s="56">
        <f t="shared" si="5"/>
        <v>0.72975554208680005</v>
      </c>
      <c r="K24" s="56">
        <f t="shared" si="0"/>
        <v>0.27024445791319995</v>
      </c>
      <c r="N24" s="48"/>
      <c r="O24" s="48"/>
      <c r="P24" s="48"/>
    </row>
    <row r="25" spans="1:16" ht="12.75" customHeight="1" x14ac:dyDescent="0.2">
      <c r="A25" s="48" t="s">
        <v>649</v>
      </c>
      <c r="B25" s="48">
        <f>'15W40'!B25+('Delo 5W30'!G4-'15W40'!G4)*'Delo 5W30'!F25+'Delo 5W30'!M3</f>
        <v>586.87</v>
      </c>
      <c r="C25" s="49">
        <f t="shared" si="6"/>
        <v>435.17</v>
      </c>
      <c r="D25" s="48"/>
      <c r="E25" s="49">
        <f>'15W40'!E25</f>
        <v>137.79000000000002</v>
      </c>
      <c r="F25" s="48">
        <f>'15W40'!F25</f>
        <v>42</v>
      </c>
      <c r="G25" s="49">
        <f>F25*G4</f>
        <v>289.38</v>
      </c>
      <c r="H25" s="49">
        <v>8</v>
      </c>
      <c r="I25" s="55">
        <f t="shared" si="4"/>
        <v>151.69999999999999</v>
      </c>
      <c r="J25" s="56">
        <f t="shared" si="5"/>
        <v>0.74151004481401339</v>
      </c>
      <c r="K25" s="56">
        <f t="shared" si="0"/>
        <v>0.25848995518598661</v>
      </c>
      <c r="N25" s="48"/>
      <c r="O25" s="48"/>
      <c r="P25" s="48"/>
    </row>
    <row r="26" spans="1:16" ht="12.75" customHeight="1" x14ac:dyDescent="0.2">
      <c r="A26" s="48" t="s">
        <v>650</v>
      </c>
      <c r="B26" s="48">
        <f>'15W40'!B26+('Delo 5W30'!G4-'15W40'!G4)*'Delo 5W30'!F26+'Delo 5W30'!M3</f>
        <v>564.87</v>
      </c>
      <c r="C26" s="49">
        <f t="shared" si="6"/>
        <v>411.43280000000004</v>
      </c>
      <c r="D26" s="48"/>
      <c r="E26" s="49">
        <f>'15W40'!E26</f>
        <v>114.05280000000002</v>
      </c>
      <c r="F26" s="48">
        <f>'15W40'!F26</f>
        <v>42</v>
      </c>
      <c r="G26" s="49">
        <f>F26*G4</f>
        <v>289.38</v>
      </c>
      <c r="H26" s="49">
        <v>8</v>
      </c>
      <c r="I26" s="55">
        <f t="shared" si="4"/>
        <v>153.43719999999996</v>
      </c>
      <c r="J26" s="56">
        <f t="shared" si="5"/>
        <v>0.72836723493901256</v>
      </c>
      <c r="K26" s="56">
        <f t="shared" si="0"/>
        <v>0.27163276506098744</v>
      </c>
      <c r="N26" s="48"/>
      <c r="O26" s="48"/>
      <c r="P26" s="48"/>
    </row>
    <row r="27" spans="1:16" ht="12.75" customHeight="1" x14ac:dyDescent="0.2">
      <c r="A27" s="48" t="s">
        <v>651</v>
      </c>
      <c r="B27" s="48">
        <f>'15W40'!B27+('Delo 5W30'!G4-'15W40'!G4)*'Delo 5W30'!F27+'Delo 5W30'!M2</f>
        <v>453.31</v>
      </c>
      <c r="C27" s="49">
        <f t="shared" si="6"/>
        <v>315.21119999999996</v>
      </c>
      <c r="D27" s="48"/>
      <c r="E27" s="49">
        <f>'15W40'!E27</f>
        <v>45.391199999999998</v>
      </c>
      <c r="F27" s="48">
        <f>'15W40'!F27</f>
        <v>38</v>
      </c>
      <c r="G27" s="49">
        <f>F27*G4</f>
        <v>261.82</v>
      </c>
      <c r="H27" s="49">
        <v>8</v>
      </c>
      <c r="I27" s="55">
        <f t="shared" si="4"/>
        <v>138.09880000000004</v>
      </c>
      <c r="J27" s="56">
        <f t="shared" si="5"/>
        <v>0.69535461384041819</v>
      </c>
      <c r="K27" s="56">
        <f t="shared" si="0"/>
        <v>0.30464538615958181</v>
      </c>
      <c r="N27" s="48"/>
      <c r="O27" s="48"/>
      <c r="P27" s="48"/>
    </row>
    <row r="28" spans="1:16" ht="12.75" customHeight="1" x14ac:dyDescent="0.2">
      <c r="A28" s="48" t="s">
        <v>652</v>
      </c>
      <c r="B28" s="48">
        <f>'15W40'!B28+('Delo 5W30'!G4-'15W40'!G4)*'Delo 5W30'!F28+'Delo 5W30'!M1</f>
        <v>237.95</v>
      </c>
      <c r="C28" s="49">
        <f t="shared" si="6"/>
        <v>114.5624</v>
      </c>
      <c r="D28" s="48"/>
      <c r="E28" s="49">
        <f>'15W40'!E28</f>
        <v>10.102400000000001</v>
      </c>
      <c r="F28" s="48">
        <f>'15W40'!F28</f>
        <v>14</v>
      </c>
      <c r="G28" s="49">
        <f>F28*G4</f>
        <v>96.46</v>
      </c>
      <c r="H28" s="49">
        <v>8</v>
      </c>
      <c r="I28" s="55">
        <f t="shared" si="4"/>
        <v>123.38759999999999</v>
      </c>
      <c r="J28" s="56">
        <f t="shared" si="5"/>
        <v>0.48145576801849127</v>
      </c>
      <c r="K28" s="56">
        <f t="shared" si="0"/>
        <v>0.51854423198150879</v>
      </c>
      <c r="N28" s="48"/>
      <c r="O28" s="48"/>
      <c r="P28" s="48"/>
    </row>
    <row r="29" spans="1:16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N29" s="48"/>
      <c r="O29" s="48"/>
      <c r="P29" s="48"/>
    </row>
    <row r="30" spans="1:16" ht="12.75" customHeight="1" x14ac:dyDescent="0.2">
      <c r="A30" s="48" t="s">
        <v>653</v>
      </c>
      <c r="B30" s="48">
        <f>'15W40'!B30+('Delo 5W30'!G4-'15W40'!G4)*'Delo 5W30'!F30+'Delo 5W30'!M1</f>
        <v>237.95</v>
      </c>
      <c r="C30" s="49">
        <f>E30+G30+H30</f>
        <v>118.8768</v>
      </c>
      <c r="D30" s="48"/>
      <c r="E30" s="49">
        <f>'15W40'!E30</f>
        <v>14.416800000000002</v>
      </c>
      <c r="F30" s="48">
        <f>'15W40'!F30</f>
        <v>14</v>
      </c>
      <c r="G30" s="49">
        <f>F30*G4</f>
        <v>96.46</v>
      </c>
      <c r="H30" s="49">
        <v>8</v>
      </c>
      <c r="I30" s="55">
        <f t="shared" si="4"/>
        <v>119.07319999999999</v>
      </c>
      <c r="J30" s="56">
        <f t="shared" si="5"/>
        <v>0.49958730825803743</v>
      </c>
      <c r="K30" s="56">
        <f t="shared" si="0"/>
        <v>0.50041269174196257</v>
      </c>
      <c r="N30" s="48"/>
      <c r="O30" s="48"/>
      <c r="P30" s="48"/>
    </row>
    <row r="31" spans="1:16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N31" s="48"/>
      <c r="O31" s="48"/>
      <c r="P31" s="48"/>
    </row>
    <row r="32" spans="1:16" ht="12.75" customHeight="1" x14ac:dyDescent="0.2">
      <c r="A32" s="48" t="s">
        <v>423</v>
      </c>
      <c r="B32" s="48">
        <f>'15W40'!B32+('Delo 5W30'!G4-'15W40'!G4)*'Delo 5W30'!F32+'Delo 5W30'!M1</f>
        <v>336.95</v>
      </c>
      <c r="C32" s="49">
        <f>E32+G32+H32</f>
        <v>200.45999999999998</v>
      </c>
      <c r="D32" s="48"/>
      <c r="E32" s="49">
        <f>'15W40'!E32</f>
        <v>96</v>
      </c>
      <c r="F32" s="48">
        <f>'15W40'!F32</f>
        <v>14</v>
      </c>
      <c r="G32" s="49">
        <f>F32*G4</f>
        <v>96.46</v>
      </c>
      <c r="H32" s="49">
        <v>8</v>
      </c>
      <c r="I32" s="55">
        <f t="shared" si="4"/>
        <v>136.49</v>
      </c>
      <c r="J32" s="56">
        <f t="shared" si="5"/>
        <v>0.59492506306573667</v>
      </c>
      <c r="K32" s="56">
        <f t="shared" si="0"/>
        <v>0.40507493693426333</v>
      </c>
      <c r="N32" s="48"/>
      <c r="O32" s="48"/>
      <c r="P32" s="48"/>
    </row>
    <row r="33" spans="1:16" ht="12.75" customHeight="1" x14ac:dyDescent="0.2">
      <c r="A33" s="48" t="s">
        <v>654</v>
      </c>
      <c r="B33" s="48">
        <f>'15W40'!B33+('Delo 5W30'!G4-'15W40'!G4)*'Delo 5W30'!F33+'Delo 5W30'!M1</f>
        <v>266.95</v>
      </c>
      <c r="C33" s="49">
        <f>E33+G33+H33</f>
        <v>131.88159999999999</v>
      </c>
      <c r="D33" s="48"/>
      <c r="E33" s="49">
        <f>'15W40'!E33</f>
        <v>27.421599999999998</v>
      </c>
      <c r="F33" s="48">
        <f>'15W40'!F33</f>
        <v>14</v>
      </c>
      <c r="G33" s="49">
        <f>F33*G4</f>
        <v>96.46</v>
      </c>
      <c r="H33" s="49">
        <v>8</v>
      </c>
      <c r="I33" s="55">
        <f t="shared" si="4"/>
        <v>135.0684</v>
      </c>
      <c r="J33" s="56">
        <f t="shared" si="5"/>
        <v>0.49403109196478739</v>
      </c>
      <c r="K33" s="56">
        <f t="shared" si="0"/>
        <v>0.50596890803521255</v>
      </c>
      <c r="N33" s="48"/>
      <c r="O33" s="48"/>
      <c r="P33" s="48"/>
    </row>
    <row r="34" spans="1:16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N34" s="48"/>
      <c r="O34" s="48"/>
      <c r="P34" s="48"/>
    </row>
    <row r="35" spans="1:16" ht="12.75" customHeight="1" x14ac:dyDescent="0.2">
      <c r="A35" s="48" t="s">
        <v>655</v>
      </c>
      <c r="B35" s="48">
        <f>'15W40'!B35+('Delo 5W30'!G4-'15W40'!G4)*'Delo 5W30'!F35+'Delo 5W30'!M2</f>
        <v>384.63</v>
      </c>
      <c r="C35" s="49">
        <f>E35+G35+H35</f>
        <v>240.7088</v>
      </c>
      <c r="D35" s="49"/>
      <c r="E35" s="49">
        <f>'15W40'!E35</f>
        <v>53.56880000000001</v>
      </c>
      <c r="F35" s="48">
        <f>'15W40'!F35</f>
        <v>26</v>
      </c>
      <c r="G35" s="49">
        <f>F35*G4</f>
        <v>179.14</v>
      </c>
      <c r="H35" s="49">
        <v>8</v>
      </c>
      <c r="I35" s="55">
        <f t="shared" si="4"/>
        <v>143.9212</v>
      </c>
      <c r="J35" s="56">
        <f t="shared" si="5"/>
        <v>0.62581909887424281</v>
      </c>
      <c r="K35" s="56">
        <f t="shared" si="0"/>
        <v>0.37418090112575719</v>
      </c>
      <c r="N35" s="48"/>
      <c r="O35" s="48"/>
      <c r="P35" s="48"/>
    </row>
    <row r="36" spans="1:16" ht="12.75" customHeight="1" x14ac:dyDescent="0.2">
      <c r="A36" s="48" t="s">
        <v>1245</v>
      </c>
      <c r="B36" s="48">
        <f>'15W40'!B36+('Delo 5W30'!G4-'15W40'!G4)*'Delo 5W30'!F36+'Delo 5W30'!M3</f>
        <v>681.43</v>
      </c>
      <c r="C36" s="49">
        <f>E36+G36+H36</f>
        <v>503.74</v>
      </c>
      <c r="D36" s="49"/>
      <c r="E36" s="49">
        <f>'15W40'!E36</f>
        <v>178.8</v>
      </c>
      <c r="F36" s="48">
        <f>'15W40'!F36</f>
        <v>46</v>
      </c>
      <c r="G36" s="49">
        <f>F36*G4</f>
        <v>316.94</v>
      </c>
      <c r="H36" s="49">
        <v>8</v>
      </c>
      <c r="I36" s="55">
        <f t="shared" si="4"/>
        <v>177.68999999999994</v>
      </c>
      <c r="J36" s="56">
        <f t="shared" si="5"/>
        <v>0.73923954037832218</v>
      </c>
      <c r="K36" s="56">
        <f t="shared" si="0"/>
        <v>0.26076045962167782</v>
      </c>
      <c r="N36" s="48"/>
      <c r="O36" s="48"/>
      <c r="P36" s="48"/>
    </row>
    <row r="37" spans="1:16" ht="12.75" customHeight="1" x14ac:dyDescent="0.2">
      <c r="A37" s="48" t="s">
        <v>1249</v>
      </c>
      <c r="B37" s="48">
        <f>'15W40'!B37+('Delo 5W30'!G5-'15W40'!G5)*'Delo 5W30'!F37+'Delo 5W30'!M1</f>
        <v>279.99</v>
      </c>
      <c r="C37" s="49">
        <f>E37+G37+H37</f>
        <v>162.33279999999999</v>
      </c>
      <c r="D37" s="49"/>
      <c r="E37" s="49">
        <f>'15W40'!E37</f>
        <v>57.872799999999998</v>
      </c>
      <c r="F37" s="48">
        <f>'15W40'!F37</f>
        <v>14</v>
      </c>
      <c r="G37" s="49">
        <f>F37*G4</f>
        <v>96.46</v>
      </c>
      <c r="H37" s="49">
        <v>8</v>
      </c>
      <c r="I37" s="55">
        <f t="shared" si="4"/>
        <v>117.65720000000002</v>
      </c>
      <c r="J37" s="56">
        <f t="shared" si="5"/>
        <v>0.57978070645380186</v>
      </c>
      <c r="K37" s="56">
        <f t="shared" si="0"/>
        <v>0.42021929354619814</v>
      </c>
      <c r="N37" s="48"/>
      <c r="O37" s="48"/>
      <c r="P37" s="48"/>
    </row>
    <row r="38" spans="1:16" ht="12.75" customHeight="1" x14ac:dyDescent="0.2">
      <c r="A38" s="48" t="s">
        <v>1124</v>
      </c>
      <c r="B38" s="48">
        <f>'15W40'!B38+('Delo 5W30'!G4-'15W40'!G4)*'Delo 5W30'!F38+'Delo 5W30'!M2</f>
        <v>302.95</v>
      </c>
      <c r="C38" s="49">
        <f t="shared" ref="C38:C53" si="7">E38+G38+H38</f>
        <v>148.60079999999999</v>
      </c>
      <c r="D38" s="48"/>
      <c r="E38" s="49">
        <f>'15W40'!E38</f>
        <v>44.140799999999999</v>
      </c>
      <c r="F38" s="48">
        <f>'15W40'!F38</f>
        <v>14</v>
      </c>
      <c r="G38" s="49">
        <f>F38*G4</f>
        <v>96.46</v>
      </c>
      <c r="H38" s="49">
        <v>8</v>
      </c>
      <c r="I38" s="55">
        <f t="shared" si="4"/>
        <v>154.3492</v>
      </c>
      <c r="J38" s="56">
        <f t="shared" si="5"/>
        <v>0.49051262584584915</v>
      </c>
      <c r="K38" s="56">
        <f t="shared" si="0"/>
        <v>0.5094873741541508</v>
      </c>
      <c r="N38" s="48"/>
      <c r="O38" s="48"/>
      <c r="P38" s="48"/>
    </row>
    <row r="39" spans="1:16" ht="12.75" customHeight="1" x14ac:dyDescent="0.2">
      <c r="A39" s="48" t="s">
        <v>425</v>
      </c>
      <c r="B39" s="48">
        <f>'15W40'!B39+('Delo 5W30'!G4-'15W40'!G4)*'Delo 5W30'!F39+'Delo 5W30'!M3</f>
        <v>372.95</v>
      </c>
      <c r="C39" s="49">
        <f t="shared" si="7"/>
        <v>173.43</v>
      </c>
      <c r="D39" s="48"/>
      <c r="E39" s="49">
        <f>'15W40'!E39</f>
        <v>68.97</v>
      </c>
      <c r="F39" s="48">
        <f>'15W40'!F39</f>
        <v>14</v>
      </c>
      <c r="G39" s="49">
        <f>F39*G4</f>
        <v>96.46</v>
      </c>
      <c r="H39" s="49">
        <v>8</v>
      </c>
      <c r="I39" s="55">
        <f t="shared" si="4"/>
        <v>199.51999999999998</v>
      </c>
      <c r="J39" s="56">
        <f t="shared" si="5"/>
        <v>0.46502212092773831</v>
      </c>
      <c r="K39" s="56">
        <f t="shared" si="0"/>
        <v>0.53497787907226169</v>
      </c>
      <c r="N39" s="48"/>
      <c r="O39" s="48"/>
      <c r="P39" s="48"/>
    </row>
    <row r="40" spans="1:16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N40" s="48"/>
      <c r="O40" s="48"/>
      <c r="P40" s="48"/>
    </row>
    <row r="41" spans="1:16" ht="12.75" customHeight="1" x14ac:dyDescent="0.2">
      <c r="A41" s="48" t="s">
        <v>907</v>
      </c>
      <c r="B41" s="48">
        <f>'15W40'!B41+('Delo 5W30'!G4-'15W40'!G4)*'Delo 5W30'!F41+'Delo 5W30'!M2</f>
        <v>514.30999999999995</v>
      </c>
      <c r="C41" s="49">
        <f t="shared" si="7"/>
        <v>356.4248</v>
      </c>
      <c r="D41" s="48"/>
      <c r="E41" s="49">
        <f>'15W40'!E41</f>
        <v>86.604800000000012</v>
      </c>
      <c r="F41" s="48">
        <f>'15W40'!F41</f>
        <v>38</v>
      </c>
      <c r="G41" s="49">
        <f>F41*G4</f>
        <v>261.82</v>
      </c>
      <c r="H41" s="49">
        <v>8</v>
      </c>
      <c r="I41" s="55">
        <f t="shared" si="4"/>
        <v>157.88519999999994</v>
      </c>
      <c r="J41" s="56">
        <f t="shared" si="5"/>
        <v>0.69301549649044358</v>
      </c>
      <c r="K41" s="56">
        <f t="shared" si="0"/>
        <v>0.30698450350955642</v>
      </c>
      <c r="N41" s="48"/>
      <c r="O41" s="48"/>
      <c r="P41" s="48"/>
    </row>
    <row r="42" spans="1:16" ht="12.75" customHeight="1" x14ac:dyDescent="0.2">
      <c r="A42" s="48" t="s">
        <v>911</v>
      </c>
      <c r="B42" s="48">
        <f>'15W40'!B42+('Delo 5W30'!G4-'15W40'!G4)*'Delo 5W30'!F42+'Delo 5W30'!M2</f>
        <v>585.30999999999995</v>
      </c>
      <c r="C42" s="49">
        <f t="shared" si="7"/>
        <v>443.32</v>
      </c>
      <c r="D42" s="48"/>
      <c r="E42" s="49">
        <f>'15W40'!E42</f>
        <v>173.5</v>
      </c>
      <c r="F42" s="48">
        <f>'15W40'!F42</f>
        <v>38</v>
      </c>
      <c r="G42" s="49">
        <f>F42*G4</f>
        <v>261.82</v>
      </c>
      <c r="H42" s="49">
        <v>8</v>
      </c>
      <c r="I42" s="55">
        <f t="shared" si="4"/>
        <v>141.98999999999995</v>
      </c>
      <c r="J42" s="56">
        <f t="shared" si="5"/>
        <v>0.75741060292836282</v>
      </c>
      <c r="K42" s="56">
        <f t="shared" si="0"/>
        <v>0.24258939707163718</v>
      </c>
      <c r="N42" s="48"/>
      <c r="O42" s="48"/>
      <c r="P42" s="48"/>
    </row>
    <row r="43" spans="1:16" ht="12.75" customHeight="1" x14ac:dyDescent="0.2">
      <c r="A43" s="48" t="s">
        <v>909</v>
      </c>
      <c r="B43" s="48">
        <f>'15W40'!B43+('Delo 5W30'!G4-'15W40'!G4)*'Delo 5W30'!F43+'Delo 5W30'!M4</f>
        <v>652.19000000000005</v>
      </c>
      <c r="C43" s="49">
        <f t="shared" si="7"/>
        <v>473.5548</v>
      </c>
      <c r="D43" s="48"/>
      <c r="E43" s="49">
        <f>'15W40'!E43</f>
        <v>86.604800000000012</v>
      </c>
      <c r="F43" s="48">
        <f>'15W40'!F43</f>
        <v>55</v>
      </c>
      <c r="G43" s="49">
        <f>F43*G4</f>
        <v>378.95</v>
      </c>
      <c r="H43" s="49">
        <v>8</v>
      </c>
      <c r="I43" s="55">
        <f t="shared" si="4"/>
        <v>178.63520000000005</v>
      </c>
      <c r="J43" s="56">
        <f t="shared" si="5"/>
        <v>0.72609944954691108</v>
      </c>
      <c r="K43" s="56">
        <f t="shared" si="0"/>
        <v>0.27390055045308892</v>
      </c>
      <c r="N43" s="48"/>
      <c r="O43" s="48"/>
      <c r="P43" s="48"/>
    </row>
    <row r="44" spans="1:16" ht="12.75" customHeight="1" x14ac:dyDescent="0.2">
      <c r="A44" s="48" t="s">
        <v>910</v>
      </c>
      <c r="B44" s="48">
        <f>'15W40'!B44+('Delo 5W30'!G4-'15W40'!G4)*'Delo 5W30'!F44+'Delo 5W30'!M4</f>
        <v>725.19</v>
      </c>
      <c r="C44" s="49">
        <f t="shared" si="7"/>
        <v>560.45000000000005</v>
      </c>
      <c r="D44" s="48"/>
      <c r="E44" s="49">
        <f>'15W40'!E44</f>
        <v>173.5</v>
      </c>
      <c r="F44" s="48">
        <f>'15W40'!F44</f>
        <v>55</v>
      </c>
      <c r="G44" s="49">
        <f>F44*G4</f>
        <v>378.95</v>
      </c>
      <c r="H44" s="49">
        <v>8</v>
      </c>
      <c r="I44" s="55">
        <f t="shared" si="4"/>
        <v>164.74</v>
      </c>
      <c r="J44" s="56">
        <f t="shared" si="5"/>
        <v>0.77283194748962336</v>
      </c>
      <c r="K44" s="56">
        <f t="shared" si="0"/>
        <v>0.22716805251037664</v>
      </c>
      <c r="N44" s="48"/>
      <c r="O44" s="48"/>
      <c r="P44" s="48"/>
    </row>
    <row r="45" spans="1:16" ht="12.75" customHeight="1" x14ac:dyDescent="0.2">
      <c r="A45" s="48" t="s">
        <v>656</v>
      </c>
      <c r="B45" s="48">
        <f>'15W40'!B45+('Delo 5W30'!G4-'15W40'!G4)*'Delo 5W30'!F45+'Delo 5W30'!M2</f>
        <v>468.31</v>
      </c>
      <c r="C45" s="49">
        <f t="shared" si="7"/>
        <v>320.20400000000001</v>
      </c>
      <c r="D45" s="48"/>
      <c r="E45" s="49">
        <f>'15W40'!E45</f>
        <v>50.384</v>
      </c>
      <c r="F45" s="48">
        <f>'15W40'!F45</f>
        <v>38</v>
      </c>
      <c r="G45" s="49">
        <f>F45*G4</f>
        <v>261.82</v>
      </c>
      <c r="H45" s="49">
        <v>8</v>
      </c>
      <c r="I45" s="55">
        <f t="shared" si="4"/>
        <v>148.10599999999999</v>
      </c>
      <c r="J45" s="56">
        <f t="shared" si="5"/>
        <v>0.68374367406205294</v>
      </c>
      <c r="K45" s="56">
        <f t="shared" si="0"/>
        <v>0.31625632593794706</v>
      </c>
      <c r="N45" s="48"/>
      <c r="O45" s="48"/>
      <c r="P45" s="48"/>
    </row>
    <row r="46" spans="1:16" ht="12.75" customHeight="1" x14ac:dyDescent="0.2">
      <c r="A46" s="48" t="s">
        <v>657</v>
      </c>
      <c r="B46" s="48">
        <f>'15W40'!B46+('Delo 5W30'!G4-'15W40'!G4)*'Delo 5W30'!F46+'Delo 5W30'!M4</f>
        <v>585.27</v>
      </c>
      <c r="C46" s="49">
        <f t="shared" si="7"/>
        <v>416.66399999999999</v>
      </c>
      <c r="D46" s="48"/>
      <c r="E46" s="49">
        <f>'15W40'!E46</f>
        <v>50.384</v>
      </c>
      <c r="F46" s="48">
        <f>'15W40'!F46</f>
        <v>52</v>
      </c>
      <c r="G46" s="49">
        <f>F46*G4</f>
        <v>358.28</v>
      </c>
      <c r="H46" s="49">
        <v>8</v>
      </c>
      <c r="I46" s="55">
        <f t="shared" si="4"/>
        <v>168.60599999999999</v>
      </c>
      <c r="J46" s="56">
        <f t="shared" si="5"/>
        <v>0.71191757650315235</v>
      </c>
      <c r="K46" s="56">
        <f t="shared" si="0"/>
        <v>0.28808242349684765</v>
      </c>
      <c r="N46" s="48"/>
      <c r="O46" s="48"/>
      <c r="P46" s="48"/>
    </row>
    <row r="47" spans="1:16" x14ac:dyDescent="0.2">
      <c r="A47" s="48" t="s">
        <v>658</v>
      </c>
      <c r="B47" s="48">
        <f>'15W40'!B47+('Delo 5W30'!G4-'15W40'!G4)*'Delo 5W30'!F47+'Delo 5W30'!M2</f>
        <v>577.30999999999995</v>
      </c>
      <c r="C47" s="49">
        <f t="shared" si="7"/>
        <v>431.21</v>
      </c>
      <c r="D47" s="48"/>
      <c r="E47" s="49">
        <f>'15W40'!E47</f>
        <v>161.38999999999999</v>
      </c>
      <c r="F47" s="48">
        <f>'15W40'!F47</f>
        <v>38</v>
      </c>
      <c r="G47" s="49">
        <f>F47*G4</f>
        <v>261.82</v>
      </c>
      <c r="H47" s="49">
        <v>8</v>
      </c>
      <c r="I47" s="55">
        <f t="shared" si="4"/>
        <v>146.09999999999997</v>
      </c>
      <c r="J47" s="56">
        <f t="shared" si="5"/>
        <v>0.74692972579723205</v>
      </c>
      <c r="K47" s="56">
        <f t="shared" si="0"/>
        <v>0.25307027420276795</v>
      </c>
      <c r="N47" s="48"/>
      <c r="O47" s="48"/>
      <c r="P47" s="48"/>
    </row>
    <row r="48" spans="1:16" x14ac:dyDescent="0.2">
      <c r="A48" s="48" t="s">
        <v>659</v>
      </c>
      <c r="B48" s="48">
        <f>'15W40'!B48+('Delo 5W30'!G4-'15W40'!G4)*'Delo 5W30'!F48+'Delo 5W30'!M4</f>
        <v>697.27</v>
      </c>
      <c r="C48" s="49">
        <f t="shared" si="7"/>
        <v>527.66999999999996</v>
      </c>
      <c r="D48" s="48"/>
      <c r="E48" s="49">
        <f>'15W40'!E48</f>
        <v>161.38999999999999</v>
      </c>
      <c r="F48" s="48">
        <f>'15W40'!F48</f>
        <v>52</v>
      </c>
      <c r="G48" s="49">
        <f>F48*G4</f>
        <v>358.28</v>
      </c>
      <c r="H48" s="49">
        <v>8</v>
      </c>
      <c r="I48" s="55">
        <f t="shared" si="4"/>
        <v>169.60000000000002</v>
      </c>
      <c r="J48" s="56">
        <f t="shared" si="5"/>
        <v>0.75676567183443999</v>
      </c>
      <c r="K48" s="56">
        <f t="shared" si="0"/>
        <v>0.24323432816556001</v>
      </c>
      <c r="N48" s="48"/>
      <c r="O48" s="48"/>
      <c r="P48" s="48"/>
    </row>
    <row r="49" spans="1:16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N49" s="48"/>
      <c r="O49" s="48"/>
      <c r="P49" s="48"/>
    </row>
    <row r="50" spans="1:16" x14ac:dyDescent="0.2">
      <c r="A50" s="48" t="s">
        <v>660</v>
      </c>
      <c r="B50" s="48">
        <f>'15W40'!B50+('Delo 5W30'!G4-'15W40'!G4)*'Delo 5W30'!F50+'Delo 5W30'!M2</f>
        <v>554.63</v>
      </c>
      <c r="C50" s="49">
        <f t="shared" si="7"/>
        <v>409.82</v>
      </c>
      <c r="D50" s="48"/>
      <c r="E50" s="49">
        <f>'15W40'!E50</f>
        <v>222.68</v>
      </c>
      <c r="F50" s="48">
        <f>'15W40'!F50</f>
        <v>26</v>
      </c>
      <c r="G50" s="49">
        <f>F50*G4</f>
        <v>179.14</v>
      </c>
      <c r="H50" s="49">
        <v>8</v>
      </c>
      <c r="I50" s="55">
        <f t="shared" si="4"/>
        <v>144.81</v>
      </c>
      <c r="J50" s="56">
        <f t="shared" si="5"/>
        <v>0.73890701909381029</v>
      </c>
      <c r="K50" s="56">
        <f t="shared" si="0"/>
        <v>0.26109298090618971</v>
      </c>
      <c r="N50" s="48"/>
      <c r="O50" s="48"/>
      <c r="P50" s="48"/>
    </row>
    <row r="51" spans="1:16" x14ac:dyDescent="0.2">
      <c r="A51" s="48" t="s">
        <v>661</v>
      </c>
      <c r="B51" s="48">
        <f>'15W40'!B51+('Delo 5W30'!G4-'15W40'!G4)*'Delo 5W30'!F51+'Delo 5W30'!M2</f>
        <v>475.63</v>
      </c>
      <c r="C51" s="49">
        <f t="shared" si="7"/>
        <v>332.31599999999997</v>
      </c>
      <c r="D51" s="48"/>
      <c r="E51" s="49">
        <f>'15W40'!E51</f>
        <v>145.17599999999999</v>
      </c>
      <c r="F51" s="48">
        <f>'15W40'!F51</f>
        <v>26</v>
      </c>
      <c r="G51" s="49">
        <f>F51*G4</f>
        <v>179.14</v>
      </c>
      <c r="H51" s="49">
        <v>8</v>
      </c>
      <c r="I51" s="55">
        <f t="shared" si="4"/>
        <v>143.31400000000002</v>
      </c>
      <c r="J51" s="56">
        <f t="shared" si="5"/>
        <v>0.69868595336711303</v>
      </c>
      <c r="K51" s="56">
        <f t="shared" si="0"/>
        <v>0.30131404663288697</v>
      </c>
      <c r="N51" s="48"/>
      <c r="O51" s="48"/>
      <c r="P51" s="48"/>
    </row>
    <row r="52" spans="1:16" x14ac:dyDescent="0.2">
      <c r="A52" s="48" t="s">
        <v>662</v>
      </c>
      <c r="B52" s="48">
        <f>'15W40'!B52+('Delo 5W30'!G4-'15W40'!G4)*'Delo 5W30'!F52+'Delo 5W30'!M2</f>
        <v>585.30999999999995</v>
      </c>
      <c r="C52" s="49">
        <f t="shared" si="7"/>
        <v>434.51</v>
      </c>
      <c r="D52" s="48"/>
      <c r="E52" s="49">
        <f>'15W40'!E52</f>
        <v>164.69</v>
      </c>
      <c r="F52" s="48">
        <f>'15W40'!F52</f>
        <v>38</v>
      </c>
      <c r="G52" s="49">
        <f>F52*G4</f>
        <v>261.82</v>
      </c>
      <c r="H52" s="49">
        <v>8</v>
      </c>
      <c r="I52" s="55">
        <f t="shared" si="4"/>
        <v>150.79999999999995</v>
      </c>
      <c r="J52" s="56">
        <f t="shared" si="5"/>
        <v>0.74235875006406871</v>
      </c>
      <c r="K52" s="56">
        <f t="shared" si="0"/>
        <v>0.25764124993593129</v>
      </c>
      <c r="N52" s="48"/>
      <c r="O52" s="48"/>
      <c r="P52" s="48"/>
    </row>
    <row r="53" spans="1:16" x14ac:dyDescent="0.2">
      <c r="A53" s="48" t="s">
        <v>663</v>
      </c>
      <c r="B53" s="48">
        <f>'15W40'!B53+('Delo 5W30'!G4-'15W40'!G4)*'Delo 5W30'!F53+'Delo 5W30'!M2</f>
        <v>507.31</v>
      </c>
      <c r="C53" s="49">
        <f t="shared" si="7"/>
        <v>358.6232</v>
      </c>
      <c r="D53" s="48"/>
      <c r="E53" s="49">
        <f>'15W40'!E53</f>
        <v>88.80319999999999</v>
      </c>
      <c r="F53" s="48">
        <f>'15W40'!F53</f>
        <v>38</v>
      </c>
      <c r="G53" s="49">
        <f>F53*G4</f>
        <v>261.82</v>
      </c>
      <c r="H53" s="49">
        <v>8</v>
      </c>
      <c r="I53" s="55">
        <f t="shared" si="4"/>
        <v>148.68680000000001</v>
      </c>
      <c r="J53" s="56">
        <f t="shared" si="5"/>
        <v>0.70691135597563615</v>
      </c>
      <c r="K53" s="56">
        <f t="shared" si="0"/>
        <v>0.29308864402436385</v>
      </c>
      <c r="N53" s="48"/>
      <c r="O53" s="48"/>
      <c r="P53" s="48"/>
    </row>
    <row r="54" spans="1:16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N54" s="48"/>
      <c r="O54" s="48"/>
      <c r="P54" s="48"/>
    </row>
    <row r="55" spans="1:16" x14ac:dyDescent="0.2">
      <c r="A55" s="48" t="s">
        <v>665</v>
      </c>
      <c r="B55" s="48">
        <f>'15W40'!B55+('Delo 5W30'!G4-'15W40'!G4)*'Delo 5W30'!F55+'Delo 5W30'!M3</f>
        <v>549.06999999999994</v>
      </c>
      <c r="C55" s="49">
        <f t="shared" ref="C55:C60" si="8">E55+G55+H55</f>
        <v>381.84</v>
      </c>
      <c r="D55" s="48"/>
      <c r="E55" s="49">
        <f>'15W40'!E55</f>
        <v>50.010000000000005</v>
      </c>
      <c r="F55" s="48">
        <f>'15W40'!F55</f>
        <v>47</v>
      </c>
      <c r="G55" s="49">
        <f>F55*G4</f>
        <v>323.83</v>
      </c>
      <c r="H55" s="49">
        <v>8</v>
      </c>
      <c r="I55" s="55">
        <f t="shared" si="4"/>
        <v>167.22999999999996</v>
      </c>
      <c r="J55" s="56">
        <f t="shared" si="5"/>
        <v>0.69543045513322532</v>
      </c>
      <c r="K55" s="56">
        <f t="shared" si="0"/>
        <v>0.30456954486677468</v>
      </c>
      <c r="N55" s="48"/>
      <c r="O55" s="48"/>
      <c r="P55" s="48"/>
    </row>
    <row r="56" spans="1:16" x14ac:dyDescent="0.2">
      <c r="A56" s="48" t="s">
        <v>666</v>
      </c>
      <c r="B56" s="48">
        <f>'15W40'!B56+('Delo 5W30'!G4-'15W40'!G4)*'Delo 5W30'!F56+'Delo 5W30'!M3</f>
        <v>527.06999999999994</v>
      </c>
      <c r="C56" s="49">
        <f t="shared" si="8"/>
        <v>373.27159999999998</v>
      </c>
      <c r="D56" s="48"/>
      <c r="E56" s="49">
        <f>'15W40'!E56</f>
        <v>41.441600000000001</v>
      </c>
      <c r="F56" s="48">
        <f>'15W40'!F56</f>
        <v>47</v>
      </c>
      <c r="G56" s="49">
        <f>F56*G4</f>
        <v>323.83</v>
      </c>
      <c r="H56" s="49">
        <v>8</v>
      </c>
      <c r="I56" s="55">
        <f t="shared" si="4"/>
        <v>153.79839999999996</v>
      </c>
      <c r="J56" s="56">
        <f t="shared" si="5"/>
        <v>0.70820118769802876</v>
      </c>
      <c r="K56" s="56">
        <f t="shared" si="0"/>
        <v>0.29179881230197124</v>
      </c>
      <c r="N56" s="48"/>
      <c r="O56" s="48"/>
      <c r="P56" s="48"/>
    </row>
    <row r="57" spans="1:16" x14ac:dyDescent="0.2">
      <c r="A57" s="48" t="s">
        <v>667</v>
      </c>
      <c r="B57" s="48">
        <f>'15W40'!B57+('Delo 5W30'!G4-'15W40'!G4)*'Delo 5W30'!F57+'Delo 5W30'!M2</f>
        <v>398.63</v>
      </c>
      <c r="C57" s="49">
        <f t="shared" si="8"/>
        <v>234.69</v>
      </c>
      <c r="D57" s="48"/>
      <c r="E57" s="49">
        <f>'15W40'!E57</f>
        <v>47.55</v>
      </c>
      <c r="F57" s="48">
        <f>'15W40'!F57</f>
        <v>26</v>
      </c>
      <c r="G57" s="49">
        <f>F57*G4</f>
        <v>179.14</v>
      </c>
      <c r="H57" s="49">
        <v>8</v>
      </c>
      <c r="I57" s="55">
        <f t="shared" si="4"/>
        <v>163.94</v>
      </c>
      <c r="J57" s="56">
        <f t="shared" si="5"/>
        <v>0.58874143943004786</v>
      </c>
      <c r="K57" s="56">
        <f t="shared" si="0"/>
        <v>0.41125856056995214</v>
      </c>
      <c r="N57" s="48"/>
      <c r="O57" s="48"/>
      <c r="P57" s="48"/>
    </row>
    <row r="58" spans="1:16" x14ac:dyDescent="0.2">
      <c r="A58" s="48" t="s">
        <v>668</v>
      </c>
      <c r="B58" s="48">
        <f>'15W40'!B58+('Delo 5W30'!G4-'15W40'!G4)*'Delo 5W30'!F58+'Delo 5W30'!M2</f>
        <v>360.63</v>
      </c>
      <c r="C58" s="49">
        <f t="shared" si="8"/>
        <v>220.61599999999999</v>
      </c>
      <c r="D58" s="48"/>
      <c r="E58" s="49">
        <f>'15W40'!E58</f>
        <v>33.475999999999999</v>
      </c>
      <c r="F58" s="48">
        <f>'15W40'!F58</f>
        <v>26</v>
      </c>
      <c r="G58" s="49">
        <f>F58*G4</f>
        <v>179.14</v>
      </c>
      <c r="H58" s="49">
        <v>8</v>
      </c>
      <c r="I58" s="55">
        <f t="shared" si="4"/>
        <v>140.01400000000001</v>
      </c>
      <c r="J58" s="56">
        <f t="shared" si="5"/>
        <v>0.61175165682278232</v>
      </c>
      <c r="K58" s="56">
        <f t="shared" si="0"/>
        <v>0.38824834317721768</v>
      </c>
      <c r="N58" s="48"/>
      <c r="O58" s="48"/>
      <c r="P58" s="48"/>
    </row>
    <row r="59" spans="1:16" x14ac:dyDescent="0.2">
      <c r="A59" s="48" t="s">
        <v>669</v>
      </c>
      <c r="B59" s="48">
        <f>'15W40'!B59+('Delo 5W30'!G4-'15W40'!G4)*'Delo 5W30'!F59+'Delo 5W30'!M2</f>
        <v>333.35</v>
      </c>
      <c r="C59" s="49">
        <f t="shared" si="8"/>
        <v>173.35999999999999</v>
      </c>
      <c r="D59" s="48"/>
      <c r="E59" s="49">
        <f>'15W40'!E59</f>
        <v>0</v>
      </c>
      <c r="F59" s="48">
        <f>'15W40'!F59</f>
        <v>24</v>
      </c>
      <c r="G59" s="49">
        <f>F59*G4</f>
        <v>165.35999999999999</v>
      </c>
      <c r="H59" s="49">
        <v>8</v>
      </c>
      <c r="I59" s="55">
        <f t="shared" si="4"/>
        <v>159.99000000000004</v>
      </c>
      <c r="J59" s="56">
        <f t="shared" si="5"/>
        <v>0.52005399730013491</v>
      </c>
      <c r="K59" s="56">
        <f t="shared" si="0"/>
        <v>0.47994600269986509</v>
      </c>
      <c r="N59" s="48"/>
      <c r="O59" s="48"/>
      <c r="P59" s="48"/>
    </row>
    <row r="60" spans="1:16" x14ac:dyDescent="0.2">
      <c r="A60" s="48" t="s">
        <v>691</v>
      </c>
      <c r="B60" s="48">
        <f>'15W40'!B60+('Delo 5W30'!G4-'15W40'!G4)*'Delo 5W30'!F60+'Delo 5W30'!M1</f>
        <v>294.31</v>
      </c>
      <c r="C60" s="49">
        <f t="shared" si="8"/>
        <v>170.81</v>
      </c>
      <c r="D60" s="48"/>
      <c r="E60" s="49">
        <f>'15W40'!E60</f>
        <v>73.240000000000009</v>
      </c>
      <c r="F60" s="48">
        <f>'15W40'!F60</f>
        <v>13</v>
      </c>
      <c r="G60" s="49">
        <f>F60*G4</f>
        <v>89.57</v>
      </c>
      <c r="H60" s="49">
        <v>8</v>
      </c>
      <c r="I60" s="55">
        <f t="shared" si="4"/>
        <v>123.5</v>
      </c>
      <c r="J60" s="56">
        <f t="shared" si="5"/>
        <v>0.58037443511943188</v>
      </c>
      <c r="K60" s="56">
        <f t="shared" si="0"/>
        <v>0.41962556488056812</v>
      </c>
      <c r="N60" s="48"/>
      <c r="O60" s="48"/>
      <c r="P60" s="48"/>
    </row>
    <row r="61" spans="1:16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N61" s="48"/>
      <c r="O61" s="48"/>
      <c r="P61" s="48"/>
    </row>
    <row r="62" spans="1:16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N62" s="48"/>
      <c r="O62" s="48"/>
      <c r="P62" s="48"/>
    </row>
    <row r="63" spans="1:16" x14ac:dyDescent="0.2">
      <c r="A63" s="48" t="s">
        <v>673</v>
      </c>
      <c r="B63" s="48">
        <f>'15W40'!B63+('Delo 5W30'!G4-'15W40'!G4)*'Delo 5W30'!F63+'Delo 5W30'!M2</f>
        <v>365.63</v>
      </c>
      <c r="C63" s="49">
        <f>E63+G63+H63</f>
        <v>225.16639999999998</v>
      </c>
      <c r="D63" s="48"/>
      <c r="E63" s="49">
        <f>'15W40'!E63</f>
        <v>38.026400000000002</v>
      </c>
      <c r="F63" s="48">
        <f>'15W40'!F63</f>
        <v>26</v>
      </c>
      <c r="G63" s="49">
        <f>F63*G4</f>
        <v>179.14</v>
      </c>
      <c r="H63" s="49">
        <v>8</v>
      </c>
      <c r="I63" s="55">
        <f t="shared" si="4"/>
        <v>140.46360000000001</v>
      </c>
      <c r="J63" s="56">
        <f t="shared" si="5"/>
        <v>0.61583130487104443</v>
      </c>
      <c r="K63" s="56">
        <f t="shared" si="0"/>
        <v>0.38416869512895557</v>
      </c>
      <c r="N63" s="48"/>
      <c r="O63" s="48"/>
      <c r="P63" s="48"/>
    </row>
    <row r="64" spans="1:16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N64" s="48"/>
      <c r="O64" s="48"/>
      <c r="P64" s="48"/>
    </row>
    <row r="65" spans="1:16" x14ac:dyDescent="0.2">
      <c r="A65" s="48" t="s">
        <v>674</v>
      </c>
      <c r="B65" s="48">
        <f>'15W40'!B65+('Delo 5W30'!G4-'15W40'!G4)*'Delo 5W30'!F65+'Delo 5W30'!M3</f>
        <v>640.42999999999995</v>
      </c>
      <c r="C65" s="49">
        <f>E65+G65+H65</f>
        <v>486.99</v>
      </c>
      <c r="D65" s="48"/>
      <c r="E65" s="49">
        <f>'15W40'!E65</f>
        <v>162.05000000000001</v>
      </c>
      <c r="F65" s="48">
        <f>'15W40'!F65</f>
        <v>46</v>
      </c>
      <c r="G65" s="49">
        <f>F65*G4</f>
        <v>316.94</v>
      </c>
      <c r="H65" s="49">
        <v>8</v>
      </c>
      <c r="I65" s="55">
        <f t="shared" si="4"/>
        <v>153.43999999999994</v>
      </c>
      <c r="J65" s="56">
        <f t="shared" si="5"/>
        <v>0.76041097387692647</v>
      </c>
      <c r="K65" s="56">
        <f t="shared" si="0"/>
        <v>0.23958902612307353</v>
      </c>
      <c r="N65" s="48"/>
      <c r="O65" s="48"/>
      <c r="P65" s="48"/>
    </row>
    <row r="66" spans="1:16" x14ac:dyDescent="0.2">
      <c r="A66" s="48" t="s">
        <v>675</v>
      </c>
      <c r="B66" s="48">
        <f>'15W40'!B66+('Delo 5W30'!G4-'15W40'!G4)*'Delo 5W30'!F66+'Delo 5W30'!M3</f>
        <v>561.43000000000006</v>
      </c>
      <c r="C66" s="49">
        <f>E66+G66+H66</f>
        <v>404.78719999999998</v>
      </c>
      <c r="D66" s="48"/>
      <c r="E66" s="49">
        <f>'15W40'!E66</f>
        <v>79.847200000000001</v>
      </c>
      <c r="F66" s="48">
        <f>'15W40'!F66</f>
        <v>46</v>
      </c>
      <c r="G66" s="49">
        <f>F66*G4</f>
        <v>316.94</v>
      </c>
      <c r="H66" s="49">
        <v>8</v>
      </c>
      <c r="I66" s="55">
        <f t="shared" si="4"/>
        <v>156.64280000000008</v>
      </c>
      <c r="J66" s="56">
        <f t="shared" si="5"/>
        <v>0.72099317813440666</v>
      </c>
      <c r="K66" s="56">
        <f t="shared" si="0"/>
        <v>0.27900682186559334</v>
      </c>
      <c r="N66" s="48"/>
      <c r="O66" s="48"/>
      <c r="P66" s="48"/>
    </row>
    <row r="67" spans="1:16" x14ac:dyDescent="0.2">
      <c r="A67" s="48" t="s">
        <v>676</v>
      </c>
      <c r="B67" s="48">
        <f>'15W40'!B67+('Delo 5W30'!G4-'15W40'!G4)*'Delo 5W30'!F67+'Delo 5W30'!M2</f>
        <v>343.35</v>
      </c>
      <c r="C67" s="49">
        <f>E67+G67+H67</f>
        <v>200.048</v>
      </c>
      <c r="D67" s="48"/>
      <c r="E67" s="49">
        <f>'15W40'!E67</f>
        <v>26.688000000000002</v>
      </c>
      <c r="F67" s="48">
        <f>'15W40'!F67</f>
        <v>24</v>
      </c>
      <c r="G67" s="49">
        <f>F67*G4</f>
        <v>165.35999999999999</v>
      </c>
      <c r="H67" s="49">
        <v>8</v>
      </c>
      <c r="I67" s="55">
        <f t="shared" si="4"/>
        <v>143.30200000000002</v>
      </c>
      <c r="J67" s="56">
        <f t="shared" si="5"/>
        <v>0.58263579437891366</v>
      </c>
      <c r="K67" s="56">
        <f t="shared" si="0"/>
        <v>0.41736420562108634</v>
      </c>
      <c r="N67" s="48"/>
      <c r="O67" s="48"/>
      <c r="P67" s="48"/>
    </row>
    <row r="68" spans="1:16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N68" s="48"/>
      <c r="O68" s="48"/>
      <c r="P68" s="48"/>
    </row>
    <row r="69" spans="1:16" x14ac:dyDescent="0.2">
      <c r="A69" s="48" t="s">
        <v>677</v>
      </c>
      <c r="B69" s="48">
        <f>'15W40'!B69+('Delo 5W30'!G4-'15W40'!G4)*'Delo 5W30'!F69+'Delo 5W30'!M2</f>
        <v>485.75</v>
      </c>
      <c r="C69" s="49">
        <f t="shared" ref="C69:C74" si="9">E69+G69+H69</f>
        <v>328.8648</v>
      </c>
      <c r="D69" s="48"/>
      <c r="E69" s="49">
        <f>'15W40'!E69</f>
        <v>86.604800000000012</v>
      </c>
      <c r="F69" s="48">
        <f>'15W40'!F69</f>
        <v>34</v>
      </c>
      <c r="G69" s="49">
        <f>F69*G4</f>
        <v>234.26</v>
      </c>
      <c r="H69" s="49">
        <v>8</v>
      </c>
      <c r="I69" s="55">
        <f t="shared" si="4"/>
        <v>156.8852</v>
      </c>
      <c r="J69" s="56">
        <f t="shared" si="5"/>
        <v>0.67702480699948531</v>
      </c>
      <c r="K69" s="56">
        <f t="shared" si="0"/>
        <v>0.32297519300051469</v>
      </c>
      <c r="N69" s="48"/>
      <c r="O69" s="48"/>
      <c r="P69" s="48"/>
    </row>
    <row r="70" spans="1:16" x14ac:dyDescent="0.2">
      <c r="A70" s="48" t="s">
        <v>678</v>
      </c>
      <c r="B70" s="48">
        <f>'15W40'!B70+('Delo 5W30'!G4-'15W40'!G4)*'Delo 5W30'!F70+'Delo 5W30'!M3</f>
        <v>550.87</v>
      </c>
      <c r="C70" s="49">
        <f t="shared" si="9"/>
        <v>383.98480000000001</v>
      </c>
      <c r="D70" s="48"/>
      <c r="E70" s="49">
        <f>'15W40'!E70</f>
        <v>86.604800000000012</v>
      </c>
      <c r="F70" s="48">
        <f>'15W40'!F70</f>
        <v>42</v>
      </c>
      <c r="G70" s="49">
        <f>F70*G4</f>
        <v>289.38</v>
      </c>
      <c r="H70" s="49">
        <v>8</v>
      </c>
      <c r="I70" s="55">
        <f t="shared" si="4"/>
        <v>166.8852</v>
      </c>
      <c r="J70" s="56">
        <f t="shared" si="5"/>
        <v>0.69705157296639864</v>
      </c>
      <c r="K70" s="56">
        <f t="shared" si="0"/>
        <v>0.30294842703360136</v>
      </c>
      <c r="N70" s="48"/>
      <c r="O70" s="48"/>
      <c r="P70" s="48"/>
    </row>
    <row r="71" spans="1:16" x14ac:dyDescent="0.2">
      <c r="A71" s="48" t="s">
        <v>679</v>
      </c>
      <c r="B71" s="48">
        <f>'15W40'!B71+('Delo 5W30'!G4-'15W40'!G4)*'Delo 5W30'!F71+'Delo 5W30'!M4</f>
        <v>632.27</v>
      </c>
      <c r="C71" s="49">
        <f t="shared" si="9"/>
        <v>452.88479999999998</v>
      </c>
      <c r="D71" s="48"/>
      <c r="E71" s="49">
        <f>'15W40'!E71</f>
        <v>86.604800000000012</v>
      </c>
      <c r="F71" s="48">
        <f>'15W40'!F71</f>
        <v>52</v>
      </c>
      <c r="G71" s="49">
        <f>F71*G4</f>
        <v>358.28</v>
      </c>
      <c r="H71" s="49">
        <v>8</v>
      </c>
      <c r="I71" s="55">
        <f t="shared" si="4"/>
        <v>179.3852</v>
      </c>
      <c r="J71" s="56">
        <f t="shared" si="5"/>
        <v>0.71628386606987515</v>
      </c>
      <c r="K71" s="56">
        <f t="shared" si="0"/>
        <v>0.28371613393012485</v>
      </c>
      <c r="N71" s="48"/>
      <c r="O71" s="48"/>
      <c r="P71" s="48"/>
    </row>
    <row r="72" spans="1:16" x14ac:dyDescent="0.2">
      <c r="A72" s="48" t="s">
        <v>680</v>
      </c>
      <c r="B72" s="48">
        <f>'15W40'!B72+('Delo 5W30'!G4-'15W40'!G4)*'Delo 5W30'!F72+'Delo 5W30'!M2</f>
        <v>554.75</v>
      </c>
      <c r="C72" s="49">
        <f t="shared" si="9"/>
        <v>408.54999999999995</v>
      </c>
      <c r="D72" s="48"/>
      <c r="E72" s="49">
        <f>'15W40'!E72</f>
        <v>166.29</v>
      </c>
      <c r="F72" s="48">
        <f>'15W40'!F72</f>
        <v>34</v>
      </c>
      <c r="G72" s="49">
        <f>F72*G4</f>
        <v>234.26</v>
      </c>
      <c r="H72" s="49">
        <v>8</v>
      </c>
      <c r="I72" s="55">
        <f t="shared" si="4"/>
        <v>146.20000000000005</v>
      </c>
      <c r="J72" s="56">
        <f t="shared" si="5"/>
        <v>0.73645786390265877</v>
      </c>
      <c r="K72" s="56">
        <f t="shared" si="0"/>
        <v>0.26354213609734123</v>
      </c>
      <c r="N72" s="48"/>
      <c r="O72" s="48"/>
      <c r="P72" s="48"/>
    </row>
    <row r="73" spans="1:16" x14ac:dyDescent="0.2">
      <c r="A73" s="48" t="s">
        <v>681</v>
      </c>
      <c r="B73" s="48">
        <f>'15W40'!B73+('Delo 5W30'!G4-'15W40'!G4)*'Delo 5W30'!F73+'Delo 5W30'!M3</f>
        <v>620.87</v>
      </c>
      <c r="C73" s="49">
        <f t="shared" si="9"/>
        <v>463.66999999999996</v>
      </c>
      <c r="D73" s="48"/>
      <c r="E73" s="49">
        <f>'15W40'!E73</f>
        <v>166.29</v>
      </c>
      <c r="F73" s="48">
        <f>'15W40'!F73</f>
        <v>42</v>
      </c>
      <c r="G73" s="49">
        <f>F73*G4</f>
        <v>289.38</v>
      </c>
      <c r="H73" s="49">
        <v>8</v>
      </c>
      <c r="I73" s="55">
        <f t="shared" si="4"/>
        <v>157.20000000000005</v>
      </c>
      <c r="J73" s="56">
        <f t="shared" si="5"/>
        <v>0.74680689999516803</v>
      </c>
      <c r="K73" s="56">
        <f t="shared" si="0"/>
        <v>0.25319310000483197</v>
      </c>
      <c r="N73" s="48"/>
      <c r="O73" s="48"/>
      <c r="P73" s="48"/>
    </row>
    <row r="74" spans="1:16" x14ac:dyDescent="0.2">
      <c r="A74" s="48" t="s">
        <v>682</v>
      </c>
      <c r="B74" s="48">
        <f>'15W40'!B74+('Delo 5W30'!G4-'15W40'!G4)*'Delo 5W30'!F74+'Delo 5W30'!M4</f>
        <v>700.27</v>
      </c>
      <c r="C74" s="49">
        <f t="shared" si="9"/>
        <v>532.56999999999994</v>
      </c>
      <c r="D74" s="48"/>
      <c r="E74" s="49">
        <f>'15W40'!E74</f>
        <v>166.29</v>
      </c>
      <c r="F74" s="48">
        <f>'15W40'!F74</f>
        <v>52</v>
      </c>
      <c r="G74" s="49">
        <f>F74*G4</f>
        <v>358.28</v>
      </c>
      <c r="H74" s="49">
        <v>8</v>
      </c>
      <c r="I74" s="55">
        <f t="shared" si="4"/>
        <v>167.70000000000005</v>
      </c>
      <c r="J74" s="56">
        <f t="shared" si="5"/>
        <v>0.76052094192240127</v>
      </c>
      <c r="K74" s="56">
        <f t="shared" ref="K74" si="10">1-J74</f>
        <v>0.23947905807759873</v>
      </c>
      <c r="N74" s="48"/>
      <c r="O74" s="48"/>
      <c r="P74" s="48"/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6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.8554687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28515625" style="46" customWidth="1"/>
    <col min="13" max="13" width="4.85546875" style="46" customWidth="1"/>
    <col min="14" max="14" width="7.5703125" style="46" customWidth="1"/>
    <col min="15" max="15" width="7" style="46" customWidth="1"/>
    <col min="16" max="16384" width="9.140625" style="46"/>
  </cols>
  <sheetData>
    <row r="1" spans="1:16" ht="12.75" customHeight="1" x14ac:dyDescent="0.2">
      <c r="A1" s="46" t="s">
        <v>625</v>
      </c>
      <c r="B1" s="47" t="s">
        <v>1007</v>
      </c>
      <c r="G1" s="50">
        <f>'Oil Price'!F29</f>
        <v>8.4682539682539684</v>
      </c>
      <c r="H1" s="50">
        <v>0.1</v>
      </c>
      <c r="L1" s="48" t="s">
        <v>693</v>
      </c>
      <c r="M1" s="48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1250</v>
      </c>
      <c r="O3" s="48" t="s">
        <v>1251</v>
      </c>
      <c r="P3" s="48"/>
    </row>
    <row r="4" spans="1:16" ht="12.75" customHeight="1" x14ac:dyDescent="0.2">
      <c r="G4" s="50">
        <f>G1+H1</f>
        <v>8.568253968253968</v>
      </c>
      <c r="H4" s="50"/>
      <c r="J4" s="46">
        <v>1</v>
      </c>
      <c r="L4" s="48" t="s">
        <v>696</v>
      </c>
      <c r="M4" s="48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'Delo 5W30'!B6+('Delo 5W30 Gallon'!G4-'Delo 5W30'!G4)*'Delo 5W30 Gallon'!F6+'Delo 5W30 Gallon'!M2</f>
        <v>438.94634920634923</v>
      </c>
      <c r="C6" s="49">
        <f>E6+G6+H6</f>
        <v>275.49634920634918</v>
      </c>
      <c r="D6" s="48"/>
      <c r="E6" s="49">
        <f>'15W40'!E6</f>
        <v>53.290000000000006</v>
      </c>
      <c r="F6" s="48">
        <f>'15W40'!F6</f>
        <v>25</v>
      </c>
      <c r="G6" s="49">
        <f>F6*G4</f>
        <v>214.20634920634919</v>
      </c>
      <c r="H6" s="49">
        <v>8</v>
      </c>
      <c r="I6" s="55">
        <f>B6-C6</f>
        <v>163.45000000000005</v>
      </c>
      <c r="J6" s="56">
        <f>C6/B6</f>
        <v>0.6276310298615515</v>
      </c>
      <c r="K6" s="56">
        <f>1-J6</f>
        <v>0.3723689701384485</v>
      </c>
      <c r="N6" s="49">
        <f>B6-'Delo 5W30'!B6</f>
        <v>56.956349206349216</v>
      </c>
      <c r="O6" s="49">
        <f>C6-'Delo 5W30'!C6</f>
        <v>41.956349206349159</v>
      </c>
      <c r="P6" s="49"/>
    </row>
    <row r="7" spans="1:16" ht="12.75" customHeight="1" x14ac:dyDescent="0.2">
      <c r="A7" s="48" t="s">
        <v>633</v>
      </c>
      <c r="B7" s="49">
        <f>'Delo 5W30'!B7+('Delo 5W30 Gallon'!G4-'Delo 5W30'!G4)*'Delo 5W30 Gallon'!F7+'Delo 5W30 Gallon'!M2</f>
        <v>416.94634920634923</v>
      </c>
      <c r="C7" s="49">
        <f>E7+G7+H7</f>
        <v>244.0055492063492</v>
      </c>
      <c r="D7" s="48"/>
      <c r="E7" s="49">
        <f>'15W40'!E7</f>
        <v>21.799199999999999</v>
      </c>
      <c r="F7" s="48">
        <f>'15W40'!F7</f>
        <v>25</v>
      </c>
      <c r="G7" s="49">
        <f>F7*G4</f>
        <v>214.20634920634919</v>
      </c>
      <c r="H7" s="49">
        <v>8</v>
      </c>
      <c r="I7" s="55">
        <f>B7-C7</f>
        <v>172.94080000000002</v>
      </c>
      <c r="J7" s="56">
        <f>C7/B7</f>
        <v>0.5852204958043401</v>
      </c>
      <c r="K7" s="56">
        <f t="shared" ref="K7:K73" si="0">1-J7</f>
        <v>0.4147795041956599</v>
      </c>
      <c r="N7" s="49">
        <f>B7-'Delo 5W30'!B7</f>
        <v>56.956349206349216</v>
      </c>
      <c r="O7" s="49">
        <f>C7-'Delo 5W30'!C7</f>
        <v>41.956349206349216</v>
      </c>
      <c r="P7" s="48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N8" s="49"/>
      <c r="O8" s="49"/>
      <c r="P8" s="48"/>
    </row>
    <row r="9" spans="1:16" ht="12.75" customHeight="1" x14ac:dyDescent="0.2">
      <c r="A9" s="48" t="s">
        <v>634</v>
      </c>
      <c r="B9" s="49">
        <f>'Delo 5W30'!B9+('Delo 5W30 Gallon'!G4-'Delo 5W30'!G4)*'Delo 5W30 Gallon'!F9+'Delo 5W30 Gallon'!M2</f>
        <v>564.0836507936508</v>
      </c>
      <c r="C9" s="49">
        <f>E9+G9+H9</f>
        <v>404.17365079365078</v>
      </c>
      <c r="D9" s="48"/>
      <c r="E9" s="49">
        <f>'15W40'!E9</f>
        <v>70.58</v>
      </c>
      <c r="F9" s="48">
        <f>'15W40'!F9</f>
        <v>38</v>
      </c>
      <c r="G9" s="49">
        <f>F9*G4</f>
        <v>325.5936507936508</v>
      </c>
      <c r="H9" s="49">
        <v>8</v>
      </c>
      <c r="I9" s="55">
        <f>B9-C9</f>
        <v>159.91000000000003</v>
      </c>
      <c r="J9" s="56">
        <f>C9/B9</f>
        <v>0.71651367704947511</v>
      </c>
      <c r="K9" s="56">
        <f t="shared" si="0"/>
        <v>0.28348632295052489</v>
      </c>
      <c r="N9" s="49">
        <f>B9-'Delo 5W30'!B9</f>
        <v>78.773650793650802</v>
      </c>
      <c r="O9" s="49">
        <f>C9-'Delo 5W30'!C9</f>
        <v>63.773650793650802</v>
      </c>
      <c r="P9" s="48"/>
    </row>
    <row r="10" spans="1:16" ht="12.75" customHeight="1" x14ac:dyDescent="0.2">
      <c r="A10" s="48" t="s">
        <v>635</v>
      </c>
      <c r="B10" s="49">
        <f>'Delo 5W30'!B10+('Delo 5W30 Gallon'!G4-'Delo 5W30'!G4)*'Delo 5W30 Gallon'!F10+'Delo 5W30 Gallon'!M2</f>
        <v>523.0836507936508</v>
      </c>
      <c r="C10" s="49">
        <f>E10+G10+H10</f>
        <v>364.6384507936508</v>
      </c>
      <c r="D10" s="48"/>
      <c r="E10" s="49">
        <f>'15W40'!E10</f>
        <v>31.044799999999999</v>
      </c>
      <c r="F10" s="48">
        <f>'15W40'!F10</f>
        <v>38</v>
      </c>
      <c r="G10" s="49">
        <f>F10*G4</f>
        <v>325.5936507936508</v>
      </c>
      <c r="H10" s="49">
        <v>8</v>
      </c>
      <c r="I10" s="55">
        <f>B10-C10</f>
        <v>158.4452</v>
      </c>
      <c r="J10" s="56">
        <f>C10/B10</f>
        <v>0.69709395474395275</v>
      </c>
      <c r="K10" s="56">
        <f t="shared" si="0"/>
        <v>0.30290604525604725</v>
      </c>
      <c r="N10" s="49">
        <f>B10-'Delo 5W30'!B10</f>
        <v>78.773650793650802</v>
      </c>
      <c r="O10" s="49">
        <f>C10-'Delo 5W30'!C10</f>
        <v>63.773650793650802</v>
      </c>
      <c r="P10" s="48"/>
    </row>
    <row r="11" spans="1:16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N11" s="49"/>
      <c r="O11" s="49"/>
      <c r="P11" s="48"/>
    </row>
    <row r="12" spans="1:16" ht="12.75" customHeight="1" x14ac:dyDescent="0.2">
      <c r="A12" s="48" t="s">
        <v>637</v>
      </c>
      <c r="B12" s="49">
        <f>'Delo 5W30'!B12+('Delo 5W30 Gallon'!G4-'Delo 5W30'!G4)*'Delo 5W30 Gallon'!F12+'Delo 5W30 Gallon'!M3</f>
        <v>620.67492063492068</v>
      </c>
      <c r="C12" s="49">
        <f>E12+G12+H12</f>
        <v>447.0149206349206</v>
      </c>
      <c r="D12" s="48"/>
      <c r="E12" s="49">
        <f>'15W40'!E12</f>
        <v>70.58</v>
      </c>
      <c r="F12" s="48">
        <f>'15W40'!F12</f>
        <v>43</v>
      </c>
      <c r="G12" s="49">
        <f>F12*G4</f>
        <v>368.43492063492062</v>
      </c>
      <c r="H12" s="49">
        <v>8</v>
      </c>
      <c r="I12" s="55">
        <f>B12-C12</f>
        <v>173.66000000000008</v>
      </c>
      <c r="J12" s="56">
        <f>C12/B12</f>
        <v>0.72020780246388205</v>
      </c>
      <c r="K12" s="56">
        <f t="shared" si="0"/>
        <v>0.27979219753611795</v>
      </c>
      <c r="N12" s="49">
        <f>B12-'Delo 5W30'!B12</f>
        <v>92.164920634920691</v>
      </c>
      <c r="O12" s="49">
        <f>C12-'Delo 5W30'!C12</f>
        <v>72.164920634920634</v>
      </c>
      <c r="P12" s="48"/>
    </row>
    <row r="13" spans="1:16" ht="12.75" customHeight="1" x14ac:dyDescent="0.2">
      <c r="A13" s="48" t="s">
        <v>638</v>
      </c>
      <c r="B13" s="49">
        <f>'Delo 5W30'!B13+('Delo 5W30 Gallon'!G4-'Delo 5W30'!G4)*'Delo 5W30 Gallon'!F13+'Delo 5W30 Gallon'!M3</f>
        <v>579.67492063492068</v>
      </c>
      <c r="C13" s="49">
        <f>E13+G13+H13</f>
        <v>407.47972063492062</v>
      </c>
      <c r="D13" s="48"/>
      <c r="E13" s="49">
        <f>'15W40'!E13</f>
        <v>31.044799999999999</v>
      </c>
      <c r="F13" s="48">
        <f>'15W40'!F13</f>
        <v>43</v>
      </c>
      <c r="G13" s="49">
        <f>F13*G4</f>
        <v>368.43492063492062</v>
      </c>
      <c r="H13" s="49">
        <v>8</v>
      </c>
      <c r="I13" s="55">
        <f>B13-C13</f>
        <v>172.19520000000006</v>
      </c>
      <c r="J13" s="56">
        <f>C13/B13</f>
        <v>0.70294523038637957</v>
      </c>
      <c r="K13" s="56">
        <f t="shared" si="0"/>
        <v>0.29705476961362043</v>
      </c>
      <c r="N13" s="49">
        <f>B13-'Delo 5W30'!B13</f>
        <v>92.164920634920691</v>
      </c>
      <c r="O13" s="49">
        <f>C13-'Delo 5W30'!C13</f>
        <v>72.164920634920634</v>
      </c>
      <c r="P13" s="48"/>
    </row>
    <row r="14" spans="1:16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N14" s="49"/>
      <c r="O14" s="49"/>
      <c r="P14" s="48"/>
    </row>
    <row r="15" spans="1:16" ht="12.75" customHeight="1" x14ac:dyDescent="0.2">
      <c r="A15" s="48" t="s">
        <v>639</v>
      </c>
      <c r="B15" s="49">
        <f>'Delo 5W30'!B15+('Delo 5W30 Gallon'!G4-'Delo 5W30'!G4)*'Delo 5W30 Gallon'!F15+'Delo 5W30 Gallon'!M3</f>
        <v>554.7201587301588</v>
      </c>
      <c r="C15" s="49">
        <f t="shared" ref="C15:C21" si="1">E15+G15+H15</f>
        <v>382.16135873015872</v>
      </c>
      <c r="D15" s="48"/>
      <c r="E15" s="49">
        <f>'15W40'!E15</f>
        <v>31.4312</v>
      </c>
      <c r="F15" s="48">
        <f>'15W40'!F15</f>
        <v>40</v>
      </c>
      <c r="G15" s="49">
        <f>F15*G4</f>
        <v>342.73015873015873</v>
      </c>
      <c r="H15" s="49">
        <v>8</v>
      </c>
      <c r="I15" s="55">
        <f t="shared" ref="I15:I21" si="2">B15-C15</f>
        <v>172.55880000000008</v>
      </c>
      <c r="J15" s="56">
        <f t="shared" ref="J15:J21" si="3">C15/B15</f>
        <v>0.68892639417501222</v>
      </c>
      <c r="K15" s="56">
        <f t="shared" si="0"/>
        <v>0.31107360582498778</v>
      </c>
      <c r="N15" s="49">
        <f>B15-'Delo 5W30'!B15</f>
        <v>87.130158730158769</v>
      </c>
      <c r="O15" s="49">
        <f>C15-'Delo 5W30'!C15</f>
        <v>67.130158730158769</v>
      </c>
      <c r="P15" s="48"/>
    </row>
    <row r="16" spans="1:16" ht="12.75" customHeight="1" x14ac:dyDescent="0.2">
      <c r="A16" s="48" t="s">
        <v>640</v>
      </c>
      <c r="B16" s="49">
        <f>'Delo 5W30'!B16+('Delo 5W30 Gallon'!G4-'Delo 5W30'!G4)*'Delo 5W30 Gallon'!F16+'Delo 5W30 Gallon'!M1</f>
        <v>271.44555555555553</v>
      </c>
      <c r="C16" s="49">
        <f t="shared" si="1"/>
        <v>134.67555555555555</v>
      </c>
      <c r="D16" s="48"/>
      <c r="E16" s="49">
        <f>'15W40'!E16</f>
        <v>6.7200000000000006</v>
      </c>
      <c r="F16" s="48">
        <f>'15W40'!F16</f>
        <v>14</v>
      </c>
      <c r="G16" s="49">
        <f>F16*G4</f>
        <v>119.95555555555555</v>
      </c>
      <c r="H16" s="49">
        <v>8</v>
      </c>
      <c r="I16" s="55">
        <f t="shared" si="2"/>
        <v>136.76999999999998</v>
      </c>
      <c r="J16" s="56">
        <f t="shared" si="3"/>
        <v>0.49614205426911884</v>
      </c>
      <c r="K16" s="56">
        <f t="shared" si="0"/>
        <v>0.50385794573088116</v>
      </c>
      <c r="N16" s="49">
        <f>B16-'Delo 5W30'!B16</f>
        <v>33.495555555555541</v>
      </c>
      <c r="O16" s="49">
        <f>C16-'Delo 5W30'!C16</f>
        <v>23.495555555555555</v>
      </c>
      <c r="P16" s="48"/>
    </row>
    <row r="17" spans="1:16" ht="12.75" customHeight="1" x14ac:dyDescent="0.2">
      <c r="A17" s="48" t="s">
        <v>641</v>
      </c>
      <c r="B17" s="49">
        <f>'Delo 5W30'!B17+('Delo 5W30 Gallon'!G4-'Delo 5W30'!G4)*'Delo 5W30 Gallon'!F17+'Delo 5W30 Gallon'!M2</f>
        <v>430.94634920634923</v>
      </c>
      <c r="C17" s="49">
        <f t="shared" si="1"/>
        <v>273.01674920634917</v>
      </c>
      <c r="D17" s="48"/>
      <c r="E17" s="49">
        <f>'15W40'!E17</f>
        <v>50.810400000000001</v>
      </c>
      <c r="F17" s="48">
        <f>'15W40'!F17</f>
        <v>25</v>
      </c>
      <c r="G17" s="49">
        <f>F17*G4</f>
        <v>214.20634920634919</v>
      </c>
      <c r="H17" s="49">
        <v>8</v>
      </c>
      <c r="I17" s="55">
        <f t="shared" si="2"/>
        <v>157.92960000000005</v>
      </c>
      <c r="J17" s="56">
        <f t="shared" si="3"/>
        <v>0.63352839560922025</v>
      </c>
      <c r="K17" s="56">
        <f t="shared" si="0"/>
        <v>0.36647160439077975</v>
      </c>
      <c r="N17" s="49">
        <f>B17-'Delo 5W30'!B17</f>
        <v>56.956349206349216</v>
      </c>
      <c r="O17" s="49">
        <f>C17-'Delo 5W30'!C17</f>
        <v>41.956349206349159</v>
      </c>
      <c r="P17" s="48"/>
    </row>
    <row r="18" spans="1:16" ht="12.75" customHeight="1" x14ac:dyDescent="0.2">
      <c r="A18" s="48" t="s">
        <v>642</v>
      </c>
      <c r="B18" s="49">
        <f>'Delo 5W30'!B18+('Delo 5W30 Gallon'!G4-'Delo 5W30'!G4)*'Delo 5W30 Gallon'!F18+'Delo 5W30 Gallon'!M2</f>
        <v>428.94634920634923</v>
      </c>
      <c r="C18" s="49">
        <f t="shared" si="1"/>
        <v>248.8943492063492</v>
      </c>
      <c r="D18" s="48"/>
      <c r="E18" s="49">
        <f>'15W40'!E18</f>
        <v>26.688000000000002</v>
      </c>
      <c r="F18" s="48">
        <f>'15W40'!F18</f>
        <v>25</v>
      </c>
      <c r="G18" s="49">
        <f>F18*G4</f>
        <v>214.20634920634919</v>
      </c>
      <c r="H18" s="49">
        <v>8</v>
      </c>
      <c r="I18" s="55">
        <f t="shared" si="2"/>
        <v>180.05200000000002</v>
      </c>
      <c r="J18" s="56">
        <f t="shared" si="3"/>
        <v>0.5802458737948506</v>
      </c>
      <c r="K18" s="56">
        <f t="shared" si="0"/>
        <v>0.4197541262051494</v>
      </c>
      <c r="N18" s="49">
        <f>B18-'Delo 5W30'!B18</f>
        <v>56.956349206349216</v>
      </c>
      <c r="O18" s="49">
        <f>C18-'Delo 5W30'!C18</f>
        <v>41.956349206349216</v>
      </c>
      <c r="P18" s="48"/>
    </row>
    <row r="19" spans="1:16" ht="12.75" customHeight="1" x14ac:dyDescent="0.2">
      <c r="A19" s="48" t="s">
        <v>643</v>
      </c>
      <c r="B19" s="49">
        <f>'Delo 5W30'!B19+('Delo 5W30 Gallon'!G4-'Delo 5W30'!G4)*'Delo 5W30 Gallon'!F19+'Delo 5W30 Gallon'!M2</f>
        <v>513.44714285714281</v>
      </c>
      <c r="C19" s="49">
        <f t="shared" si="1"/>
        <v>356.29154285714287</v>
      </c>
      <c r="D19" s="48"/>
      <c r="E19" s="49">
        <f>'15W40'!E19</f>
        <v>39.834400000000002</v>
      </c>
      <c r="F19" s="48">
        <f>'15W40'!F19</f>
        <v>36</v>
      </c>
      <c r="G19" s="49">
        <f>F19*G4</f>
        <v>308.45714285714286</v>
      </c>
      <c r="H19" s="49">
        <v>8</v>
      </c>
      <c r="I19" s="55">
        <f t="shared" si="2"/>
        <v>157.15559999999994</v>
      </c>
      <c r="J19" s="56">
        <f t="shared" si="3"/>
        <v>0.69392058717965133</v>
      </c>
      <c r="K19" s="56">
        <f t="shared" si="0"/>
        <v>0.30607941282034867</v>
      </c>
      <c r="N19" s="49">
        <f>B19-'Delo 5W30'!B19</f>
        <v>75.417142857142835</v>
      </c>
      <c r="O19" s="49">
        <f>C19-'Delo 5W30'!C19</f>
        <v>60.417142857142892</v>
      </c>
      <c r="P19" s="48"/>
    </row>
    <row r="20" spans="1:16" ht="12.75" customHeight="1" x14ac:dyDescent="0.2">
      <c r="A20" s="48" t="s">
        <v>645</v>
      </c>
      <c r="B20" s="49">
        <f>'Delo 5W30'!B20+('Delo 5W30 Gallon'!G4-'Delo 5W30'!G4)*'Delo 5W30 Gallon'!F20+'Delo 5W30 Gallon'!M3</f>
        <v>648.99317460317457</v>
      </c>
      <c r="C20" s="49">
        <f t="shared" si="1"/>
        <v>470.65277460317463</v>
      </c>
      <c r="D20" s="48"/>
      <c r="E20" s="49">
        <f>'15W40'!E20</f>
        <v>85.649600000000007</v>
      </c>
      <c r="F20" s="48">
        <f>'15W40'!F20</f>
        <v>44</v>
      </c>
      <c r="G20" s="49">
        <f>F20*G4</f>
        <v>377.00317460317461</v>
      </c>
      <c r="H20" s="49">
        <v>8</v>
      </c>
      <c r="I20" s="55">
        <f t="shared" si="2"/>
        <v>178.34039999999993</v>
      </c>
      <c r="J20" s="56">
        <f t="shared" si="3"/>
        <v>0.72520450602728481</v>
      </c>
      <c r="K20" s="56">
        <f t="shared" si="0"/>
        <v>0.27479549397271519</v>
      </c>
      <c r="N20" s="49">
        <f>B20-'Delo 5W30'!B20</f>
        <v>93.843174603174589</v>
      </c>
      <c r="O20" s="49">
        <f>C20-'Delo 5W30'!C20</f>
        <v>73.843174603174646</v>
      </c>
      <c r="P20" s="48"/>
    </row>
    <row r="21" spans="1:16" ht="12.75" customHeight="1" x14ac:dyDescent="0.2">
      <c r="A21" s="48" t="s">
        <v>646</v>
      </c>
      <c r="B21" s="49">
        <f>'Delo 5W30'!B21+('Delo 5W30 Gallon'!G4-'Delo 5W30'!G4)*'Delo 5W30 Gallon'!F21+'Delo 5W30 Gallon'!M2</f>
        <v>487.81063492063493</v>
      </c>
      <c r="C21" s="49">
        <f t="shared" si="1"/>
        <v>330.75183492063491</v>
      </c>
      <c r="D21" s="48"/>
      <c r="E21" s="49">
        <f>'15W40'!E21</f>
        <v>31.4312</v>
      </c>
      <c r="F21" s="48">
        <f>'15W40'!F21</f>
        <v>34</v>
      </c>
      <c r="G21" s="49">
        <f>F21*G4</f>
        <v>291.32063492063492</v>
      </c>
      <c r="H21" s="49">
        <v>8</v>
      </c>
      <c r="I21" s="55">
        <f t="shared" si="2"/>
        <v>157.05880000000002</v>
      </c>
      <c r="J21" s="56">
        <f t="shared" si="3"/>
        <v>0.67803325971859363</v>
      </c>
      <c r="K21" s="56">
        <f t="shared" si="0"/>
        <v>0.32196674028140637</v>
      </c>
      <c r="N21" s="49">
        <f>B21-'Delo 5W30'!B21</f>
        <v>72.060634920634925</v>
      </c>
      <c r="O21" s="49">
        <f>C21-'Delo 5W30'!C21</f>
        <v>57.060634920634925</v>
      </c>
      <c r="P21" s="48"/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N22" s="49"/>
      <c r="O22" s="49"/>
      <c r="P22" s="48"/>
    </row>
    <row r="23" spans="1:16" ht="12.75" customHeight="1" x14ac:dyDescent="0.2">
      <c r="A23" s="48" t="s">
        <v>647</v>
      </c>
      <c r="B23" s="49">
        <f>'Delo 5W30'!B23+('Delo 5W30 Gallon'!G4-'Delo 5W30'!G4)*'Delo 5W30 Gallon'!F23+'Delo 5W30 Gallon'!M2</f>
        <v>579.0836507936508</v>
      </c>
      <c r="C23" s="49">
        <f t="shared" ref="C23:C28" si="4">E23+G23+H23</f>
        <v>411.2136507936508</v>
      </c>
      <c r="D23" s="48"/>
      <c r="E23" s="49">
        <f>'15W40'!E23</f>
        <v>77.62</v>
      </c>
      <c r="F23" s="48">
        <f>'15W40'!F23</f>
        <v>38</v>
      </c>
      <c r="G23" s="49">
        <f>F23*G4</f>
        <v>325.5936507936508</v>
      </c>
      <c r="H23" s="49">
        <v>8</v>
      </c>
      <c r="I23" s="55">
        <f t="shared" ref="I23:I74" si="5">B23-C23</f>
        <v>167.87</v>
      </c>
      <c r="J23" s="56">
        <f t="shared" ref="J23:J74" si="6">C23/B23</f>
        <v>0.7101109662309939</v>
      </c>
      <c r="K23" s="56">
        <f t="shared" si="0"/>
        <v>0.2898890337690061</v>
      </c>
      <c r="N23" s="49">
        <f>B23-'Delo 5W30'!B23</f>
        <v>78.773650793650802</v>
      </c>
      <c r="O23" s="49">
        <f>C23-'Delo 5W30'!C23</f>
        <v>63.773650793650802</v>
      </c>
      <c r="P23" s="48"/>
    </row>
    <row r="24" spans="1:16" ht="12.75" customHeight="1" x14ac:dyDescent="0.2">
      <c r="A24" s="48" t="s">
        <v>648</v>
      </c>
      <c r="B24" s="49">
        <f>'Delo 5W30'!B24+('Delo 5W30 Gallon'!G4-'Delo 5W30'!G4)*'Delo 5W30 Gallon'!F24+'Delo 5W30 Gallon'!M2</f>
        <v>613.17412698412704</v>
      </c>
      <c r="C24" s="49">
        <f t="shared" si="4"/>
        <v>451.034126984127</v>
      </c>
      <c r="D24" s="48"/>
      <c r="E24" s="49">
        <f>'15W40'!E24</f>
        <v>168.85000000000002</v>
      </c>
      <c r="F24" s="48">
        <f>'15W40'!F24</f>
        <v>32</v>
      </c>
      <c r="G24" s="49">
        <f>F24*G4</f>
        <v>274.18412698412698</v>
      </c>
      <c r="H24" s="49">
        <v>8</v>
      </c>
      <c r="I24" s="55">
        <f t="shared" si="5"/>
        <v>162.14000000000004</v>
      </c>
      <c r="J24" s="56">
        <f t="shared" si="6"/>
        <v>0.73557266547191202</v>
      </c>
      <c r="K24" s="56">
        <f t="shared" si="0"/>
        <v>0.26442733452808798</v>
      </c>
      <c r="N24" s="49">
        <f>B24-'Delo 5W30'!B24</f>
        <v>68.704126984127015</v>
      </c>
      <c r="O24" s="49">
        <f>C24-'Delo 5W30'!C24</f>
        <v>53.704126984126958</v>
      </c>
      <c r="P24" s="48"/>
    </row>
    <row r="25" spans="1:16" ht="12.75" customHeight="1" x14ac:dyDescent="0.2">
      <c r="A25" s="48" t="s">
        <v>649</v>
      </c>
      <c r="B25" s="49">
        <f>'Delo 5W30'!B25+('Delo 5W30 Gallon'!G4-'Delo 5W30'!G4)*'Delo 5W30 Gallon'!F25+'Delo 5W30 Gallon'!M3</f>
        <v>677.35666666666668</v>
      </c>
      <c r="C25" s="49">
        <f t="shared" si="4"/>
        <v>505.65666666666669</v>
      </c>
      <c r="D25" s="48"/>
      <c r="E25" s="49">
        <f>'15W40'!E25</f>
        <v>137.79000000000002</v>
      </c>
      <c r="F25" s="48">
        <f>'15W40'!F25</f>
        <v>42</v>
      </c>
      <c r="G25" s="49">
        <f>F25*G4</f>
        <v>359.86666666666667</v>
      </c>
      <c r="H25" s="49">
        <v>8</v>
      </c>
      <c r="I25" s="55">
        <f t="shared" si="5"/>
        <v>171.7</v>
      </c>
      <c r="J25" s="56">
        <f t="shared" si="6"/>
        <v>0.74651463778314731</v>
      </c>
      <c r="K25" s="56">
        <f t="shared" si="0"/>
        <v>0.25348536221685269</v>
      </c>
      <c r="N25" s="49">
        <f>B25-'Delo 5W30'!B25</f>
        <v>90.486666666666679</v>
      </c>
      <c r="O25" s="49">
        <f>C25-'Delo 5W30'!C25</f>
        <v>70.486666666666679</v>
      </c>
      <c r="P25" s="48"/>
    </row>
    <row r="26" spans="1:16" ht="12.75" customHeight="1" x14ac:dyDescent="0.2">
      <c r="A26" s="48" t="s">
        <v>650</v>
      </c>
      <c r="B26" s="49">
        <f>'Delo 5W30'!B26+('Delo 5W30 Gallon'!G4-'Delo 5W30'!G4)*'Delo 5W30 Gallon'!F26+'Delo 5W30 Gallon'!M3</f>
        <v>655.35666666666668</v>
      </c>
      <c r="C26" s="49">
        <f t="shared" si="4"/>
        <v>481.91946666666672</v>
      </c>
      <c r="D26" s="48"/>
      <c r="E26" s="49">
        <f>'15W40'!E26</f>
        <v>114.05280000000002</v>
      </c>
      <c r="F26" s="48">
        <f>'15W40'!F26</f>
        <v>42</v>
      </c>
      <c r="G26" s="49">
        <f>F26*G4</f>
        <v>359.86666666666667</v>
      </c>
      <c r="H26" s="49">
        <v>8</v>
      </c>
      <c r="I26" s="55">
        <f t="shared" si="5"/>
        <v>173.43719999999996</v>
      </c>
      <c r="J26" s="56">
        <f t="shared" si="6"/>
        <v>0.73535448890426081</v>
      </c>
      <c r="K26" s="56">
        <f t="shared" si="0"/>
        <v>0.26464551109573919</v>
      </c>
      <c r="N26" s="49">
        <f>B26-'Delo 5W30'!B26</f>
        <v>90.486666666666679</v>
      </c>
      <c r="O26" s="49">
        <f>C26-'Delo 5W30'!C26</f>
        <v>70.486666666666679</v>
      </c>
      <c r="P26" s="48"/>
    </row>
    <row r="27" spans="1:16" ht="12.75" customHeight="1" x14ac:dyDescent="0.2">
      <c r="A27" s="48" t="s">
        <v>651</v>
      </c>
      <c r="B27" s="49">
        <f>'Delo 5W30'!B27+('Delo 5W30 Gallon'!G4-'Delo 5W30'!G4)*'Delo 5W30 Gallon'!F27+'Delo 5W30 Gallon'!M2</f>
        <v>532.0836507936508</v>
      </c>
      <c r="C27" s="49">
        <f t="shared" si="4"/>
        <v>378.98485079365082</v>
      </c>
      <c r="D27" s="48"/>
      <c r="E27" s="49">
        <f>'15W40'!E27</f>
        <v>45.391199999999998</v>
      </c>
      <c r="F27" s="48">
        <f>'15W40'!F27</f>
        <v>38</v>
      </c>
      <c r="G27" s="49">
        <f>F27*G4</f>
        <v>325.5936507936508</v>
      </c>
      <c r="H27" s="49">
        <v>8</v>
      </c>
      <c r="I27" s="55">
        <f t="shared" si="5"/>
        <v>153.09879999999998</v>
      </c>
      <c r="J27" s="56">
        <f t="shared" si="6"/>
        <v>0.71226554363841232</v>
      </c>
      <c r="K27" s="56">
        <f t="shared" si="0"/>
        <v>0.28773445636158768</v>
      </c>
      <c r="N27" s="49">
        <f>B27-'Delo 5W30'!B27</f>
        <v>78.773650793650802</v>
      </c>
      <c r="O27" s="49">
        <f>C27-'Delo 5W30'!C27</f>
        <v>63.773650793650859</v>
      </c>
      <c r="P27" s="48"/>
    </row>
    <row r="28" spans="1:16" ht="12.75" customHeight="1" x14ac:dyDescent="0.2">
      <c r="A28" s="48" t="s">
        <v>652</v>
      </c>
      <c r="B28" s="49">
        <f>'Delo 5W30'!B28+('Delo 5W30 Gallon'!G4-'Delo 5W30'!G4)*'Delo 5W30 Gallon'!F28+'Delo 5W30 Gallon'!M1</f>
        <v>271.44555555555553</v>
      </c>
      <c r="C28" s="49">
        <f t="shared" si="4"/>
        <v>138.05795555555554</v>
      </c>
      <c r="D28" s="48"/>
      <c r="E28" s="49">
        <f>'15W40'!E28</f>
        <v>10.102400000000001</v>
      </c>
      <c r="F28" s="48">
        <f>'15W40'!F28</f>
        <v>14</v>
      </c>
      <c r="G28" s="49">
        <f>F28*G4</f>
        <v>119.95555555555555</v>
      </c>
      <c r="H28" s="49">
        <v>8</v>
      </c>
      <c r="I28" s="55">
        <f t="shared" si="5"/>
        <v>133.38759999999999</v>
      </c>
      <c r="J28" s="56">
        <f t="shared" si="6"/>
        <v>0.50860274824908613</v>
      </c>
      <c r="K28" s="56">
        <f t="shared" si="0"/>
        <v>0.49139725175091387</v>
      </c>
      <c r="N28" s="49">
        <f>B28-'Delo 5W30'!B28</f>
        <v>33.495555555555541</v>
      </c>
      <c r="O28" s="49">
        <f>C28-'Delo 5W30'!C28</f>
        <v>23.495555555555541</v>
      </c>
      <c r="P28" s="48"/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N29" s="49"/>
      <c r="O29" s="49"/>
      <c r="P29" s="48"/>
    </row>
    <row r="30" spans="1:16" ht="12.75" customHeight="1" x14ac:dyDescent="0.2">
      <c r="A30" s="48" t="s">
        <v>653</v>
      </c>
      <c r="B30" s="49">
        <f>'Delo 5W30'!B30+('Delo 5W30 Gallon'!G4-'Delo 5W30'!G4)*'Delo 5W30 Gallon'!F30+'Delo 5W30 Gallon'!M1</f>
        <v>271.44555555555553</v>
      </c>
      <c r="C30" s="49">
        <f>E30+G30+H30</f>
        <v>142.37235555555554</v>
      </c>
      <c r="D30" s="48"/>
      <c r="E30" s="49">
        <f>'15W40'!E30</f>
        <v>14.416800000000002</v>
      </c>
      <c r="F30" s="48">
        <f>'15W40'!F30</f>
        <v>14</v>
      </c>
      <c r="G30" s="49">
        <f>F30*G4</f>
        <v>119.95555555555555</v>
      </c>
      <c r="H30" s="49">
        <v>8</v>
      </c>
      <c r="I30" s="55">
        <f t="shared" si="5"/>
        <v>129.07319999999999</v>
      </c>
      <c r="J30" s="56">
        <f t="shared" si="6"/>
        <v>0.52449691159675971</v>
      </c>
      <c r="K30" s="56">
        <f t="shared" si="0"/>
        <v>0.47550308840324029</v>
      </c>
      <c r="N30" s="49">
        <f>B30-'Delo 5W30'!B30</f>
        <v>33.495555555555541</v>
      </c>
      <c r="O30" s="49">
        <f>C30-'Delo 5W30'!C30</f>
        <v>23.495555555555541</v>
      </c>
      <c r="P30" s="48"/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N31" s="49"/>
      <c r="O31" s="49"/>
      <c r="P31" s="48"/>
    </row>
    <row r="32" spans="1:16" ht="12.75" customHeight="1" x14ac:dyDescent="0.2">
      <c r="A32" s="48" t="s">
        <v>423</v>
      </c>
      <c r="B32" s="49">
        <f>'Delo 5W30'!B32+('Delo 5W30 Gallon'!G4-'Delo 5W30'!G4)*'Delo 5W30 Gallon'!F32+'Delo 5W30 Gallon'!M1</f>
        <v>370.44555555555553</v>
      </c>
      <c r="C32" s="49">
        <f>E32+G32+H32</f>
        <v>223.95555555555555</v>
      </c>
      <c r="D32" s="48"/>
      <c r="E32" s="49">
        <f>'15W40'!E32</f>
        <v>96</v>
      </c>
      <c r="F32" s="48">
        <f>'15W40'!F32</f>
        <v>14</v>
      </c>
      <c r="G32" s="49">
        <f>F32*G4</f>
        <v>119.95555555555555</v>
      </c>
      <c r="H32" s="49">
        <v>8</v>
      </c>
      <c r="I32" s="55">
        <f t="shared" si="5"/>
        <v>146.48999999999998</v>
      </c>
      <c r="J32" s="56">
        <f t="shared" si="6"/>
        <v>0.60455727487320077</v>
      </c>
      <c r="K32" s="56">
        <f t="shared" si="0"/>
        <v>0.39544272512679923</v>
      </c>
      <c r="N32" s="49">
        <f>B32-'Delo 5W30'!B32</f>
        <v>33.495555555555541</v>
      </c>
      <c r="O32" s="49">
        <f>C32-'Delo 5W30'!C32</f>
        <v>23.495555555555569</v>
      </c>
      <c r="P32" s="48"/>
    </row>
    <row r="33" spans="1:16" ht="12.75" customHeight="1" x14ac:dyDescent="0.2">
      <c r="A33" s="48" t="s">
        <v>654</v>
      </c>
      <c r="B33" s="49">
        <f>'Delo 5W30'!B33+('Delo 5W30 Gallon'!G4-'Delo 5W30'!G4)*'Delo 5W30 Gallon'!F33+'Delo 5W30 Gallon'!M1</f>
        <v>300.44555555555553</v>
      </c>
      <c r="C33" s="49">
        <f>E33+G33+H33</f>
        <v>155.37715555555553</v>
      </c>
      <c r="D33" s="48"/>
      <c r="E33" s="49">
        <f>'15W40'!E33</f>
        <v>27.421599999999998</v>
      </c>
      <c r="F33" s="48">
        <f>'15W40'!F33</f>
        <v>14</v>
      </c>
      <c r="G33" s="49">
        <f>F33*G4</f>
        <v>119.95555555555555</v>
      </c>
      <c r="H33" s="49">
        <v>8</v>
      </c>
      <c r="I33" s="55">
        <f t="shared" si="5"/>
        <v>145.0684</v>
      </c>
      <c r="J33" s="56">
        <f t="shared" si="6"/>
        <v>0.51715577974933524</v>
      </c>
      <c r="K33" s="56">
        <f t="shared" si="0"/>
        <v>0.48284422025066476</v>
      </c>
      <c r="N33" s="49">
        <f>B33-'Delo 5W30'!B33</f>
        <v>33.495555555555541</v>
      </c>
      <c r="O33" s="49">
        <f>C33-'Delo 5W30'!C33</f>
        <v>23.495555555555541</v>
      </c>
      <c r="P33" s="48"/>
    </row>
    <row r="34" spans="1:16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N34" s="49"/>
      <c r="O34" s="49"/>
      <c r="P34" s="48"/>
    </row>
    <row r="35" spans="1:16" ht="12.75" customHeight="1" x14ac:dyDescent="0.2">
      <c r="A35" s="48" t="s">
        <v>655</v>
      </c>
      <c r="B35" s="49">
        <f>'Delo 5W30'!B35+('Delo 5W30 Gallon'!G4-'Delo 5W30'!G4)*'Delo 5W30 Gallon'!F35+'Delo 5W30 Gallon'!M2</f>
        <v>443.26460317460317</v>
      </c>
      <c r="C35" s="49">
        <f>E35+G35+H35</f>
        <v>284.34340317460317</v>
      </c>
      <c r="D35" s="49"/>
      <c r="E35" s="49">
        <f>'15W40'!E35</f>
        <v>53.56880000000001</v>
      </c>
      <c r="F35" s="48">
        <f>'15W40'!F35</f>
        <v>26</v>
      </c>
      <c r="G35" s="49">
        <f>F35*G4</f>
        <v>222.77460317460316</v>
      </c>
      <c r="H35" s="49">
        <v>8</v>
      </c>
      <c r="I35" s="55">
        <f t="shared" si="5"/>
        <v>158.9212</v>
      </c>
      <c r="J35" s="56">
        <f t="shared" si="6"/>
        <v>0.64147554561806397</v>
      </c>
      <c r="K35" s="56">
        <f t="shared" si="0"/>
        <v>0.35852445438193603</v>
      </c>
      <c r="N35" s="49">
        <f>B35-'Delo 5W30'!B35</f>
        <v>58.634603174603171</v>
      </c>
      <c r="O35" s="49">
        <f>C35-'Delo 5W30'!C35</f>
        <v>43.634603174603171</v>
      </c>
      <c r="P35" s="48"/>
    </row>
    <row r="36" spans="1:16" ht="12.75" customHeight="1" x14ac:dyDescent="0.2">
      <c r="A36" s="48" t="s">
        <v>1245</v>
      </c>
      <c r="B36" s="49">
        <f>'Delo 5W30'!B36+('Delo 5W30 Gallon'!G4-'Delo 5W30'!G4)*'Delo 5W30 Gallon'!F36+'Delo 5W30 Gallon'!M3</f>
        <v>778.62968253968245</v>
      </c>
      <c r="C36" s="49">
        <f>E36+G36+H36</f>
        <v>580.93968253968251</v>
      </c>
      <c r="D36" s="49"/>
      <c r="E36" s="49">
        <f>'15W40'!E36</f>
        <v>178.8</v>
      </c>
      <c r="F36" s="48">
        <f>'15W40'!F36</f>
        <v>46</v>
      </c>
      <c r="G36" s="49">
        <f>F36*G4</f>
        <v>394.13968253968255</v>
      </c>
      <c r="H36" s="49">
        <v>8</v>
      </c>
      <c r="I36" s="55">
        <f t="shared" si="5"/>
        <v>197.68999999999994</v>
      </c>
      <c r="J36" s="56">
        <f t="shared" si="6"/>
        <v>0.74610523534732476</v>
      </c>
      <c r="K36" s="56">
        <f t="shared" si="0"/>
        <v>0.25389476465267524</v>
      </c>
      <c r="N36" s="49"/>
      <c r="O36" s="49">
        <f>C36-'Delo 5W30'!C36</f>
        <v>77.199682539682499</v>
      </c>
      <c r="P36" s="48"/>
    </row>
    <row r="37" spans="1:16" ht="12.75" customHeight="1" x14ac:dyDescent="0.2">
      <c r="A37" s="48" t="s">
        <v>1249</v>
      </c>
      <c r="B37" s="49">
        <f>'Delo 5W30'!B37+('Delo 5W30 Gallon'!G4-'Delo 5W30'!G4)*'Delo 5W30 Gallon'!F37+'Delo 5W30 Gallon'!M1</f>
        <v>313.48555555555555</v>
      </c>
      <c r="C37" s="49">
        <f>E37+G37+H37</f>
        <v>185.82835555555556</v>
      </c>
      <c r="D37" s="49"/>
      <c r="E37" s="49">
        <f>'15W40'!E37</f>
        <v>57.872799999999998</v>
      </c>
      <c r="F37" s="48">
        <f>'15W40'!F37</f>
        <v>14</v>
      </c>
      <c r="G37" s="49">
        <f>F37*G4</f>
        <v>119.95555555555555</v>
      </c>
      <c r="H37" s="49">
        <v>8</v>
      </c>
      <c r="I37" s="55">
        <f t="shared" si="5"/>
        <v>127.65719999999999</v>
      </c>
      <c r="J37" s="56">
        <f t="shared" si="6"/>
        <v>0.59278123748391742</v>
      </c>
      <c r="K37" s="56">
        <f t="shared" si="0"/>
        <v>0.40721876251608258</v>
      </c>
      <c r="N37" s="49"/>
      <c r="O37" s="49"/>
      <c r="P37" s="48"/>
    </row>
    <row r="38" spans="1:16" ht="12.75" customHeight="1" x14ac:dyDescent="0.2">
      <c r="A38" s="48" t="s">
        <v>1124</v>
      </c>
      <c r="B38" s="49">
        <f>'Delo 5W30'!B38+('Delo 5W30 Gallon'!G4-'Delo 5W30'!G4)*'Delo 5W30 Gallon'!F38+'Delo 5W30 Gallon'!M2</f>
        <v>341.44555555555553</v>
      </c>
      <c r="C38" s="49">
        <f t="shared" ref="C38:C53" si="7">E38+G38+H38</f>
        <v>172.09635555555553</v>
      </c>
      <c r="D38" s="48"/>
      <c r="E38" s="49">
        <f>'15W40'!E38</f>
        <v>44.140799999999999</v>
      </c>
      <c r="F38" s="48">
        <f>'15W40'!F38</f>
        <v>14</v>
      </c>
      <c r="G38" s="49">
        <f>F38*G4</f>
        <v>119.95555555555555</v>
      </c>
      <c r="H38" s="49">
        <v>8</v>
      </c>
      <c r="I38" s="55">
        <f t="shared" si="5"/>
        <v>169.3492</v>
      </c>
      <c r="J38" s="56">
        <f t="shared" si="6"/>
        <v>0.50402283103536916</v>
      </c>
      <c r="K38" s="56">
        <f t="shared" si="0"/>
        <v>0.49597716896463084</v>
      </c>
      <c r="N38" s="49">
        <f>B38-'Delo 5W30'!B38</f>
        <v>38.495555555555541</v>
      </c>
      <c r="O38" s="49">
        <f>C38-'Delo 5W30'!C38</f>
        <v>23.495555555555541</v>
      </c>
      <c r="P38" s="48"/>
    </row>
    <row r="39" spans="1:16" ht="12.75" customHeight="1" x14ac:dyDescent="0.2">
      <c r="A39" s="48" t="s">
        <v>425</v>
      </c>
      <c r="B39" s="49">
        <f>'Delo 5W30'!B39+('Delo 5W30 Gallon'!G4-'Delo 5W30'!G4)*'Delo 5W30 Gallon'!F39+'Delo 5W30 Gallon'!M3</f>
        <v>416.44555555555553</v>
      </c>
      <c r="C39" s="49">
        <f t="shared" si="7"/>
        <v>196.92555555555555</v>
      </c>
      <c r="D39" s="48"/>
      <c r="E39" s="49">
        <f>'15W40'!E39</f>
        <v>68.97</v>
      </c>
      <c r="F39" s="48">
        <f>'15W40'!F39</f>
        <v>14</v>
      </c>
      <c r="G39" s="49">
        <f>F39*G4</f>
        <v>119.95555555555555</v>
      </c>
      <c r="H39" s="49">
        <v>8</v>
      </c>
      <c r="I39" s="55">
        <f t="shared" si="5"/>
        <v>219.51999999999998</v>
      </c>
      <c r="J39" s="56">
        <f t="shared" si="6"/>
        <v>0.47287227088508305</v>
      </c>
      <c r="K39" s="56">
        <f t="shared" si="0"/>
        <v>0.52712772911491701</v>
      </c>
      <c r="N39" s="49"/>
      <c r="O39" s="49">
        <f>C39-'Delo 5W30'!C39</f>
        <v>23.495555555555541</v>
      </c>
      <c r="P39" s="48"/>
    </row>
    <row r="40" spans="1:16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N40" s="49"/>
      <c r="O40" s="49"/>
      <c r="P40" s="48"/>
    </row>
    <row r="41" spans="1:16" ht="12.75" customHeight="1" x14ac:dyDescent="0.2">
      <c r="A41" s="48" t="s">
        <v>907</v>
      </c>
      <c r="B41" s="49">
        <f>'Delo 5W30'!B41+('Delo 5W30 Gallon'!G4-'Delo 5W30'!G4)*'Delo 5W30 Gallon'!F41+'Delo 5W30 Gallon'!M2</f>
        <v>593.08365079365069</v>
      </c>
      <c r="C41" s="49">
        <f t="shared" si="7"/>
        <v>420.19845079365081</v>
      </c>
      <c r="D41" s="48"/>
      <c r="E41" s="49">
        <f>'15W40'!E41</f>
        <v>86.604800000000012</v>
      </c>
      <c r="F41" s="48">
        <f>'15W40'!F41</f>
        <v>38</v>
      </c>
      <c r="G41" s="49">
        <f>F41*G4</f>
        <v>325.5936507936508</v>
      </c>
      <c r="H41" s="49">
        <v>8</v>
      </c>
      <c r="I41" s="55">
        <f t="shared" si="5"/>
        <v>172.88519999999988</v>
      </c>
      <c r="J41" s="56">
        <f t="shared" si="6"/>
        <v>0.70849778143665076</v>
      </c>
      <c r="K41" s="56">
        <f t="shared" si="0"/>
        <v>0.29150221856334924</v>
      </c>
      <c r="N41" s="49">
        <f>B41-'Delo 5W30'!B41</f>
        <v>78.773650793650745</v>
      </c>
      <c r="O41" s="49">
        <f>C41-'Delo 5W30'!C41</f>
        <v>63.773650793650802</v>
      </c>
      <c r="P41" s="48"/>
    </row>
    <row r="42" spans="1:16" ht="12.75" customHeight="1" x14ac:dyDescent="0.2">
      <c r="A42" s="48" t="s">
        <v>911</v>
      </c>
      <c r="B42" s="49">
        <f>'Delo 5W30'!B42+('Delo 5W30 Gallon'!G4-'Delo 5W30'!G4)*'Delo 5W30 Gallon'!F42+'Delo 5W30 Gallon'!M2</f>
        <v>664.08365079365069</v>
      </c>
      <c r="C42" s="49">
        <f t="shared" si="7"/>
        <v>507.0936507936508</v>
      </c>
      <c r="D42" s="48"/>
      <c r="E42" s="49">
        <f>'15W40'!E42</f>
        <v>173.5</v>
      </c>
      <c r="F42" s="48">
        <f>'15W40'!F42</f>
        <v>38</v>
      </c>
      <c r="G42" s="49">
        <f>F42*G4</f>
        <v>325.5936507936508</v>
      </c>
      <c r="H42" s="49">
        <v>8</v>
      </c>
      <c r="I42" s="55">
        <f t="shared" si="5"/>
        <v>156.9899999999999</v>
      </c>
      <c r="J42" s="56">
        <f t="shared" si="6"/>
        <v>0.76359905892521207</v>
      </c>
      <c r="K42" s="56">
        <f t="shared" si="0"/>
        <v>0.23640094107478793</v>
      </c>
      <c r="N42" s="49">
        <f>B42-'Delo 5W30'!B42</f>
        <v>78.773650793650745</v>
      </c>
      <c r="O42" s="49">
        <f>C42-'Delo 5W30'!C42</f>
        <v>63.773650793650802</v>
      </c>
      <c r="P42" s="48"/>
    </row>
    <row r="43" spans="1:16" ht="12.75" customHeight="1" x14ac:dyDescent="0.2">
      <c r="A43" s="48" t="s">
        <v>909</v>
      </c>
      <c r="B43" s="49">
        <f>'Delo 5W30'!B43+('Delo 5W30 Gallon'!G4-'Delo 5W30'!G4)*'Delo 5W30 Gallon'!F43+'Delo 5W30 Gallon'!M3</f>
        <v>764.49396825396832</v>
      </c>
      <c r="C43" s="49">
        <f t="shared" si="7"/>
        <v>565.85876825396826</v>
      </c>
      <c r="D43" s="48"/>
      <c r="E43" s="49">
        <f>'15W40'!E43</f>
        <v>86.604800000000012</v>
      </c>
      <c r="F43" s="48">
        <f>'15W40'!F43</f>
        <v>55</v>
      </c>
      <c r="G43" s="49">
        <f>F43*G4</f>
        <v>471.25396825396825</v>
      </c>
      <c r="H43" s="49">
        <v>8</v>
      </c>
      <c r="I43" s="55">
        <f t="shared" si="5"/>
        <v>198.63520000000005</v>
      </c>
      <c r="J43" s="56">
        <f t="shared" si="6"/>
        <v>0.74017427442408212</v>
      </c>
      <c r="K43" s="56">
        <f t="shared" si="0"/>
        <v>0.25982572557591788</v>
      </c>
      <c r="N43" s="49"/>
      <c r="O43" s="49">
        <f>C43-'Delo 5W30'!C43</f>
        <v>92.303968253968264</v>
      </c>
      <c r="P43" s="48"/>
    </row>
    <row r="44" spans="1:16" ht="12.75" customHeight="1" x14ac:dyDescent="0.2">
      <c r="A44" s="48" t="s">
        <v>910</v>
      </c>
      <c r="B44" s="49">
        <f>'Delo 5W30'!B44+('Delo 5W30 Gallon'!G4-'Delo 5W30'!G4)*'Delo 5W30 Gallon'!F44+'Delo 5W30 Gallon'!M3</f>
        <v>837.49396825396832</v>
      </c>
      <c r="C44" s="49">
        <f t="shared" si="7"/>
        <v>652.7539682539682</v>
      </c>
      <c r="D44" s="48"/>
      <c r="E44" s="49">
        <f>'15W40'!E44</f>
        <v>173.5</v>
      </c>
      <c r="F44" s="48">
        <f>'15W40'!F44</f>
        <v>55</v>
      </c>
      <c r="G44" s="49">
        <f>F44*G4</f>
        <v>471.25396825396825</v>
      </c>
      <c r="H44" s="49">
        <v>8</v>
      </c>
      <c r="I44" s="55">
        <f t="shared" si="5"/>
        <v>184.74000000000012</v>
      </c>
      <c r="J44" s="56">
        <f t="shared" si="6"/>
        <v>0.77941333668927615</v>
      </c>
      <c r="K44" s="56">
        <f t="shared" si="0"/>
        <v>0.22058666331072385</v>
      </c>
      <c r="N44" s="49"/>
      <c r="O44" s="49">
        <f>C44-'Delo 5W30'!C44</f>
        <v>92.303968253968151</v>
      </c>
      <c r="P44" s="48"/>
    </row>
    <row r="45" spans="1:16" ht="12.75" customHeight="1" x14ac:dyDescent="0.2">
      <c r="A45" s="48" t="s">
        <v>656</v>
      </c>
      <c r="B45" s="49">
        <f>'Delo 5W30'!B45+('Delo 5W30 Gallon'!G4-'Delo 5W30'!G4)*'Delo 5W30 Gallon'!F45+'Delo 5W30 Gallon'!M2</f>
        <v>547.0836507936508</v>
      </c>
      <c r="C45" s="49">
        <f t="shared" si="7"/>
        <v>383.97765079365081</v>
      </c>
      <c r="D45" s="48"/>
      <c r="E45" s="49">
        <f>'15W40'!E45</f>
        <v>50.384</v>
      </c>
      <c r="F45" s="48">
        <f>'15W40'!F45</f>
        <v>38</v>
      </c>
      <c r="G45" s="49">
        <f>F45*G4</f>
        <v>325.5936507936508</v>
      </c>
      <c r="H45" s="49">
        <v>8</v>
      </c>
      <c r="I45" s="55">
        <f t="shared" si="5"/>
        <v>163.10599999999999</v>
      </c>
      <c r="J45" s="56">
        <f t="shared" si="6"/>
        <v>0.70186277772442451</v>
      </c>
      <c r="K45" s="56">
        <f t="shared" si="0"/>
        <v>0.29813722227557549</v>
      </c>
      <c r="N45" s="49">
        <f>B45-'Delo 5W30'!B45</f>
        <v>78.773650793650802</v>
      </c>
      <c r="O45" s="49">
        <f>C45-'Delo 5W30'!C45</f>
        <v>63.773650793650802</v>
      </c>
      <c r="P45" s="48"/>
    </row>
    <row r="46" spans="1:16" ht="12.75" customHeight="1" x14ac:dyDescent="0.2">
      <c r="A46" s="48" t="s">
        <v>657</v>
      </c>
      <c r="B46" s="49">
        <f>'Delo 5W30'!B46+('Delo 5W30 Gallon'!G4-'Delo 5W30'!G4)*'Delo 5W30 Gallon'!F46+'Delo 5W30 Gallon'!M4</f>
        <v>697.53920634920632</v>
      </c>
      <c r="C46" s="49">
        <f t="shared" si="7"/>
        <v>503.93320634920633</v>
      </c>
      <c r="D46" s="48"/>
      <c r="E46" s="49">
        <f>'15W40'!E46</f>
        <v>50.384</v>
      </c>
      <c r="F46" s="48">
        <f>'15W40'!F46</f>
        <v>52</v>
      </c>
      <c r="G46" s="49">
        <f>F46*G4</f>
        <v>445.54920634920632</v>
      </c>
      <c r="H46" s="49">
        <v>8</v>
      </c>
      <c r="I46" s="55">
        <f t="shared" si="5"/>
        <v>193.60599999999999</v>
      </c>
      <c r="J46" s="56">
        <f t="shared" si="6"/>
        <v>0.72244427519235987</v>
      </c>
      <c r="K46" s="56">
        <f t="shared" si="0"/>
        <v>0.27755572480764013</v>
      </c>
      <c r="N46" s="49">
        <f>B46-'Delo 5W30'!B46</f>
        <v>112.26920634920634</v>
      </c>
      <c r="O46" s="49">
        <f>C46-'Delo 5W30'!C46</f>
        <v>87.269206349206343</v>
      </c>
      <c r="P46" s="48"/>
    </row>
    <row r="47" spans="1:16" x14ac:dyDescent="0.2">
      <c r="A47" s="48" t="s">
        <v>658</v>
      </c>
      <c r="B47" s="49">
        <f>'Delo 5W30'!B47+('Delo 5W30 Gallon'!G4-'Delo 5W30'!G4)*'Delo 5W30 Gallon'!F47+'Delo 5W30 Gallon'!M2</f>
        <v>656.08365079365069</v>
      </c>
      <c r="C47" s="49">
        <f t="shared" si="7"/>
        <v>494.98365079365078</v>
      </c>
      <c r="D47" s="48"/>
      <c r="E47" s="49">
        <f>'15W40'!E47</f>
        <v>161.38999999999999</v>
      </c>
      <c r="F47" s="48">
        <f>'15W40'!F47</f>
        <v>38</v>
      </c>
      <c r="G47" s="49">
        <f>F47*G4</f>
        <v>325.5936507936508</v>
      </c>
      <c r="H47" s="49">
        <v>8</v>
      </c>
      <c r="I47" s="55">
        <f t="shared" si="5"/>
        <v>161.09999999999991</v>
      </c>
      <c r="J47" s="56">
        <f t="shared" si="6"/>
        <v>0.75445204311200165</v>
      </c>
      <c r="K47" s="56">
        <f t="shared" si="0"/>
        <v>0.24554795688799835</v>
      </c>
      <c r="N47" s="49">
        <f>B47-'Delo 5W30'!B47</f>
        <v>78.773650793650745</v>
      </c>
      <c r="O47" s="49">
        <f>C47-'Delo 5W30'!C47</f>
        <v>63.773650793650802</v>
      </c>
      <c r="P47" s="48"/>
    </row>
    <row r="48" spans="1:16" x14ac:dyDescent="0.2">
      <c r="A48" s="48" t="s">
        <v>659</v>
      </c>
      <c r="B48" s="49">
        <f>'Delo 5W30'!B48+('Delo 5W30 Gallon'!G4-'Delo 5W30'!G4)*'Delo 5W30 Gallon'!F48+'Delo 5W30 Gallon'!M4</f>
        <v>809.53920634920632</v>
      </c>
      <c r="C48" s="49">
        <f t="shared" si="7"/>
        <v>614.9392063492063</v>
      </c>
      <c r="D48" s="48"/>
      <c r="E48" s="49">
        <f>'15W40'!E48</f>
        <v>161.38999999999999</v>
      </c>
      <c r="F48" s="48">
        <f>'15W40'!F48</f>
        <v>52</v>
      </c>
      <c r="G48" s="49">
        <f>F48*G4</f>
        <v>445.54920634920632</v>
      </c>
      <c r="H48" s="49">
        <v>8</v>
      </c>
      <c r="I48" s="55">
        <f t="shared" si="5"/>
        <v>194.60000000000002</v>
      </c>
      <c r="J48" s="56">
        <f t="shared" si="6"/>
        <v>0.75961633670889006</v>
      </c>
      <c r="K48" s="56">
        <f t="shared" si="0"/>
        <v>0.24038366329110994</v>
      </c>
      <c r="N48" s="49">
        <f>B48-'Delo 5W30'!B48</f>
        <v>112.26920634920634</v>
      </c>
      <c r="O48" s="49">
        <f>C48-'Delo 5W30'!C48</f>
        <v>87.269206349206343</v>
      </c>
      <c r="P48" s="48"/>
    </row>
    <row r="49" spans="1:16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N49" s="49"/>
      <c r="O49" s="49"/>
      <c r="P49" s="48"/>
    </row>
    <row r="50" spans="1:16" x14ac:dyDescent="0.2">
      <c r="A50" s="48" t="s">
        <v>660</v>
      </c>
      <c r="B50" s="49">
        <f>'Delo 5W30'!B50+('Delo 5W30 Gallon'!G4-'Delo 5W30'!G4)*'Delo 5W30 Gallon'!F50+'Delo 5W30 Gallon'!M2</f>
        <v>613.26460317460317</v>
      </c>
      <c r="C50" s="49">
        <f t="shared" si="7"/>
        <v>453.45460317460316</v>
      </c>
      <c r="D50" s="48"/>
      <c r="E50" s="49">
        <f>'15W40'!E50</f>
        <v>222.68</v>
      </c>
      <c r="F50" s="48">
        <f>'15W40'!F50</f>
        <v>26</v>
      </c>
      <c r="G50" s="49">
        <f>F50*G4</f>
        <v>222.77460317460316</v>
      </c>
      <c r="H50" s="49">
        <v>8</v>
      </c>
      <c r="I50" s="55">
        <f t="shared" si="5"/>
        <v>159.81</v>
      </c>
      <c r="J50" s="56">
        <f t="shared" si="6"/>
        <v>0.73941101577894208</v>
      </c>
      <c r="K50" s="56">
        <f t="shared" si="0"/>
        <v>0.26058898422105792</v>
      </c>
      <c r="N50" s="49">
        <f>B50-'Delo 5W30'!B50</f>
        <v>58.634603174603171</v>
      </c>
      <c r="O50" s="49">
        <f>C50-'Delo 5W30'!C50</f>
        <v>43.634603174603171</v>
      </c>
      <c r="P50" s="48"/>
    </row>
    <row r="51" spans="1:16" x14ac:dyDescent="0.2">
      <c r="A51" s="48" t="s">
        <v>661</v>
      </c>
      <c r="B51" s="49">
        <f>'Delo 5W30'!B51+('Delo 5W30 Gallon'!G4-'Delo 5W30'!G4)*'Delo 5W30 Gallon'!F51+'Delo 5W30 Gallon'!M2</f>
        <v>534.26460317460317</v>
      </c>
      <c r="C51" s="49">
        <f t="shared" si="7"/>
        <v>375.95060317460315</v>
      </c>
      <c r="D51" s="48"/>
      <c r="E51" s="49">
        <f>'15W40'!E51</f>
        <v>145.17599999999999</v>
      </c>
      <c r="F51" s="48">
        <f>'15W40'!F51</f>
        <v>26</v>
      </c>
      <c r="G51" s="49">
        <f>F51*G4</f>
        <v>222.77460317460316</v>
      </c>
      <c r="H51" s="49">
        <v>8</v>
      </c>
      <c r="I51" s="55">
        <f t="shared" si="5"/>
        <v>158.31400000000002</v>
      </c>
      <c r="J51" s="56">
        <f t="shared" si="6"/>
        <v>0.70367866585340411</v>
      </c>
      <c r="K51" s="56">
        <f t="shared" si="0"/>
        <v>0.29632133414659589</v>
      </c>
      <c r="N51" s="49">
        <f>B51-'Delo 5W30'!B51</f>
        <v>58.634603174603171</v>
      </c>
      <c r="O51" s="49">
        <f>C51-'Delo 5W30'!C51</f>
        <v>43.634603174603171</v>
      </c>
      <c r="P51" s="48"/>
    </row>
    <row r="52" spans="1:16" x14ac:dyDescent="0.2">
      <c r="A52" s="48" t="s">
        <v>662</v>
      </c>
      <c r="B52" s="49">
        <f>'Delo 5W30'!B52+('Delo 5W30 Gallon'!G4-'Delo 5W30'!G4)*'Delo 5W30 Gallon'!F52+'Delo 5W30 Gallon'!M2</f>
        <v>664.08365079365069</v>
      </c>
      <c r="C52" s="49">
        <f t="shared" si="7"/>
        <v>498.28365079365079</v>
      </c>
      <c r="D52" s="48"/>
      <c r="E52" s="49">
        <f>'15W40'!E52</f>
        <v>164.69</v>
      </c>
      <c r="F52" s="48">
        <f>'15W40'!F52</f>
        <v>38</v>
      </c>
      <c r="G52" s="49">
        <f>F52*G4</f>
        <v>325.5936507936508</v>
      </c>
      <c r="H52" s="49">
        <v>8</v>
      </c>
      <c r="I52" s="55">
        <f t="shared" si="5"/>
        <v>165.7999999999999</v>
      </c>
      <c r="J52" s="56">
        <f t="shared" si="6"/>
        <v>0.75033265793872317</v>
      </c>
      <c r="K52" s="56">
        <f t="shared" si="0"/>
        <v>0.24966734206127683</v>
      </c>
      <c r="N52" s="49">
        <f>B52-'Delo 5W30'!B52</f>
        <v>78.773650793650745</v>
      </c>
      <c r="O52" s="49">
        <f>C52-'Delo 5W30'!C52</f>
        <v>63.773650793650802</v>
      </c>
      <c r="P52" s="48"/>
    </row>
    <row r="53" spans="1:16" x14ac:dyDescent="0.2">
      <c r="A53" s="48" t="s">
        <v>663</v>
      </c>
      <c r="B53" s="49">
        <f>'Delo 5W30'!B53+('Delo 5W30 Gallon'!G4-'Delo 5W30'!G4)*'Delo 5W30 Gallon'!F53+'Delo 5W30 Gallon'!M2</f>
        <v>586.0836507936508</v>
      </c>
      <c r="C53" s="49">
        <f t="shared" si="7"/>
        <v>422.3968507936508</v>
      </c>
      <c r="D53" s="48"/>
      <c r="E53" s="49">
        <f>'15W40'!E53</f>
        <v>88.80319999999999</v>
      </c>
      <c r="F53" s="48">
        <f>'15W40'!F53</f>
        <v>38</v>
      </c>
      <c r="G53" s="49">
        <f>F53*G4</f>
        <v>325.5936507936508</v>
      </c>
      <c r="H53" s="49">
        <v>8</v>
      </c>
      <c r="I53" s="55">
        <f t="shared" si="5"/>
        <v>163.68680000000001</v>
      </c>
      <c r="J53" s="56">
        <f t="shared" si="6"/>
        <v>0.72071085794947198</v>
      </c>
      <c r="K53" s="56">
        <f t="shared" si="0"/>
        <v>0.27928914205052802</v>
      </c>
      <c r="N53" s="49">
        <f>B53-'Delo 5W30'!B53</f>
        <v>78.773650793650802</v>
      </c>
      <c r="O53" s="49">
        <f>C53-'Delo 5W30'!C53</f>
        <v>63.773650793650802</v>
      </c>
      <c r="P53" s="48"/>
    </row>
    <row r="54" spans="1:16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N54" s="49"/>
      <c r="O54" s="49"/>
      <c r="P54" s="48"/>
    </row>
    <row r="55" spans="1:16" x14ac:dyDescent="0.2">
      <c r="A55" s="48" t="s">
        <v>665</v>
      </c>
      <c r="B55" s="49">
        <f>'Delo 5W30'!B55+('Delo 5W30 Gallon'!G4-'Delo 5W30'!G4)*'Delo 5W30 Gallon'!F55+'Delo 5W30 Gallon'!M3</f>
        <v>647.94793650793645</v>
      </c>
      <c r="C55" s="49">
        <f t="shared" ref="C55:C60" si="8">E55+G55+H55</f>
        <v>460.71793650793649</v>
      </c>
      <c r="D55" s="48"/>
      <c r="E55" s="49">
        <f>'15W40'!E55</f>
        <v>50.010000000000005</v>
      </c>
      <c r="F55" s="48">
        <f>'15W40'!F55</f>
        <v>47</v>
      </c>
      <c r="G55" s="49">
        <f>F55*G4</f>
        <v>402.70793650793649</v>
      </c>
      <c r="H55" s="49">
        <v>8</v>
      </c>
      <c r="I55" s="55">
        <f t="shared" si="5"/>
        <v>187.22999999999996</v>
      </c>
      <c r="J55" s="56">
        <f t="shared" si="6"/>
        <v>0.71104159848233939</v>
      </c>
      <c r="K55" s="56">
        <f t="shared" si="0"/>
        <v>0.28895840151766061</v>
      </c>
      <c r="N55" s="49">
        <f>B55-'Delo 5W30'!B55</f>
        <v>98.877936507936511</v>
      </c>
      <c r="O55" s="49">
        <f>C55-'Delo 5W30'!C55</f>
        <v>78.877936507936511</v>
      </c>
      <c r="P55" s="48"/>
    </row>
    <row r="56" spans="1:16" x14ac:dyDescent="0.2">
      <c r="A56" s="48" t="s">
        <v>666</v>
      </c>
      <c r="B56" s="49">
        <f>'Delo 5W30'!B56+('Delo 5W30 Gallon'!G4-'Delo 5W30'!G4)*'Delo 5W30 Gallon'!F56+'Delo 5W30 Gallon'!M3</f>
        <v>625.94793650793645</v>
      </c>
      <c r="C56" s="49">
        <f t="shared" si="8"/>
        <v>452.14953650793649</v>
      </c>
      <c r="D56" s="48"/>
      <c r="E56" s="49">
        <f>'15W40'!E56</f>
        <v>41.441600000000001</v>
      </c>
      <c r="F56" s="48">
        <f>'15W40'!F56</f>
        <v>47</v>
      </c>
      <c r="G56" s="49">
        <f>F56*G4</f>
        <v>402.70793650793649</v>
      </c>
      <c r="H56" s="49">
        <v>8</v>
      </c>
      <c r="I56" s="55">
        <f t="shared" si="5"/>
        <v>173.79839999999996</v>
      </c>
      <c r="J56" s="56">
        <f t="shared" si="6"/>
        <v>0.72234368089845702</v>
      </c>
      <c r="K56" s="56">
        <f t="shared" si="0"/>
        <v>0.27765631910154298</v>
      </c>
      <c r="N56" s="49">
        <f>B56-'Delo 5W30'!B56</f>
        <v>98.877936507936511</v>
      </c>
      <c r="O56" s="49">
        <f>C56-'Delo 5W30'!C56</f>
        <v>78.877936507936511</v>
      </c>
      <c r="P56" s="48"/>
    </row>
    <row r="57" spans="1:16" x14ac:dyDescent="0.2">
      <c r="A57" s="48" t="s">
        <v>667</v>
      </c>
      <c r="B57" s="49">
        <f>'Delo 5W30'!B57+('Delo 5W30 Gallon'!G4-'Delo 5W30'!G4)*'Delo 5W30 Gallon'!F57+'Delo 5W30 Gallon'!M2</f>
        <v>457.26460317460317</v>
      </c>
      <c r="C57" s="49">
        <f t="shared" si="8"/>
        <v>278.32460317460317</v>
      </c>
      <c r="D57" s="48"/>
      <c r="E57" s="49">
        <f>'15W40'!E57</f>
        <v>47.55</v>
      </c>
      <c r="F57" s="48">
        <f>'15W40'!F57</f>
        <v>26</v>
      </c>
      <c r="G57" s="49">
        <f>F57*G4</f>
        <v>222.77460317460316</v>
      </c>
      <c r="H57" s="49">
        <v>8</v>
      </c>
      <c r="I57" s="55">
        <f t="shared" si="5"/>
        <v>178.94</v>
      </c>
      <c r="J57" s="56">
        <f t="shared" si="6"/>
        <v>0.60867296799775894</v>
      </c>
      <c r="K57" s="56">
        <f t="shared" si="0"/>
        <v>0.39132703200224106</v>
      </c>
      <c r="N57" s="49">
        <f>B57-'Delo 5W30'!B57</f>
        <v>58.634603174603171</v>
      </c>
      <c r="O57" s="49">
        <f>C57-'Delo 5W30'!C57</f>
        <v>43.634603174603171</v>
      </c>
      <c r="P57" s="48"/>
    </row>
    <row r="58" spans="1:16" x14ac:dyDescent="0.2">
      <c r="A58" s="48" t="s">
        <v>668</v>
      </c>
      <c r="B58" s="49">
        <f>'Delo 5W30'!B58+('Delo 5W30 Gallon'!G4-'Delo 5W30'!G4)*'Delo 5W30 Gallon'!F58+'Delo 5W30 Gallon'!M2</f>
        <v>419.26460317460317</v>
      </c>
      <c r="C58" s="49">
        <f t="shared" si="8"/>
        <v>264.25060317460316</v>
      </c>
      <c r="D58" s="48"/>
      <c r="E58" s="49">
        <f>'15W40'!E58</f>
        <v>33.475999999999999</v>
      </c>
      <c r="F58" s="48">
        <f>'15W40'!F58</f>
        <v>26</v>
      </c>
      <c r="G58" s="49">
        <f>F58*G4</f>
        <v>222.77460317460316</v>
      </c>
      <c r="H58" s="49">
        <v>8</v>
      </c>
      <c r="I58" s="55">
        <f t="shared" si="5"/>
        <v>155.01400000000001</v>
      </c>
      <c r="J58" s="56">
        <f t="shared" si="6"/>
        <v>0.63027167372046367</v>
      </c>
      <c r="K58" s="56">
        <f t="shared" si="0"/>
        <v>0.36972832627953633</v>
      </c>
      <c r="N58" s="49">
        <f>B58-'Delo 5W30'!B58</f>
        <v>58.634603174603171</v>
      </c>
      <c r="O58" s="49">
        <f>C58-'Delo 5W30'!C58</f>
        <v>43.634603174603171</v>
      </c>
      <c r="P58" s="48"/>
    </row>
    <row r="59" spans="1:16" x14ac:dyDescent="0.2">
      <c r="A59" s="48" t="s">
        <v>669</v>
      </c>
      <c r="B59" s="49">
        <f>'Delo 5W30'!B59+('Delo 5W30 Gallon'!G4-'Delo 5W30'!G4)*'Delo 5W30 Gallon'!F59+'Delo 5W30 Gallon'!M1</f>
        <v>383.62809523809528</v>
      </c>
      <c r="C59" s="49">
        <f t="shared" si="8"/>
        <v>213.63809523809522</v>
      </c>
      <c r="D59" s="48"/>
      <c r="E59" s="49">
        <f>'15W40'!E59</f>
        <v>0</v>
      </c>
      <c r="F59" s="48">
        <f>'15W40'!F59</f>
        <v>24</v>
      </c>
      <c r="G59" s="49">
        <f>F59*G4</f>
        <v>205.63809523809522</v>
      </c>
      <c r="H59" s="49">
        <v>8</v>
      </c>
      <c r="I59" s="55">
        <f t="shared" si="5"/>
        <v>169.99000000000007</v>
      </c>
      <c r="J59" s="56">
        <f t="shared" si="6"/>
        <v>0.55688855401871096</v>
      </c>
      <c r="K59" s="56">
        <f t="shared" si="0"/>
        <v>0.44311144598128904</v>
      </c>
      <c r="N59" s="49">
        <f>B59-'Delo 5W30'!B59</f>
        <v>50.278095238095261</v>
      </c>
      <c r="O59" s="49">
        <f>C59-'Delo 5W30'!C59</f>
        <v>40.278095238095233</v>
      </c>
      <c r="P59" s="48"/>
    </row>
    <row r="60" spans="1:16" x14ac:dyDescent="0.2">
      <c r="A60" s="48" t="s">
        <v>691</v>
      </c>
      <c r="B60" s="49">
        <f>'Delo 5W30'!B60+('Delo 5W30 Gallon'!G4-'Delo 5W30'!G4)*'Delo 5W30 Gallon'!F60+'Delo 5W30 Gallon'!M1</f>
        <v>326.12730158730159</v>
      </c>
      <c r="C60" s="49">
        <f t="shared" si="8"/>
        <v>192.62730158730159</v>
      </c>
      <c r="D60" s="48"/>
      <c r="E60" s="49">
        <f>'15W40'!E60</f>
        <v>73.240000000000009</v>
      </c>
      <c r="F60" s="48">
        <f>'15W40'!F60</f>
        <v>13</v>
      </c>
      <c r="G60" s="49">
        <f>F60*G4</f>
        <v>111.38730158730158</v>
      </c>
      <c r="H60" s="49">
        <v>8</v>
      </c>
      <c r="I60" s="55">
        <f t="shared" si="5"/>
        <v>133.5</v>
      </c>
      <c r="J60" s="56">
        <f t="shared" si="6"/>
        <v>0.590650646694591</v>
      </c>
      <c r="K60" s="56">
        <f t="shared" si="0"/>
        <v>0.409349353305409</v>
      </c>
      <c r="N60" s="49">
        <f>B60-'Delo 5W30'!B60</f>
        <v>31.817301587301586</v>
      </c>
      <c r="O60" s="49">
        <f>C60-'Delo 5W30'!C60</f>
        <v>21.817301587301586</v>
      </c>
      <c r="P60" s="48"/>
    </row>
    <row r="61" spans="1:16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N61" s="49"/>
      <c r="O61" s="49"/>
      <c r="P61" s="48"/>
    </row>
    <row r="62" spans="1:16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N62" s="49"/>
      <c r="O62" s="49"/>
      <c r="P62" s="48"/>
    </row>
    <row r="63" spans="1:16" x14ac:dyDescent="0.2">
      <c r="A63" s="48" t="s">
        <v>673</v>
      </c>
      <c r="B63" s="49">
        <f>'Delo 5W30'!B63+('Delo 5W30 Gallon'!G4-'Delo 5W30'!G4)*'Delo 5W30 Gallon'!F63+'Delo 5W30 Gallon'!M2</f>
        <v>424.26460317460317</v>
      </c>
      <c r="C63" s="49">
        <f>E63+G63+H63</f>
        <v>268.80100317460318</v>
      </c>
      <c r="D63" s="48"/>
      <c r="E63" s="49">
        <f>'15W40'!E63</f>
        <v>38.026400000000002</v>
      </c>
      <c r="F63" s="48">
        <f>'15W40'!F63</f>
        <v>26</v>
      </c>
      <c r="G63" s="49">
        <f>F63*G4</f>
        <v>222.77460317460316</v>
      </c>
      <c r="H63" s="49">
        <v>8</v>
      </c>
      <c r="I63" s="55">
        <f t="shared" si="5"/>
        <v>155.46359999999999</v>
      </c>
      <c r="J63" s="56">
        <f t="shared" si="6"/>
        <v>0.6335692423154613</v>
      </c>
      <c r="K63" s="56">
        <f t="shared" si="0"/>
        <v>0.3664307576845387</v>
      </c>
      <c r="N63" s="49">
        <f>B63-'Delo 5W30'!B63</f>
        <v>58.634603174603171</v>
      </c>
      <c r="O63" s="49">
        <f>C63-'Delo 5W30'!C63</f>
        <v>43.6346031746032</v>
      </c>
      <c r="P63" s="48"/>
    </row>
    <row r="64" spans="1:16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N64" s="49"/>
      <c r="O64" s="49"/>
      <c r="P64" s="48"/>
    </row>
    <row r="65" spans="1:16" x14ac:dyDescent="0.2">
      <c r="A65" s="48" t="s">
        <v>674</v>
      </c>
      <c r="B65" s="49">
        <f>'Delo 5W30'!B65+('Delo 5W30 Gallon'!G4-'Delo 5W30'!G4)*'Delo 5W30 Gallon'!F65+'Delo 5W30 Gallon'!M3</f>
        <v>737.62968253968245</v>
      </c>
      <c r="C65" s="49">
        <f>E65+G65+H65</f>
        <v>564.18968253968251</v>
      </c>
      <c r="D65" s="48"/>
      <c r="E65" s="49">
        <f>'15W40'!E65</f>
        <v>162.05000000000001</v>
      </c>
      <c r="F65" s="48">
        <f>'15W40'!F65</f>
        <v>46</v>
      </c>
      <c r="G65" s="49">
        <f>F65*G4</f>
        <v>394.13968253968255</v>
      </c>
      <c r="H65" s="49">
        <v>8</v>
      </c>
      <c r="I65" s="55">
        <f t="shared" si="5"/>
        <v>173.43999999999994</v>
      </c>
      <c r="J65" s="56">
        <f t="shared" si="6"/>
        <v>0.76486846434536027</v>
      </c>
      <c r="K65" s="56">
        <f t="shared" si="0"/>
        <v>0.23513153565463973</v>
      </c>
      <c r="N65" s="49">
        <f>B65-'Delo 5W30'!B65</f>
        <v>97.199682539682499</v>
      </c>
      <c r="O65" s="49">
        <f>C65-'Delo 5W30'!C65</f>
        <v>77.199682539682499</v>
      </c>
      <c r="P65" s="48"/>
    </row>
    <row r="66" spans="1:16" x14ac:dyDescent="0.2">
      <c r="A66" s="48" t="s">
        <v>675</v>
      </c>
      <c r="B66" s="49">
        <f>'Delo 5W30'!B66+('Delo 5W30 Gallon'!G4-'Delo 5W30'!G4)*'Delo 5W30 Gallon'!F66+'Delo 5W30 Gallon'!M3</f>
        <v>658.62968253968256</v>
      </c>
      <c r="C66" s="49">
        <f>E66+G66+H66</f>
        <v>481.98688253968254</v>
      </c>
      <c r="D66" s="48"/>
      <c r="E66" s="49">
        <f>'15W40'!E66</f>
        <v>79.847200000000001</v>
      </c>
      <c r="F66" s="48">
        <f>'15W40'!F66</f>
        <v>46</v>
      </c>
      <c r="G66" s="49">
        <f>F66*G4</f>
        <v>394.13968253968255</v>
      </c>
      <c r="H66" s="49">
        <v>8</v>
      </c>
      <c r="I66" s="55">
        <f t="shared" si="5"/>
        <v>176.64280000000002</v>
      </c>
      <c r="J66" s="56">
        <f t="shared" si="6"/>
        <v>0.73180255205191536</v>
      </c>
      <c r="K66" s="56">
        <f t="shared" si="0"/>
        <v>0.26819744794808464</v>
      </c>
      <c r="N66" s="49">
        <f>B66-'Delo 5W30'!B66</f>
        <v>97.199682539682499</v>
      </c>
      <c r="O66" s="49">
        <f>C66-'Delo 5W30'!C66</f>
        <v>77.199682539682556</v>
      </c>
      <c r="P66" s="48"/>
    </row>
    <row r="67" spans="1:16" x14ac:dyDescent="0.2">
      <c r="A67" s="48" t="s">
        <v>676</v>
      </c>
      <c r="B67" s="49">
        <f>'Delo 5W30'!B67+('Delo 5W30 Gallon'!G4-'Delo 5W30'!G4)*'Delo 5W30 Gallon'!F67+'Delo 5W30 Gallon'!M2</f>
        <v>398.62809523809528</v>
      </c>
      <c r="C67" s="49">
        <f>E67+G67+H67</f>
        <v>240.32609523809521</v>
      </c>
      <c r="D67" s="48"/>
      <c r="E67" s="49">
        <f>'15W40'!E67</f>
        <v>26.688000000000002</v>
      </c>
      <c r="F67" s="48">
        <f>'15W40'!F67</f>
        <v>24</v>
      </c>
      <c r="G67" s="49">
        <f>F67*G4</f>
        <v>205.63809523809522</v>
      </c>
      <c r="H67" s="49">
        <v>8</v>
      </c>
      <c r="I67" s="55">
        <f t="shared" si="5"/>
        <v>158.30200000000008</v>
      </c>
      <c r="J67" s="56">
        <f t="shared" si="6"/>
        <v>0.60288298318399158</v>
      </c>
      <c r="K67" s="56">
        <f t="shared" si="0"/>
        <v>0.39711701681600842</v>
      </c>
      <c r="N67" s="49">
        <f>B67-'Delo 5W30'!B67</f>
        <v>55.278095238095261</v>
      </c>
      <c r="O67" s="49">
        <f>C67-'Delo 5W30'!C67</f>
        <v>40.278095238095204</v>
      </c>
      <c r="P67" s="48"/>
    </row>
    <row r="68" spans="1:16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N68" s="49"/>
      <c r="O68" s="49"/>
      <c r="P68" s="48"/>
    </row>
    <row r="69" spans="1:16" x14ac:dyDescent="0.2">
      <c r="A69" s="48" t="s">
        <v>677</v>
      </c>
      <c r="B69" s="49">
        <f>'Delo 5W30'!B69+('Delo 5W30 Gallon'!G4-'Delo 5W30'!G4)*'Delo 5W30 Gallon'!F69+'Delo 5W30 Gallon'!M2</f>
        <v>557.81063492063493</v>
      </c>
      <c r="C69" s="49">
        <f t="shared" ref="C69:C74" si="9">E69+G69+H69</f>
        <v>385.92543492063493</v>
      </c>
      <c r="D69" s="48"/>
      <c r="E69" s="49">
        <f>'15W40'!E69</f>
        <v>86.604800000000012</v>
      </c>
      <c r="F69" s="48">
        <f>'15W40'!F69</f>
        <v>34</v>
      </c>
      <c r="G69" s="49">
        <f>F69*G4</f>
        <v>291.32063492063492</v>
      </c>
      <c r="H69" s="49">
        <v>8</v>
      </c>
      <c r="I69" s="55">
        <f t="shared" si="5"/>
        <v>171.8852</v>
      </c>
      <c r="J69" s="56">
        <f t="shared" si="6"/>
        <v>0.6918574346929478</v>
      </c>
      <c r="K69" s="56">
        <f t="shared" si="0"/>
        <v>0.3081425653070522</v>
      </c>
      <c r="N69" s="49">
        <f>B69-'Delo 5W30'!B69</f>
        <v>72.060634920634925</v>
      </c>
      <c r="O69" s="49">
        <f>C69-'Delo 5W30'!C69</f>
        <v>57.060634920634925</v>
      </c>
      <c r="P69" s="48"/>
    </row>
    <row r="70" spans="1:16" x14ac:dyDescent="0.2">
      <c r="A70" s="48" t="s">
        <v>678</v>
      </c>
      <c r="B70" s="49">
        <f>'Delo 5W30'!B70+('Delo 5W30 Gallon'!G4-'Delo 5W30'!G4)*'Delo 5W30 Gallon'!F70+'Delo 5W30 Gallon'!M3</f>
        <v>641.35666666666668</v>
      </c>
      <c r="C70" s="49">
        <f t="shared" si="9"/>
        <v>454.47146666666669</v>
      </c>
      <c r="D70" s="48"/>
      <c r="E70" s="49">
        <f>'15W40'!E70</f>
        <v>86.604800000000012</v>
      </c>
      <c r="F70" s="48">
        <f>'15W40'!F70</f>
        <v>42</v>
      </c>
      <c r="G70" s="49">
        <f>F70*G4</f>
        <v>359.86666666666667</v>
      </c>
      <c r="H70" s="49">
        <v>8</v>
      </c>
      <c r="I70" s="55">
        <f t="shared" si="5"/>
        <v>186.8852</v>
      </c>
      <c r="J70" s="56">
        <f t="shared" si="6"/>
        <v>0.70860956202217174</v>
      </c>
      <c r="K70" s="56">
        <f t="shared" si="0"/>
        <v>0.29139043797782826</v>
      </c>
      <c r="N70" s="49">
        <f>B70-'Delo 5W30'!B70</f>
        <v>90.486666666666679</v>
      </c>
      <c r="O70" s="49">
        <f>C70-'Delo 5W30'!C70</f>
        <v>70.486666666666679</v>
      </c>
      <c r="P70" s="48"/>
    </row>
    <row r="71" spans="1:16" x14ac:dyDescent="0.2">
      <c r="A71" s="48" t="s">
        <v>679</v>
      </c>
      <c r="B71" s="49">
        <f>'Delo 5W30'!B71+('Delo 5W30 Gallon'!G4-'Delo 5W30'!G4)*'Delo 5W30 Gallon'!F71+'Delo 5W30 Gallon'!M4</f>
        <v>744.53920634920632</v>
      </c>
      <c r="C71" s="49">
        <f t="shared" si="9"/>
        <v>540.15400634920638</v>
      </c>
      <c r="D71" s="48"/>
      <c r="E71" s="49">
        <f>'15W40'!E71</f>
        <v>86.604800000000012</v>
      </c>
      <c r="F71" s="48">
        <f>'15W40'!F71</f>
        <v>52</v>
      </c>
      <c r="G71" s="49">
        <f>F71*G4</f>
        <v>445.54920634920632</v>
      </c>
      <c r="H71" s="49">
        <v>8</v>
      </c>
      <c r="I71" s="55">
        <f t="shared" si="5"/>
        <v>204.38519999999994</v>
      </c>
      <c r="J71" s="56">
        <f t="shared" si="6"/>
        <v>0.72548765967317175</v>
      </c>
      <c r="K71" s="56">
        <f t="shared" si="0"/>
        <v>0.27451234032682825</v>
      </c>
      <c r="N71" s="49">
        <f>B71-'Delo 5W30'!B71</f>
        <v>112.26920634920634</v>
      </c>
      <c r="O71" s="49">
        <f>C71-'Delo 5W30'!C71</f>
        <v>87.269206349206399</v>
      </c>
      <c r="P71" s="48"/>
    </row>
    <row r="72" spans="1:16" x14ac:dyDescent="0.2">
      <c r="A72" s="48" t="s">
        <v>680</v>
      </c>
      <c r="B72" s="49">
        <f>'Delo 5W30'!B72+('Delo 5W30 Gallon'!G4-'Delo 5W30'!G4)*'Delo 5W30 Gallon'!F72+'Delo 5W30 Gallon'!M2</f>
        <v>626.81063492063493</v>
      </c>
      <c r="C72" s="49">
        <f t="shared" si="9"/>
        <v>465.61063492063488</v>
      </c>
      <c r="D72" s="48"/>
      <c r="E72" s="49">
        <f>'15W40'!E72</f>
        <v>166.29</v>
      </c>
      <c r="F72" s="48">
        <f>'15W40'!F72</f>
        <v>34</v>
      </c>
      <c r="G72" s="49">
        <f>F72*G4</f>
        <v>291.32063492063492</v>
      </c>
      <c r="H72" s="49">
        <v>8</v>
      </c>
      <c r="I72" s="55">
        <f t="shared" si="5"/>
        <v>161.20000000000005</v>
      </c>
      <c r="J72" s="56">
        <f t="shared" si="6"/>
        <v>0.74282503994143179</v>
      </c>
      <c r="K72" s="56">
        <f t="shared" si="0"/>
        <v>0.25717496005856821</v>
      </c>
      <c r="N72" s="49">
        <f>B72-'Delo 5W30'!B72</f>
        <v>72.060634920634925</v>
      </c>
      <c r="O72" s="49">
        <f>C72-'Delo 5W30'!C72</f>
        <v>57.060634920634925</v>
      </c>
      <c r="P72" s="48"/>
    </row>
    <row r="73" spans="1:16" x14ac:dyDescent="0.2">
      <c r="A73" s="48" t="s">
        <v>681</v>
      </c>
      <c r="B73" s="49">
        <f>'Delo 5W30'!B73+('Delo 5W30 Gallon'!G4-'Delo 5W30'!G4)*'Delo 5W30 Gallon'!F73+'Delo 5W30 Gallon'!M3</f>
        <v>711.35666666666668</v>
      </c>
      <c r="C73" s="49">
        <f t="shared" si="9"/>
        <v>534.15666666666664</v>
      </c>
      <c r="D73" s="48"/>
      <c r="E73" s="49">
        <f>'15W40'!E73</f>
        <v>166.29</v>
      </c>
      <c r="F73" s="48">
        <f>'15W40'!F73</f>
        <v>42</v>
      </c>
      <c r="G73" s="49">
        <f>F73*G4</f>
        <v>359.86666666666667</v>
      </c>
      <c r="H73" s="49">
        <v>8</v>
      </c>
      <c r="I73" s="55">
        <f t="shared" si="5"/>
        <v>177.20000000000005</v>
      </c>
      <c r="J73" s="56">
        <f t="shared" si="6"/>
        <v>0.75089851785555295</v>
      </c>
      <c r="K73" s="56">
        <f t="shared" si="0"/>
        <v>0.24910148214444705</v>
      </c>
      <c r="N73" s="49">
        <f>B73-'Delo 5W30'!B73</f>
        <v>90.486666666666679</v>
      </c>
      <c r="O73" s="49">
        <f>C73-'Delo 5W30'!C73</f>
        <v>70.486666666666679</v>
      </c>
      <c r="P73" s="48"/>
    </row>
    <row r="74" spans="1:16" x14ac:dyDescent="0.2">
      <c r="A74" s="48" t="s">
        <v>682</v>
      </c>
      <c r="B74" s="49">
        <f>'Delo 5W30'!B74+('Delo 5W30 Gallon'!G4-'Delo 5W30'!G4)*'Delo 5W30 Gallon'!F74+'Delo 5W30 Gallon'!M4</f>
        <v>812.53920634920632</v>
      </c>
      <c r="C74" s="49">
        <f t="shared" si="9"/>
        <v>619.83920634920628</v>
      </c>
      <c r="D74" s="48"/>
      <c r="E74" s="49">
        <f>'15W40'!E74</f>
        <v>166.29</v>
      </c>
      <c r="F74" s="48">
        <f>'15W40'!F74</f>
        <v>52</v>
      </c>
      <c r="G74" s="49">
        <f>F74*G4</f>
        <v>445.54920634920632</v>
      </c>
      <c r="H74" s="49">
        <v>8</v>
      </c>
      <c r="I74" s="55">
        <f t="shared" si="5"/>
        <v>192.70000000000005</v>
      </c>
      <c r="J74" s="56">
        <f t="shared" si="6"/>
        <v>0.76284221303509259</v>
      </c>
      <c r="K74" s="56">
        <f t="shared" ref="K74" si="10">1-J74</f>
        <v>0.23715778696490741</v>
      </c>
      <c r="N74" s="49">
        <f>B74-'Delo 5W30'!B74</f>
        <v>112.26920634920634</v>
      </c>
      <c r="O74" s="49">
        <f>C74-'Delo 5W30'!C74</f>
        <v>87.269206349206343</v>
      </c>
      <c r="P74" s="48"/>
    </row>
    <row r="75" spans="1:16" ht="12.75" customHeight="1" x14ac:dyDescent="0.2">
      <c r="B75" s="50"/>
      <c r="N75" s="49"/>
    </row>
    <row r="76" spans="1:16" ht="12.75" customHeight="1" x14ac:dyDescent="0.2">
      <c r="B76" s="50"/>
      <c r="N76" s="49"/>
    </row>
    <row r="77" spans="1:16" ht="12.75" customHeight="1" x14ac:dyDescent="0.2">
      <c r="B77" s="50"/>
      <c r="N77" s="49"/>
    </row>
    <row r="78" spans="1:16" ht="12.75" customHeight="1" x14ac:dyDescent="0.2">
      <c r="B78" s="50"/>
      <c r="N78" s="49"/>
    </row>
    <row r="79" spans="1:16" ht="12.75" customHeight="1" x14ac:dyDescent="0.2">
      <c r="B79" s="50"/>
      <c r="N79" s="49"/>
    </row>
    <row r="80" spans="1:16" ht="12.75" customHeight="1" x14ac:dyDescent="0.2">
      <c r="B80" s="50"/>
    </row>
    <row r="81" spans="2:2" ht="12.75" customHeight="1" x14ac:dyDescent="0.2">
      <c r="B81" s="50"/>
    </row>
    <row r="82" spans="2:2" ht="12.75" customHeight="1" x14ac:dyDescent="0.2">
      <c r="B82" s="50"/>
    </row>
    <row r="83" spans="2:2" ht="12.75" customHeight="1" x14ac:dyDescent="0.2">
      <c r="B83" s="50"/>
    </row>
    <row r="84" spans="2:2" ht="12.75" customHeight="1" x14ac:dyDescent="0.2">
      <c r="B84" s="50"/>
    </row>
    <row r="85" spans="2:2" ht="12.75" customHeight="1" x14ac:dyDescent="0.2">
      <c r="B85" s="50"/>
    </row>
    <row r="86" spans="2:2" ht="12.75" customHeight="1" x14ac:dyDescent="0.2">
      <c r="B86" s="50"/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C8D-EDE4-4803-86A9-0A528B2F9B7F}">
  <dimension ref="A1:P74"/>
  <sheetViews>
    <sheetView zoomScale="120" zoomScaleNormal="120" workbookViewId="0">
      <pane ySplit="4" topLeftCell="A5" activePane="bottomLeft" state="frozen"/>
      <selection pane="bottomLeft" activeCell="G4" sqref="G4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140625" style="46" customWidth="1"/>
    <col min="13" max="13" width="4.7109375" style="46" customWidth="1"/>
    <col min="14" max="14" width="8.140625" style="46" customWidth="1"/>
    <col min="15" max="16384" width="9.140625" style="46"/>
  </cols>
  <sheetData>
    <row r="1" spans="1:16" ht="12.75" customHeight="1" x14ac:dyDescent="0.2">
      <c r="A1" s="46" t="s">
        <v>625</v>
      </c>
      <c r="B1" s="47" t="s">
        <v>1265</v>
      </c>
      <c r="G1" s="50">
        <f>'Oil Price'!C81</f>
        <v>5.2</v>
      </c>
      <c r="H1" s="50">
        <v>0.1</v>
      </c>
      <c r="L1" s="48" t="s">
        <v>693</v>
      </c>
      <c r="M1" s="389">
        <v>30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9">
        <v>50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389">
        <v>60</v>
      </c>
      <c r="N3" s="48" t="s">
        <v>1250</v>
      </c>
      <c r="O3" s="48" t="s">
        <v>1251</v>
      </c>
      <c r="P3" s="48"/>
    </row>
    <row r="4" spans="1:16" ht="12.75" customHeight="1" x14ac:dyDescent="0.2">
      <c r="G4" s="50">
        <f>G1+H1</f>
        <v>5.3</v>
      </c>
      <c r="H4" s="50"/>
      <c r="J4" s="46">
        <v>1</v>
      </c>
      <c r="L4" s="48" t="s">
        <v>696</v>
      </c>
      <c r="M4" s="389">
        <v>70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8">
        <f>'15W40'!B6+('Petro 5W30'!G4-'15W40'!G4)*'Petro 5W30'!F6+'Petro 5W30'!M2</f>
        <v>342.24</v>
      </c>
      <c r="C6" s="49">
        <f>E6+G6+H6</f>
        <v>193.79000000000002</v>
      </c>
      <c r="D6" s="48"/>
      <c r="E6" s="49">
        <f>'15W40'!E6</f>
        <v>53.290000000000006</v>
      </c>
      <c r="F6" s="48">
        <f>'15W40'!F6</f>
        <v>25</v>
      </c>
      <c r="G6" s="49">
        <f>F6*G4</f>
        <v>132.5</v>
      </c>
      <c r="H6" s="49">
        <v>8</v>
      </c>
      <c r="I6" s="55">
        <f>B6-C6</f>
        <v>148.44999999999999</v>
      </c>
      <c r="J6" s="56">
        <f>C6/B6</f>
        <v>0.56624006545114547</v>
      </c>
      <c r="K6" s="56">
        <f>1-J6</f>
        <v>0.43375993454885453</v>
      </c>
      <c r="N6" s="48"/>
      <c r="O6" s="48"/>
      <c r="P6" s="48"/>
    </row>
    <row r="7" spans="1:16" ht="12.75" customHeight="1" x14ac:dyDescent="0.2">
      <c r="A7" s="48" t="s">
        <v>633</v>
      </c>
      <c r="B7" s="48">
        <f>'15W40'!B7+('Petro 5W30'!G4-'15W40'!G4)*'Petro 5W30'!F7+'Petro 5W30'!M2</f>
        <v>320.24</v>
      </c>
      <c r="C7" s="49">
        <f>E7+G7+H7</f>
        <v>162.29919999999998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132.5</v>
      </c>
      <c r="H7" s="49">
        <v>8</v>
      </c>
      <c r="I7" s="55">
        <f>B7-C7</f>
        <v>157.94080000000002</v>
      </c>
      <c r="J7" s="56">
        <f>C7/B7</f>
        <v>0.50680489632775416</v>
      </c>
      <c r="K7" s="56">
        <f t="shared" ref="K7:K73" si="0">1-J7</f>
        <v>0.49319510367224584</v>
      </c>
      <c r="N7" s="48"/>
      <c r="O7" s="48"/>
      <c r="P7" s="48"/>
    </row>
    <row r="8" spans="1:16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N8" s="48"/>
      <c r="O8" s="48"/>
      <c r="P8" s="48"/>
    </row>
    <row r="9" spans="1:16" ht="12.75" customHeight="1" x14ac:dyDescent="0.2">
      <c r="A9" s="48" t="s">
        <v>634</v>
      </c>
      <c r="B9" s="48">
        <f>'15W40'!B9+('Petro 5W30'!G4-'15W40'!G4)*'Petro 5W30'!F9+'Petro 5W30'!M2</f>
        <v>424.89</v>
      </c>
      <c r="C9" s="49">
        <f>E9+G9+H9</f>
        <v>279.98</v>
      </c>
      <c r="D9" s="48"/>
      <c r="E9" s="49">
        <f>'15W40'!E9</f>
        <v>70.58</v>
      </c>
      <c r="F9" s="48">
        <f>'15W40'!F9</f>
        <v>38</v>
      </c>
      <c r="G9" s="49">
        <f>F9*G4</f>
        <v>201.4</v>
      </c>
      <c r="H9" s="49">
        <v>8</v>
      </c>
      <c r="I9" s="55">
        <f>B9-C9</f>
        <v>144.90999999999997</v>
      </c>
      <c r="J9" s="56">
        <f>C9/B9</f>
        <v>0.65894702158205665</v>
      </c>
      <c r="K9" s="56">
        <f t="shared" si="0"/>
        <v>0.34105297841794335</v>
      </c>
      <c r="N9" s="48"/>
      <c r="O9" s="48"/>
      <c r="P9" s="48"/>
    </row>
    <row r="10" spans="1:16" ht="12.75" customHeight="1" x14ac:dyDescent="0.2">
      <c r="A10" s="48" t="s">
        <v>635</v>
      </c>
      <c r="B10" s="48">
        <f>'15W40'!B10+('Petro 5W30'!G4-'15W40'!G4)*'Petro 5W30'!F10+'Petro 5W30'!M2</f>
        <v>383.89</v>
      </c>
      <c r="C10" s="49">
        <f>E10+G10+H10</f>
        <v>240.44480000000001</v>
      </c>
      <c r="D10" s="48"/>
      <c r="E10" s="49">
        <f>'15W40'!E10</f>
        <v>31.044799999999999</v>
      </c>
      <c r="F10" s="48">
        <f>'15W40'!F10</f>
        <v>38</v>
      </c>
      <c r="G10" s="49">
        <f>F10*G4</f>
        <v>201.4</v>
      </c>
      <c r="H10" s="49">
        <v>8</v>
      </c>
      <c r="I10" s="55">
        <f>B10-C10</f>
        <v>143.44519999999997</v>
      </c>
      <c r="J10" s="56">
        <f>C10/B10</f>
        <v>0.6263377530021621</v>
      </c>
      <c r="K10" s="56">
        <f t="shared" si="0"/>
        <v>0.3736622469978379</v>
      </c>
      <c r="N10" s="48"/>
      <c r="O10" s="48"/>
      <c r="P10" s="48"/>
    </row>
    <row r="11" spans="1:16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N11" s="48"/>
      <c r="O11" s="48"/>
      <c r="P11" s="48"/>
    </row>
    <row r="12" spans="1:16" ht="12.75" customHeight="1" x14ac:dyDescent="0.2">
      <c r="A12" s="48" t="s">
        <v>637</v>
      </c>
      <c r="B12" s="48">
        <f>'15W40'!B12+('Petro 5W30'!G4-'15W40'!G4)*'Petro 5W30'!F12+'Petro 5W30'!M3</f>
        <v>460.14</v>
      </c>
      <c r="C12" s="49">
        <f>E12+G12+H12</f>
        <v>306.48</v>
      </c>
      <c r="D12" s="48"/>
      <c r="E12" s="49">
        <f>'15W40'!E12</f>
        <v>70.58</v>
      </c>
      <c r="F12" s="48">
        <f>'15W40'!F12</f>
        <v>43</v>
      </c>
      <c r="G12" s="49">
        <f>F12*G4</f>
        <v>227.9</v>
      </c>
      <c r="H12" s="49">
        <v>8</v>
      </c>
      <c r="I12" s="55">
        <f>B12-C12</f>
        <v>153.65999999999997</v>
      </c>
      <c r="J12" s="56">
        <f>C12/B12</f>
        <v>0.66605815621332642</v>
      </c>
      <c r="K12" s="56">
        <f t="shared" si="0"/>
        <v>0.33394184378667358</v>
      </c>
      <c r="N12" s="48"/>
      <c r="O12" s="48"/>
      <c r="P12" s="48"/>
    </row>
    <row r="13" spans="1:16" ht="12.75" customHeight="1" x14ac:dyDescent="0.2">
      <c r="A13" s="48" t="s">
        <v>638</v>
      </c>
      <c r="B13" s="48">
        <f>'15W40'!B13+('Petro 5W30'!G4-'15W40'!G4)*'Petro 5W30'!F13+'Petro 5W30'!M3</f>
        <v>419.14</v>
      </c>
      <c r="C13" s="49">
        <f>E13+G13+H13</f>
        <v>266.94479999999999</v>
      </c>
      <c r="D13" s="48"/>
      <c r="E13" s="49">
        <f>'15W40'!E13</f>
        <v>31.044799999999999</v>
      </c>
      <c r="F13" s="48">
        <f>'15W40'!F13</f>
        <v>43</v>
      </c>
      <c r="G13" s="49">
        <f>F13*G4</f>
        <v>227.9</v>
      </c>
      <c r="H13" s="49">
        <v>8</v>
      </c>
      <c r="I13" s="55">
        <f>B13-C13</f>
        <v>152.1952</v>
      </c>
      <c r="J13" s="56">
        <f>C13/B13</f>
        <v>0.63688695901130887</v>
      </c>
      <c r="K13" s="56">
        <f t="shared" si="0"/>
        <v>0.36311304098869113</v>
      </c>
      <c r="N13" s="48"/>
      <c r="O13" s="48"/>
      <c r="P13" s="48"/>
    </row>
    <row r="14" spans="1:16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N14" s="48"/>
      <c r="O14" s="48"/>
      <c r="P14" s="48"/>
    </row>
    <row r="15" spans="1:16" ht="12.75" customHeight="1" x14ac:dyDescent="0.2">
      <c r="A15" s="48" t="s">
        <v>639</v>
      </c>
      <c r="B15" s="48">
        <f>'15W40'!B15+('Petro 5W30'!G4-'15W40'!G4)*'Petro 5W30'!F15+'Petro 5W30'!M3</f>
        <v>403.99</v>
      </c>
      <c r="C15" s="49">
        <f t="shared" ref="C15:C21" si="1">E15+G15+H15</f>
        <v>251.43119999999999</v>
      </c>
      <c r="D15" s="48"/>
      <c r="E15" s="49">
        <f>'15W40'!E15</f>
        <v>31.4312</v>
      </c>
      <c r="F15" s="48">
        <f>'15W40'!F15</f>
        <v>40</v>
      </c>
      <c r="G15" s="49">
        <f>F15*G4</f>
        <v>212</v>
      </c>
      <c r="H15" s="49">
        <v>8</v>
      </c>
      <c r="I15" s="55">
        <f t="shared" ref="I15:I74" si="2">B15-C15</f>
        <v>152.55880000000002</v>
      </c>
      <c r="J15" s="56">
        <f t="shared" ref="J15:J74" si="3">C15/B15</f>
        <v>0.62236986064011479</v>
      </c>
      <c r="K15" s="56">
        <f t="shared" si="0"/>
        <v>0.37763013935988521</v>
      </c>
      <c r="N15" s="48"/>
      <c r="O15" s="48"/>
      <c r="P15" s="48"/>
    </row>
    <row r="16" spans="1:16" ht="12.75" customHeight="1" x14ac:dyDescent="0.2">
      <c r="A16" s="48" t="s">
        <v>640</v>
      </c>
      <c r="B16" s="48">
        <f>'15W40'!B16+('Petro 5W30'!G4-'15W40'!G4)*'Petro 5W30'!F16+'Petro 5W30'!M1</f>
        <v>215.69</v>
      </c>
      <c r="C16" s="49">
        <f t="shared" si="1"/>
        <v>88.92</v>
      </c>
      <c r="D16" s="48"/>
      <c r="E16" s="49">
        <f>'15W40'!E16</f>
        <v>6.7200000000000006</v>
      </c>
      <c r="F16" s="48">
        <f>'15W40'!F16</f>
        <v>14</v>
      </c>
      <c r="G16" s="49">
        <f>F16*G4</f>
        <v>74.2</v>
      </c>
      <c r="H16" s="49">
        <v>8</v>
      </c>
      <c r="I16" s="55">
        <f t="shared" si="2"/>
        <v>126.77</v>
      </c>
      <c r="J16" s="56">
        <f t="shared" si="3"/>
        <v>0.41225833371969028</v>
      </c>
      <c r="K16" s="56">
        <f t="shared" si="0"/>
        <v>0.58774166628030966</v>
      </c>
      <c r="N16" s="48"/>
      <c r="O16" s="48"/>
      <c r="P16" s="48"/>
    </row>
    <row r="17" spans="1:16" ht="12.75" customHeight="1" x14ac:dyDescent="0.2">
      <c r="A17" s="48" t="s">
        <v>641</v>
      </c>
      <c r="B17" s="48">
        <f>'15W40'!B17+('Petro 5W30'!G4-'15W40'!G4)*'Petro 5W30'!F17+'Petro 5W30'!M2</f>
        <v>334.24</v>
      </c>
      <c r="C17" s="49">
        <f t="shared" si="1"/>
        <v>191.31040000000002</v>
      </c>
      <c r="D17" s="48"/>
      <c r="E17" s="49">
        <f>'15W40'!E17</f>
        <v>50.810400000000001</v>
      </c>
      <c r="F17" s="48">
        <f>'15W40'!F17</f>
        <v>25</v>
      </c>
      <c r="G17" s="49">
        <f>F17*G4</f>
        <v>132.5</v>
      </c>
      <c r="H17" s="49">
        <v>8</v>
      </c>
      <c r="I17" s="55">
        <f t="shared" si="2"/>
        <v>142.92959999999999</v>
      </c>
      <c r="J17" s="56">
        <f t="shared" si="3"/>
        <v>0.57237434179033031</v>
      </c>
      <c r="K17" s="56">
        <f t="shared" si="0"/>
        <v>0.42762565820966969</v>
      </c>
      <c r="N17" s="48"/>
      <c r="O17" s="48"/>
      <c r="P17" s="48"/>
    </row>
    <row r="18" spans="1:16" ht="12.75" customHeight="1" x14ac:dyDescent="0.2">
      <c r="A18" s="48" t="s">
        <v>642</v>
      </c>
      <c r="B18" s="48">
        <f>'15W40'!B18+('Petro 5W30'!G4-'15W40'!G4)*'Petro 5W30'!F18+'Petro 5W30'!M2</f>
        <v>332.24</v>
      </c>
      <c r="C18" s="49">
        <f t="shared" si="1"/>
        <v>167.18799999999999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132.5</v>
      </c>
      <c r="H18" s="49">
        <v>8</v>
      </c>
      <c r="I18" s="55">
        <f t="shared" si="2"/>
        <v>165.05200000000002</v>
      </c>
      <c r="J18" s="56">
        <f t="shared" si="3"/>
        <v>0.50321454370334695</v>
      </c>
      <c r="K18" s="56">
        <f t="shared" si="0"/>
        <v>0.49678545629665305</v>
      </c>
      <c r="N18" s="48"/>
      <c r="O18" s="48"/>
      <c r="P18" s="48"/>
    </row>
    <row r="19" spans="1:16" ht="12.75" customHeight="1" x14ac:dyDescent="0.2">
      <c r="A19" s="48" t="s">
        <v>643</v>
      </c>
      <c r="B19" s="48">
        <f>'15W40'!B19+('Petro 5W30'!G4-'15W40'!G4)*'Petro 5W30'!F19+'Petro 5W30'!M2</f>
        <v>380.79</v>
      </c>
      <c r="C19" s="49">
        <f t="shared" si="1"/>
        <v>238.63439999999997</v>
      </c>
      <c r="D19" s="48"/>
      <c r="E19" s="49">
        <f>'15W40'!E19</f>
        <v>39.834400000000002</v>
      </c>
      <c r="F19" s="48">
        <f>'15W40'!F19</f>
        <v>36</v>
      </c>
      <c r="G19" s="49">
        <f>F19*G4</f>
        <v>190.79999999999998</v>
      </c>
      <c r="H19" s="49">
        <v>8</v>
      </c>
      <c r="I19" s="55">
        <f t="shared" si="2"/>
        <v>142.15560000000005</v>
      </c>
      <c r="J19" s="56">
        <f t="shared" si="3"/>
        <v>0.62668242338296687</v>
      </c>
      <c r="K19" s="56">
        <f t="shared" si="0"/>
        <v>0.37331757661703313</v>
      </c>
      <c r="N19" s="48"/>
      <c r="O19" s="48"/>
      <c r="P19" s="48"/>
    </row>
    <row r="20" spans="1:16" ht="12.75" customHeight="1" x14ac:dyDescent="0.2">
      <c r="A20" s="48" t="s">
        <v>645</v>
      </c>
      <c r="B20" s="48">
        <f>'15W40'!B20+('Petro 5W30'!G4-'15W40'!G4)*'Petro 5W30'!F20+'Petro 5W30'!M3</f>
        <v>485.19</v>
      </c>
      <c r="C20" s="49">
        <f t="shared" si="1"/>
        <v>326.84960000000001</v>
      </c>
      <c r="D20" s="48"/>
      <c r="E20" s="49">
        <f>'15W40'!E20</f>
        <v>85.649600000000007</v>
      </c>
      <c r="F20" s="48">
        <f>'15W40'!F20</f>
        <v>44</v>
      </c>
      <c r="G20" s="49">
        <f>F20*G4</f>
        <v>233.2</v>
      </c>
      <c r="H20" s="49">
        <v>8</v>
      </c>
      <c r="I20" s="55">
        <f t="shared" si="2"/>
        <v>158.34039999999999</v>
      </c>
      <c r="J20" s="56">
        <f t="shared" si="3"/>
        <v>0.67365279581195003</v>
      </c>
      <c r="K20" s="56">
        <f t="shared" si="0"/>
        <v>0.32634720418804997</v>
      </c>
      <c r="N20" s="48"/>
      <c r="O20" s="48"/>
      <c r="P20" s="48"/>
    </row>
    <row r="21" spans="1:16" ht="12.75" customHeight="1" x14ac:dyDescent="0.2">
      <c r="A21" s="48" t="s">
        <v>646</v>
      </c>
      <c r="B21" s="48">
        <f>'15W40'!B21+('Petro 5W30'!G4-'15W40'!G4)*'Petro 5W30'!F21+'Petro 5W30'!M2</f>
        <v>361.69</v>
      </c>
      <c r="C21" s="49">
        <f t="shared" si="1"/>
        <v>219.63119999999998</v>
      </c>
      <c r="D21" s="48"/>
      <c r="E21" s="49">
        <f>'15W40'!E21</f>
        <v>31.4312</v>
      </c>
      <c r="F21" s="48">
        <f>'15W40'!F21</f>
        <v>34</v>
      </c>
      <c r="G21" s="49">
        <f>F21*G4</f>
        <v>180.2</v>
      </c>
      <c r="H21" s="49">
        <v>8</v>
      </c>
      <c r="I21" s="55">
        <f t="shared" si="2"/>
        <v>142.05880000000002</v>
      </c>
      <c r="J21" s="56">
        <f t="shared" si="3"/>
        <v>0.6072360308551521</v>
      </c>
      <c r="K21" s="56">
        <f t="shared" si="0"/>
        <v>0.3927639691448479</v>
      </c>
      <c r="N21" s="48"/>
      <c r="O21" s="48"/>
      <c r="P21" s="48"/>
    </row>
    <row r="22" spans="1:16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N22" s="48"/>
      <c r="O22" s="48"/>
      <c r="P22" s="48"/>
    </row>
    <row r="23" spans="1:16" ht="12.75" customHeight="1" x14ac:dyDescent="0.2">
      <c r="A23" s="48" t="s">
        <v>647</v>
      </c>
      <c r="B23" s="48">
        <f>'15W40'!B23+('Petro 5W30'!G4-'15W40'!G4)*'Petro 5W30'!F23+'Petro 5W30'!M2</f>
        <v>439.89</v>
      </c>
      <c r="C23" s="49">
        <f t="shared" ref="C23:C28" si="4">E23+G23+H23</f>
        <v>287.02</v>
      </c>
      <c r="D23" s="48"/>
      <c r="E23" s="49">
        <f>'15W40'!E23</f>
        <v>77.62</v>
      </c>
      <c r="F23" s="48">
        <f>'15W40'!F23</f>
        <v>38</v>
      </c>
      <c r="G23" s="49">
        <f>F23*G4</f>
        <v>201.4</v>
      </c>
      <c r="H23" s="49">
        <v>8</v>
      </c>
      <c r="I23" s="55">
        <f t="shared" si="2"/>
        <v>152.87</v>
      </c>
      <c r="J23" s="56">
        <f t="shared" si="3"/>
        <v>0.65248130214371769</v>
      </c>
      <c r="K23" s="56">
        <f t="shared" si="0"/>
        <v>0.34751869785628231</v>
      </c>
      <c r="N23" s="48"/>
      <c r="O23" s="48"/>
      <c r="P23" s="48"/>
    </row>
    <row r="24" spans="1:16" ht="12.75" customHeight="1" x14ac:dyDescent="0.2">
      <c r="A24" s="48" t="s">
        <v>648</v>
      </c>
      <c r="B24" s="48">
        <f>'15W40'!B24+('Petro 5W30'!G4-'15W40'!G4)*'Petro 5W30'!F24+'Petro 5W30'!M2</f>
        <v>493.59000000000003</v>
      </c>
      <c r="C24" s="49">
        <f t="shared" si="4"/>
        <v>346.45000000000005</v>
      </c>
      <c r="D24" s="48"/>
      <c r="E24" s="49">
        <f>'15W40'!E24</f>
        <v>168.85000000000002</v>
      </c>
      <c r="F24" s="48">
        <f>'15W40'!F24</f>
        <v>32</v>
      </c>
      <c r="G24" s="49">
        <f>F24*G4</f>
        <v>169.6</v>
      </c>
      <c r="H24" s="49">
        <v>8</v>
      </c>
      <c r="I24" s="55">
        <f t="shared" si="2"/>
        <v>147.13999999999999</v>
      </c>
      <c r="J24" s="56">
        <f t="shared" si="3"/>
        <v>0.70189833667618884</v>
      </c>
      <c r="K24" s="56">
        <f t="shared" si="0"/>
        <v>0.29810166332381116</v>
      </c>
      <c r="N24" s="48"/>
      <c r="O24" s="48"/>
      <c r="P24" s="48"/>
    </row>
    <row r="25" spans="1:16" ht="12.75" customHeight="1" x14ac:dyDescent="0.2">
      <c r="A25" s="48" t="s">
        <v>649</v>
      </c>
      <c r="B25" s="48">
        <f>'15W40'!B25+('Petro 5W30'!G4-'15W40'!G4)*'Petro 5W30'!F25+'Petro 5W30'!M3</f>
        <v>520.09</v>
      </c>
      <c r="C25" s="49">
        <f t="shared" si="4"/>
        <v>368.39</v>
      </c>
      <c r="D25" s="48"/>
      <c r="E25" s="49">
        <f>'15W40'!E25</f>
        <v>137.79000000000002</v>
      </c>
      <c r="F25" s="48">
        <f>'15W40'!F25</f>
        <v>42</v>
      </c>
      <c r="G25" s="49">
        <f>F25*G4</f>
        <v>222.6</v>
      </c>
      <c r="H25" s="49">
        <v>8</v>
      </c>
      <c r="I25" s="55">
        <f t="shared" si="2"/>
        <v>151.70000000000005</v>
      </c>
      <c r="J25" s="56">
        <f t="shared" si="3"/>
        <v>0.70831971389567183</v>
      </c>
      <c r="K25" s="56">
        <f t="shared" si="0"/>
        <v>0.29168028610432817</v>
      </c>
      <c r="N25" s="48"/>
      <c r="O25" s="48"/>
      <c r="P25" s="48"/>
    </row>
    <row r="26" spans="1:16" ht="12.75" customHeight="1" x14ac:dyDescent="0.2">
      <c r="A26" s="48" t="s">
        <v>650</v>
      </c>
      <c r="B26" s="48">
        <f>'15W40'!B26+('Petro 5W30'!G4-'15W40'!G4)*'Petro 5W30'!F26+'Petro 5W30'!M3</f>
        <v>498.09000000000003</v>
      </c>
      <c r="C26" s="49">
        <f t="shared" si="4"/>
        <v>344.65280000000001</v>
      </c>
      <c r="D26" s="48"/>
      <c r="E26" s="49">
        <f>'15W40'!E26</f>
        <v>114.05280000000002</v>
      </c>
      <c r="F26" s="48">
        <f>'15W40'!F26</f>
        <v>42</v>
      </c>
      <c r="G26" s="49">
        <f>F26*G4</f>
        <v>222.6</v>
      </c>
      <c r="H26" s="49">
        <v>8</v>
      </c>
      <c r="I26" s="55">
        <f t="shared" si="2"/>
        <v>153.43720000000002</v>
      </c>
      <c r="J26" s="56">
        <f t="shared" si="3"/>
        <v>0.69194884458631978</v>
      </c>
      <c r="K26" s="56">
        <f t="shared" si="0"/>
        <v>0.30805115541368022</v>
      </c>
      <c r="N26" s="48"/>
      <c r="O26" s="48"/>
      <c r="P26" s="48"/>
    </row>
    <row r="27" spans="1:16" ht="12.75" customHeight="1" x14ac:dyDescent="0.2">
      <c r="A27" s="48" t="s">
        <v>651</v>
      </c>
      <c r="B27" s="48">
        <f>'15W40'!B27+('Petro 5W30'!G4-'15W40'!G4)*'Petro 5W30'!F27+'Petro 5W30'!M2</f>
        <v>392.89</v>
      </c>
      <c r="C27" s="49">
        <f t="shared" si="4"/>
        <v>254.7912</v>
      </c>
      <c r="D27" s="48"/>
      <c r="E27" s="49">
        <f>'15W40'!E27</f>
        <v>45.391199999999998</v>
      </c>
      <c r="F27" s="48">
        <f>'15W40'!F27</f>
        <v>38</v>
      </c>
      <c r="G27" s="49">
        <f>F27*G4</f>
        <v>201.4</v>
      </c>
      <c r="H27" s="49">
        <v>8</v>
      </c>
      <c r="I27" s="55">
        <f t="shared" si="2"/>
        <v>138.09879999999998</v>
      </c>
      <c r="J27" s="56">
        <f t="shared" si="3"/>
        <v>0.64850517956679987</v>
      </c>
      <c r="K27" s="56">
        <f t="shared" si="0"/>
        <v>0.35149482043320013</v>
      </c>
      <c r="N27" s="48"/>
      <c r="O27" s="48"/>
      <c r="P27" s="48"/>
    </row>
    <row r="28" spans="1:16" ht="12.75" customHeight="1" x14ac:dyDescent="0.2">
      <c r="A28" s="48" t="s">
        <v>652</v>
      </c>
      <c r="B28" s="48">
        <f>'15W40'!B28+('Petro 5W30'!G4-'15W40'!G4)*'Petro 5W30'!F28+'Petro 5W30'!M1</f>
        <v>215.69</v>
      </c>
      <c r="C28" s="49">
        <f t="shared" si="4"/>
        <v>92.302400000000006</v>
      </c>
      <c r="D28" s="48"/>
      <c r="E28" s="49">
        <f>'15W40'!E28</f>
        <v>10.102400000000001</v>
      </c>
      <c r="F28" s="48">
        <f>'15W40'!F28</f>
        <v>14</v>
      </c>
      <c r="G28" s="49">
        <f>F28*G4</f>
        <v>74.2</v>
      </c>
      <c r="H28" s="49">
        <v>8</v>
      </c>
      <c r="I28" s="55">
        <f t="shared" si="2"/>
        <v>123.38759999999999</v>
      </c>
      <c r="J28" s="56">
        <f t="shared" si="3"/>
        <v>0.42794009921646808</v>
      </c>
      <c r="K28" s="56">
        <f t="shared" si="0"/>
        <v>0.57205990078353186</v>
      </c>
      <c r="N28" s="48"/>
      <c r="O28" s="48"/>
      <c r="P28" s="48"/>
    </row>
    <row r="29" spans="1:16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N29" s="48"/>
      <c r="O29" s="48"/>
      <c r="P29" s="48"/>
    </row>
    <row r="30" spans="1:16" ht="12.75" customHeight="1" x14ac:dyDescent="0.2">
      <c r="A30" s="48" t="s">
        <v>653</v>
      </c>
      <c r="B30" s="48">
        <f>'15W40'!B30+('Petro 5W30'!G4-'15W40'!G4)*'Petro 5W30'!F30+'Petro 5W30'!M1</f>
        <v>215.69</v>
      </c>
      <c r="C30" s="49">
        <f>E30+G30+H30</f>
        <v>96.616800000000012</v>
      </c>
      <c r="D30" s="48"/>
      <c r="E30" s="49">
        <f>'15W40'!E30</f>
        <v>14.416800000000002</v>
      </c>
      <c r="F30" s="48">
        <f>'15W40'!F30</f>
        <v>14</v>
      </c>
      <c r="G30" s="49">
        <f>F30*G4</f>
        <v>74.2</v>
      </c>
      <c r="H30" s="49">
        <v>8</v>
      </c>
      <c r="I30" s="55">
        <f t="shared" si="2"/>
        <v>119.07319999999999</v>
      </c>
      <c r="J30" s="56">
        <f t="shared" si="3"/>
        <v>0.44794288098660118</v>
      </c>
      <c r="K30" s="56">
        <f t="shared" si="0"/>
        <v>0.55205711901339882</v>
      </c>
      <c r="N30" s="48"/>
      <c r="O30" s="48"/>
      <c r="P30" s="48"/>
    </row>
    <row r="31" spans="1:16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N31" s="48"/>
      <c r="O31" s="48"/>
      <c r="P31" s="48"/>
    </row>
    <row r="32" spans="1:16" ht="12.75" customHeight="1" x14ac:dyDescent="0.2">
      <c r="A32" s="48" t="s">
        <v>423</v>
      </c>
      <c r="B32" s="48">
        <f>'15W40'!B32+('Petro 5W30'!G4-'15W40'!G4)*'Petro 5W30'!F32+'Petro 5W30'!M1</f>
        <v>314.69</v>
      </c>
      <c r="C32" s="49">
        <f>E32+G32+H32</f>
        <v>178.2</v>
      </c>
      <c r="D32" s="48"/>
      <c r="E32" s="49">
        <f>'15W40'!E32</f>
        <v>96</v>
      </c>
      <c r="F32" s="48">
        <f>'15W40'!F32</f>
        <v>14</v>
      </c>
      <c r="G32" s="49">
        <f>F32*G4</f>
        <v>74.2</v>
      </c>
      <c r="H32" s="49">
        <v>8</v>
      </c>
      <c r="I32" s="55">
        <f t="shared" si="2"/>
        <v>136.49</v>
      </c>
      <c r="J32" s="56">
        <f t="shared" si="3"/>
        <v>0.56627156884553054</v>
      </c>
      <c r="K32" s="56">
        <f t="shared" si="0"/>
        <v>0.43372843115446946</v>
      </c>
      <c r="N32" s="48"/>
      <c r="O32" s="48"/>
      <c r="P32" s="48"/>
    </row>
    <row r="33" spans="1:16" ht="12.75" customHeight="1" x14ac:dyDescent="0.2">
      <c r="A33" s="48" t="s">
        <v>654</v>
      </c>
      <c r="B33" s="48">
        <f>'15W40'!B33+('Petro 5W30'!G4-'15W40'!G4)*'Petro 5W30'!F33+'Petro 5W30'!M1</f>
        <v>244.69</v>
      </c>
      <c r="C33" s="49">
        <f>E33+G33+H33</f>
        <v>109.6216</v>
      </c>
      <c r="D33" s="48"/>
      <c r="E33" s="49">
        <f>'15W40'!E33</f>
        <v>27.421599999999998</v>
      </c>
      <c r="F33" s="48">
        <f>'15W40'!F33</f>
        <v>14</v>
      </c>
      <c r="G33" s="49">
        <f>F33*G4</f>
        <v>74.2</v>
      </c>
      <c r="H33" s="49">
        <v>8</v>
      </c>
      <c r="I33" s="55">
        <f t="shared" si="2"/>
        <v>135.0684</v>
      </c>
      <c r="J33" s="56">
        <f t="shared" si="3"/>
        <v>0.44800196166578121</v>
      </c>
      <c r="K33" s="56">
        <f t="shared" si="0"/>
        <v>0.55199803833421879</v>
      </c>
      <c r="N33" s="48"/>
      <c r="O33" s="48"/>
      <c r="P33" s="48"/>
    </row>
    <row r="34" spans="1:16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N34" s="48"/>
      <c r="O34" s="48"/>
      <c r="P34" s="48"/>
    </row>
    <row r="35" spans="1:16" ht="12.75" customHeight="1" x14ac:dyDescent="0.2">
      <c r="A35" s="48" t="s">
        <v>655</v>
      </c>
      <c r="B35" s="48">
        <f>'15W40'!B35+('Petro 5W30'!G4-'15W40'!G4)*'Petro 5W30'!F35+'Petro 5W30'!M2</f>
        <v>343.29</v>
      </c>
      <c r="C35" s="49">
        <f>E35+G35+H35</f>
        <v>199.36879999999999</v>
      </c>
      <c r="D35" s="49"/>
      <c r="E35" s="49">
        <f>'15W40'!E35</f>
        <v>53.56880000000001</v>
      </c>
      <c r="F35" s="48">
        <f>'15W40'!F35</f>
        <v>26</v>
      </c>
      <c r="G35" s="49">
        <f>F35*G4</f>
        <v>137.79999999999998</v>
      </c>
      <c r="H35" s="49">
        <v>8</v>
      </c>
      <c r="I35" s="55">
        <f t="shared" si="2"/>
        <v>143.92120000000003</v>
      </c>
      <c r="J35" s="56">
        <f t="shared" si="3"/>
        <v>0.58075912493809889</v>
      </c>
      <c r="K35" s="56">
        <f t="shared" si="0"/>
        <v>0.41924087506190111</v>
      </c>
      <c r="N35" s="48"/>
      <c r="O35" s="48"/>
      <c r="P35" s="48"/>
    </row>
    <row r="36" spans="1:16" ht="12.75" customHeight="1" x14ac:dyDescent="0.2">
      <c r="A36" s="48" t="s">
        <v>1245</v>
      </c>
      <c r="B36" s="48">
        <f>'15W40'!B36+('Petro 5W30'!G4-'15W40'!G4)*'Petro 5W30'!F36+'Petro 5W30'!M3</f>
        <v>608.29</v>
      </c>
      <c r="C36" s="49">
        <f>E36+G36+H36</f>
        <v>430.6</v>
      </c>
      <c r="D36" s="49"/>
      <c r="E36" s="49">
        <f>'15W40'!E36</f>
        <v>178.8</v>
      </c>
      <c r="F36" s="48">
        <f>'15W40'!F36</f>
        <v>46</v>
      </c>
      <c r="G36" s="49">
        <f>F36*G4</f>
        <v>243.79999999999998</v>
      </c>
      <c r="H36" s="49">
        <v>8</v>
      </c>
      <c r="I36" s="55">
        <f t="shared" si="2"/>
        <v>177.68999999999994</v>
      </c>
      <c r="J36" s="56">
        <f t="shared" si="3"/>
        <v>0.70788604119745524</v>
      </c>
      <c r="K36" s="56">
        <f t="shared" si="0"/>
        <v>0.29211395880254476</v>
      </c>
      <c r="N36" s="48"/>
      <c r="O36" s="48"/>
      <c r="P36" s="48"/>
    </row>
    <row r="37" spans="1:16" ht="12.75" customHeight="1" x14ac:dyDescent="0.2">
      <c r="A37" s="48" t="s">
        <v>1249</v>
      </c>
      <c r="B37" s="48">
        <f>'15W40'!B37+('Petro 5W30'!G4-'15W40'!G4)*'Petro 5W30'!F37+'Petro 5W30'!M1</f>
        <v>294.69</v>
      </c>
      <c r="C37" s="49">
        <f>E37+G37+H37</f>
        <v>140.0728</v>
      </c>
      <c r="D37" s="49"/>
      <c r="E37" s="49">
        <f>'15W40'!E37</f>
        <v>57.872799999999998</v>
      </c>
      <c r="F37" s="48">
        <f>'15W40'!F37</f>
        <v>14</v>
      </c>
      <c r="G37" s="49">
        <f>F37*G4</f>
        <v>74.2</v>
      </c>
      <c r="H37" s="49">
        <v>8</v>
      </c>
      <c r="I37" s="55">
        <f t="shared" si="2"/>
        <v>154.6172</v>
      </c>
      <c r="J37" s="56">
        <f t="shared" si="3"/>
        <v>0.47532254233262072</v>
      </c>
      <c r="K37" s="56">
        <f t="shared" si="0"/>
        <v>0.52467745766737928</v>
      </c>
      <c r="N37" s="48"/>
      <c r="O37" s="48"/>
      <c r="P37" s="48"/>
    </row>
    <row r="38" spans="1:16" ht="12.75" customHeight="1" x14ac:dyDescent="0.2">
      <c r="A38" s="48" t="s">
        <v>1124</v>
      </c>
      <c r="B38" s="48">
        <f>'15W40'!B38+('Petro 5W30'!G4-'15W40'!G4)*'Petro 5W30'!F38+'Petro 5W30'!M2</f>
        <v>280.69</v>
      </c>
      <c r="C38" s="49">
        <f t="shared" ref="C38:C53" si="5">E38+G38+H38</f>
        <v>126.3408</v>
      </c>
      <c r="D38" s="48"/>
      <c r="E38" s="49">
        <f>'15W40'!E38</f>
        <v>44.140799999999999</v>
      </c>
      <c r="F38" s="48">
        <f>'15W40'!F38</f>
        <v>14</v>
      </c>
      <c r="G38" s="49">
        <f>F38*G4</f>
        <v>74.2</v>
      </c>
      <c r="H38" s="49">
        <v>8</v>
      </c>
      <c r="I38" s="55">
        <f t="shared" si="2"/>
        <v>154.3492</v>
      </c>
      <c r="J38" s="56">
        <f t="shared" si="3"/>
        <v>0.45010794827033385</v>
      </c>
      <c r="K38" s="56">
        <f t="shared" si="0"/>
        <v>0.54989205172966615</v>
      </c>
      <c r="N38" s="48"/>
      <c r="O38" s="48"/>
      <c r="P38" s="48"/>
    </row>
    <row r="39" spans="1:16" ht="12.75" customHeight="1" x14ac:dyDescent="0.2">
      <c r="A39" s="48" t="s">
        <v>425</v>
      </c>
      <c r="B39" s="48">
        <f>'15W40'!B39+('Petro 5W30'!G4-'15W40'!G4)*'Petro 5W30'!F39+'Petro 5W30'!M3</f>
        <v>350.69</v>
      </c>
      <c r="C39" s="49">
        <f t="shared" si="5"/>
        <v>151.17000000000002</v>
      </c>
      <c r="D39" s="48"/>
      <c r="E39" s="49">
        <f>'15W40'!E39</f>
        <v>68.97</v>
      </c>
      <c r="F39" s="48">
        <f>'15W40'!F39</f>
        <v>14</v>
      </c>
      <c r="G39" s="49">
        <f>F39*G4</f>
        <v>74.2</v>
      </c>
      <c r="H39" s="49">
        <v>8</v>
      </c>
      <c r="I39" s="55">
        <f t="shared" si="2"/>
        <v>199.51999999999998</v>
      </c>
      <c r="J39" s="56">
        <f t="shared" si="3"/>
        <v>0.43106447289629024</v>
      </c>
      <c r="K39" s="56">
        <f t="shared" si="0"/>
        <v>0.56893552710370976</v>
      </c>
      <c r="N39" s="48"/>
      <c r="O39" s="48"/>
      <c r="P39" s="48"/>
    </row>
    <row r="40" spans="1:16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N40" s="48"/>
      <c r="O40" s="48"/>
      <c r="P40" s="48"/>
    </row>
    <row r="41" spans="1:16" ht="12.75" customHeight="1" x14ac:dyDescent="0.2">
      <c r="A41" s="48" t="s">
        <v>907</v>
      </c>
      <c r="B41" s="48">
        <f>'15W40'!B41+('Petro 5W30'!G4-'15W40'!G4)*'Petro 5W30'!F41+'Petro 5W30'!M2</f>
        <v>453.89</v>
      </c>
      <c r="C41" s="49">
        <f t="shared" si="5"/>
        <v>296.00480000000005</v>
      </c>
      <c r="D41" s="48"/>
      <c r="E41" s="49">
        <f>'15W40'!E41</f>
        <v>86.604800000000012</v>
      </c>
      <c r="F41" s="48">
        <f>'15W40'!F41</f>
        <v>38</v>
      </c>
      <c r="G41" s="49">
        <f>F41*G4</f>
        <v>201.4</v>
      </c>
      <c r="H41" s="49">
        <v>8</v>
      </c>
      <c r="I41" s="55">
        <f t="shared" si="2"/>
        <v>157.88519999999994</v>
      </c>
      <c r="J41" s="56">
        <f t="shared" si="3"/>
        <v>0.65215096168675246</v>
      </c>
      <c r="K41" s="56">
        <f t="shared" si="0"/>
        <v>0.34784903831324754</v>
      </c>
      <c r="N41" s="48"/>
      <c r="O41" s="48"/>
      <c r="P41" s="48"/>
    </row>
    <row r="42" spans="1:16" ht="12.75" customHeight="1" x14ac:dyDescent="0.2">
      <c r="A42" s="48" t="s">
        <v>911</v>
      </c>
      <c r="B42" s="48">
        <f>'15W40'!B42+('Petro 5W30'!G4-'15W40'!G4)*'Petro 5W30'!F42+'Petro 5W30'!M2</f>
        <v>524.89</v>
      </c>
      <c r="C42" s="49">
        <f t="shared" si="5"/>
        <v>382.9</v>
      </c>
      <c r="D42" s="48"/>
      <c r="E42" s="49">
        <f>'15W40'!E42</f>
        <v>173.5</v>
      </c>
      <c r="F42" s="48">
        <f>'15W40'!F42</f>
        <v>38</v>
      </c>
      <c r="G42" s="49">
        <f>F42*G4</f>
        <v>201.4</v>
      </c>
      <c r="H42" s="49">
        <v>8</v>
      </c>
      <c r="I42" s="55">
        <f t="shared" si="2"/>
        <v>141.99</v>
      </c>
      <c r="J42" s="56">
        <f t="shared" si="3"/>
        <v>0.72948617805635463</v>
      </c>
      <c r="K42" s="56">
        <f t="shared" si="0"/>
        <v>0.27051382194364537</v>
      </c>
      <c r="N42" s="48"/>
      <c r="O42" s="48"/>
      <c r="P42" s="48"/>
    </row>
    <row r="43" spans="1:16" ht="12.75" customHeight="1" x14ac:dyDescent="0.2">
      <c r="A43" s="48" t="s">
        <v>909</v>
      </c>
      <c r="B43" s="48">
        <f>'15W40'!B43+('Petro 5W30'!G4-'15W40'!G4)*'Petro 5W30'!F43+'Petro 5W30'!M4</f>
        <v>564.74</v>
      </c>
      <c r="C43" s="49">
        <f t="shared" si="5"/>
        <v>386.10480000000001</v>
      </c>
      <c r="D43" s="48"/>
      <c r="E43" s="49">
        <f>'15W40'!E43</f>
        <v>86.604800000000012</v>
      </c>
      <c r="F43" s="48">
        <f>'15W40'!F43</f>
        <v>55</v>
      </c>
      <c r="G43" s="49">
        <f>F43*G4</f>
        <v>291.5</v>
      </c>
      <c r="H43" s="49">
        <v>8</v>
      </c>
      <c r="I43" s="55">
        <f t="shared" si="2"/>
        <v>178.6352</v>
      </c>
      <c r="J43" s="56">
        <f t="shared" si="3"/>
        <v>0.68368594397421822</v>
      </c>
      <c r="K43" s="56">
        <f t="shared" si="0"/>
        <v>0.31631405602578178</v>
      </c>
      <c r="N43" s="48"/>
      <c r="O43" s="48"/>
      <c r="P43" s="48"/>
    </row>
    <row r="44" spans="1:16" ht="12.75" customHeight="1" x14ac:dyDescent="0.2">
      <c r="A44" s="48" t="s">
        <v>910</v>
      </c>
      <c r="B44" s="48">
        <f>'15W40'!B44+('Petro 5W30'!G4-'15W40'!G4)*'Petro 5W30'!F44+'Petro 5W30'!M4</f>
        <v>637.74</v>
      </c>
      <c r="C44" s="49">
        <f t="shared" si="5"/>
        <v>473</v>
      </c>
      <c r="D44" s="48"/>
      <c r="E44" s="49">
        <f>'15W40'!E44</f>
        <v>173.5</v>
      </c>
      <c r="F44" s="48">
        <f>'15W40'!F44</f>
        <v>55</v>
      </c>
      <c r="G44" s="49">
        <f>F44*G4</f>
        <v>291.5</v>
      </c>
      <c r="H44" s="49">
        <v>8</v>
      </c>
      <c r="I44" s="55">
        <f t="shared" si="2"/>
        <v>164.74</v>
      </c>
      <c r="J44" s="56">
        <f t="shared" si="3"/>
        <v>0.74168156301941224</v>
      </c>
      <c r="K44" s="56">
        <f t="shared" si="0"/>
        <v>0.25831843698058776</v>
      </c>
      <c r="N44" s="48"/>
      <c r="O44" s="48"/>
      <c r="P44" s="48"/>
    </row>
    <row r="45" spans="1:16" ht="12.75" customHeight="1" x14ac:dyDescent="0.2">
      <c r="A45" s="48" t="s">
        <v>656</v>
      </c>
      <c r="B45" s="48">
        <f>'15W40'!B45+('Petro 5W30'!G4-'15W40'!G4)*'Petro 5W30'!F45+'Petro 5W30'!M2</f>
        <v>407.89</v>
      </c>
      <c r="C45" s="49">
        <f t="shared" si="5"/>
        <v>259.78399999999999</v>
      </c>
      <c r="D45" s="48"/>
      <c r="E45" s="49">
        <f>'15W40'!E45</f>
        <v>50.384</v>
      </c>
      <c r="F45" s="48">
        <f>'15W40'!F45</f>
        <v>38</v>
      </c>
      <c r="G45" s="49">
        <f>F45*G4</f>
        <v>201.4</v>
      </c>
      <c r="H45" s="49">
        <v>8</v>
      </c>
      <c r="I45" s="55">
        <f t="shared" si="2"/>
        <v>148.10599999999999</v>
      </c>
      <c r="J45" s="56">
        <f t="shared" si="3"/>
        <v>0.63689720267719241</v>
      </c>
      <c r="K45" s="56">
        <f t="shared" si="0"/>
        <v>0.36310279732280759</v>
      </c>
      <c r="N45" s="48"/>
      <c r="O45" s="48"/>
      <c r="P45" s="48"/>
    </row>
    <row r="46" spans="1:16" ht="12.75" customHeight="1" x14ac:dyDescent="0.2">
      <c r="A46" s="48" t="s">
        <v>657</v>
      </c>
      <c r="B46" s="48">
        <f>'15W40'!B46+('Petro 5W30'!G4-'15W40'!G4)*'Petro 5W30'!F46+'Petro 5W30'!M4</f>
        <v>502.59000000000003</v>
      </c>
      <c r="C46" s="49">
        <f t="shared" si="5"/>
        <v>333.98399999999998</v>
      </c>
      <c r="D46" s="48"/>
      <c r="E46" s="49">
        <f>'15W40'!E46</f>
        <v>50.384</v>
      </c>
      <c r="F46" s="48">
        <f>'15W40'!F46</f>
        <v>52</v>
      </c>
      <c r="G46" s="49">
        <f>F46*G4</f>
        <v>275.59999999999997</v>
      </c>
      <c r="H46" s="49">
        <v>8</v>
      </c>
      <c r="I46" s="55">
        <f t="shared" si="2"/>
        <v>168.60600000000005</v>
      </c>
      <c r="J46" s="56">
        <f t="shared" si="3"/>
        <v>0.66452575658091084</v>
      </c>
      <c r="K46" s="56">
        <f t="shared" si="0"/>
        <v>0.33547424341908916</v>
      </c>
      <c r="N46" s="48"/>
      <c r="O46" s="48"/>
      <c r="P46" s="48"/>
    </row>
    <row r="47" spans="1:16" x14ac:dyDescent="0.2">
      <c r="A47" s="48" t="s">
        <v>658</v>
      </c>
      <c r="B47" s="48">
        <f>'15W40'!B47+('Petro 5W30'!G4-'15W40'!G4)*'Petro 5W30'!F47+'Petro 5W30'!M2</f>
        <v>516.89</v>
      </c>
      <c r="C47" s="49">
        <f t="shared" si="5"/>
        <v>370.78999999999996</v>
      </c>
      <c r="D47" s="48"/>
      <c r="E47" s="49">
        <f>'15W40'!E47</f>
        <v>161.38999999999999</v>
      </c>
      <c r="F47" s="48">
        <f>'15W40'!F47</f>
        <v>38</v>
      </c>
      <c r="G47" s="49">
        <f>F47*G4</f>
        <v>201.4</v>
      </c>
      <c r="H47" s="49">
        <v>8</v>
      </c>
      <c r="I47" s="55">
        <f t="shared" si="2"/>
        <v>146.10000000000002</v>
      </c>
      <c r="J47" s="56">
        <f t="shared" si="3"/>
        <v>0.71734798506452047</v>
      </c>
      <c r="K47" s="56">
        <f t="shared" si="0"/>
        <v>0.28265201493547953</v>
      </c>
      <c r="N47" s="48"/>
      <c r="O47" s="48"/>
      <c r="P47" s="48"/>
    </row>
    <row r="48" spans="1:16" x14ac:dyDescent="0.2">
      <c r="A48" s="48" t="s">
        <v>659</v>
      </c>
      <c r="B48" s="48">
        <f>'15W40'!B48+('Petro 5W30'!G4-'15W40'!G4)*'Petro 5W30'!F48+'Petro 5W30'!M4</f>
        <v>614.59</v>
      </c>
      <c r="C48" s="49">
        <f t="shared" si="5"/>
        <v>444.98999999999995</v>
      </c>
      <c r="D48" s="48"/>
      <c r="E48" s="49">
        <f>'15W40'!E48</f>
        <v>161.38999999999999</v>
      </c>
      <c r="F48" s="48">
        <f>'15W40'!F48</f>
        <v>52</v>
      </c>
      <c r="G48" s="49">
        <f>F48*G4</f>
        <v>275.59999999999997</v>
      </c>
      <c r="H48" s="49">
        <v>8</v>
      </c>
      <c r="I48" s="55">
        <f t="shared" si="2"/>
        <v>169.60000000000008</v>
      </c>
      <c r="J48" s="56">
        <f t="shared" si="3"/>
        <v>0.72404367139068315</v>
      </c>
      <c r="K48" s="56">
        <f t="shared" si="0"/>
        <v>0.27595632860931685</v>
      </c>
      <c r="N48" s="48"/>
      <c r="O48" s="48"/>
      <c r="P48" s="48"/>
    </row>
    <row r="49" spans="1:16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N49" s="48"/>
      <c r="O49" s="48"/>
      <c r="P49" s="48"/>
    </row>
    <row r="50" spans="1:16" x14ac:dyDescent="0.2">
      <c r="A50" s="48" t="s">
        <v>660</v>
      </c>
      <c r="B50" s="48">
        <f>'15W40'!B50+('Petro 5W30'!G4-'15W40'!G4)*'Petro 5W30'!F50+'Petro 5W30'!M2</f>
        <v>513.29</v>
      </c>
      <c r="C50" s="49">
        <f t="shared" si="5"/>
        <v>368.48</v>
      </c>
      <c r="D50" s="48"/>
      <c r="E50" s="49">
        <f>'15W40'!E50</f>
        <v>222.68</v>
      </c>
      <c r="F50" s="48">
        <f>'15W40'!F50</f>
        <v>26</v>
      </c>
      <c r="G50" s="49">
        <f>F50*G4</f>
        <v>137.79999999999998</v>
      </c>
      <c r="H50" s="49">
        <v>8</v>
      </c>
      <c r="I50" s="55">
        <f t="shared" si="2"/>
        <v>144.80999999999995</v>
      </c>
      <c r="J50" s="56">
        <f t="shared" si="3"/>
        <v>0.71787878197510191</v>
      </c>
      <c r="K50" s="56">
        <f t="shared" si="0"/>
        <v>0.28212121802489809</v>
      </c>
      <c r="N50" s="48"/>
      <c r="O50" s="48"/>
      <c r="P50" s="48"/>
    </row>
    <row r="51" spans="1:16" x14ac:dyDescent="0.2">
      <c r="A51" s="48" t="s">
        <v>661</v>
      </c>
      <c r="B51" s="48">
        <f>'15W40'!B51+('Petro 5W30'!G4-'15W40'!G4)*'Petro 5W30'!F51+'Petro 5W30'!M2</f>
        <v>434.29</v>
      </c>
      <c r="C51" s="49">
        <f t="shared" si="5"/>
        <v>290.976</v>
      </c>
      <c r="D51" s="48"/>
      <c r="E51" s="49">
        <f>'15W40'!E51</f>
        <v>145.17599999999999</v>
      </c>
      <c r="F51" s="48">
        <f>'15W40'!F51</f>
        <v>26</v>
      </c>
      <c r="G51" s="49">
        <f>F51*G4</f>
        <v>137.79999999999998</v>
      </c>
      <c r="H51" s="49">
        <v>8</v>
      </c>
      <c r="I51" s="55">
        <f t="shared" si="2"/>
        <v>143.31400000000002</v>
      </c>
      <c r="J51" s="56">
        <f t="shared" si="3"/>
        <v>0.67000391443505491</v>
      </c>
      <c r="K51" s="56">
        <f t="shared" si="0"/>
        <v>0.32999608556494509</v>
      </c>
      <c r="N51" s="48"/>
      <c r="O51" s="48"/>
      <c r="P51" s="48"/>
    </row>
    <row r="52" spans="1:16" x14ac:dyDescent="0.2">
      <c r="A52" s="48" t="s">
        <v>662</v>
      </c>
      <c r="B52" s="48">
        <f>'15W40'!B52+('Petro 5W30'!G4-'15W40'!G4)*'Petro 5W30'!F52+'Petro 5W30'!M2</f>
        <v>524.89</v>
      </c>
      <c r="C52" s="49">
        <f t="shared" si="5"/>
        <v>374.09000000000003</v>
      </c>
      <c r="D52" s="48"/>
      <c r="E52" s="49">
        <f>'15W40'!E52</f>
        <v>164.69</v>
      </c>
      <c r="F52" s="48">
        <f>'15W40'!F52</f>
        <v>38</v>
      </c>
      <c r="G52" s="49">
        <f>F52*G4</f>
        <v>201.4</v>
      </c>
      <c r="H52" s="49">
        <v>8</v>
      </c>
      <c r="I52" s="55">
        <f t="shared" si="2"/>
        <v>150.79999999999995</v>
      </c>
      <c r="J52" s="56">
        <f t="shared" si="3"/>
        <v>0.71270170892949003</v>
      </c>
      <c r="K52" s="56">
        <f t="shared" si="0"/>
        <v>0.28729829107050997</v>
      </c>
      <c r="N52" s="48"/>
      <c r="O52" s="48"/>
      <c r="P52" s="48"/>
    </row>
    <row r="53" spans="1:16" x14ac:dyDescent="0.2">
      <c r="A53" s="48" t="s">
        <v>663</v>
      </c>
      <c r="B53" s="48">
        <f>'15W40'!B53+('Petro 5W30'!G4-'15W40'!G4)*'Petro 5W30'!F53+'Petro 5W30'!M2</f>
        <v>446.89</v>
      </c>
      <c r="C53" s="49">
        <f t="shared" si="5"/>
        <v>298.20319999999998</v>
      </c>
      <c r="D53" s="48"/>
      <c r="E53" s="49">
        <f>'15W40'!E53</f>
        <v>88.80319999999999</v>
      </c>
      <c r="F53" s="48">
        <f>'15W40'!F53</f>
        <v>38</v>
      </c>
      <c r="G53" s="49">
        <f>F53*G4</f>
        <v>201.4</v>
      </c>
      <c r="H53" s="49">
        <v>8</v>
      </c>
      <c r="I53" s="55">
        <f t="shared" si="2"/>
        <v>148.68680000000001</v>
      </c>
      <c r="J53" s="56">
        <f t="shared" si="3"/>
        <v>0.66728546174673853</v>
      </c>
      <c r="K53" s="56">
        <f t="shared" si="0"/>
        <v>0.33271453825326147</v>
      </c>
      <c r="N53" s="48"/>
      <c r="O53" s="48"/>
      <c r="P53" s="48"/>
    </row>
    <row r="54" spans="1:16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N54" s="48"/>
      <c r="O54" s="48"/>
      <c r="P54" s="48"/>
    </row>
    <row r="55" spans="1:16" x14ac:dyDescent="0.2">
      <c r="A55" s="48" t="s">
        <v>665</v>
      </c>
      <c r="B55" s="48">
        <f>'15W40'!B55+('Petro 5W30'!G4-'15W40'!G4)*'Petro 5W30'!F55+'Petro 5W30'!M3</f>
        <v>474.34000000000003</v>
      </c>
      <c r="C55" s="49">
        <f t="shared" ref="C55:C60" si="6">E55+G55+H55</f>
        <v>307.11</v>
      </c>
      <c r="D55" s="48"/>
      <c r="E55" s="49">
        <f>'15W40'!E55</f>
        <v>50.010000000000005</v>
      </c>
      <c r="F55" s="48">
        <f>'15W40'!F55</f>
        <v>47</v>
      </c>
      <c r="G55" s="49">
        <f>F55*G4</f>
        <v>249.1</v>
      </c>
      <c r="H55" s="49">
        <v>8</v>
      </c>
      <c r="I55" s="55">
        <f t="shared" si="2"/>
        <v>167.23000000000002</v>
      </c>
      <c r="J55" s="56">
        <f t="shared" si="3"/>
        <v>0.64744697896023951</v>
      </c>
      <c r="K55" s="56">
        <f t="shared" si="0"/>
        <v>0.35255302103976049</v>
      </c>
      <c r="N55" s="48"/>
      <c r="O55" s="48"/>
      <c r="P55" s="48"/>
    </row>
    <row r="56" spans="1:16" x14ac:dyDescent="0.2">
      <c r="A56" s="48" t="s">
        <v>666</v>
      </c>
      <c r="B56" s="48">
        <f>'15W40'!B56+('Petro 5W30'!G4-'15W40'!G4)*'Petro 5W30'!F56+'Petro 5W30'!M3</f>
        <v>452.34000000000003</v>
      </c>
      <c r="C56" s="49">
        <f t="shared" si="6"/>
        <v>298.54160000000002</v>
      </c>
      <c r="D56" s="48"/>
      <c r="E56" s="49">
        <f>'15W40'!E56</f>
        <v>41.441600000000001</v>
      </c>
      <c r="F56" s="48">
        <f>'15W40'!F56</f>
        <v>47</v>
      </c>
      <c r="G56" s="49">
        <f>F56*G4</f>
        <v>249.1</v>
      </c>
      <c r="H56" s="49">
        <v>8</v>
      </c>
      <c r="I56" s="55">
        <f t="shared" si="2"/>
        <v>153.79840000000002</v>
      </c>
      <c r="J56" s="56">
        <f t="shared" si="3"/>
        <v>0.6599938099659548</v>
      </c>
      <c r="K56" s="56">
        <f t="shared" si="0"/>
        <v>0.3400061900340452</v>
      </c>
      <c r="N56" s="48"/>
      <c r="O56" s="48"/>
      <c r="P56" s="48"/>
    </row>
    <row r="57" spans="1:16" x14ac:dyDescent="0.2">
      <c r="A57" s="48" t="s">
        <v>667</v>
      </c>
      <c r="B57" s="48">
        <f>'15W40'!B57+('Petro 5W30'!G4-'15W40'!G4)*'Petro 5W30'!F57+'Petro 5W30'!M2</f>
        <v>357.29</v>
      </c>
      <c r="C57" s="49">
        <f t="shared" si="6"/>
        <v>193.34999999999997</v>
      </c>
      <c r="D57" s="48"/>
      <c r="E57" s="49">
        <f>'15W40'!E57</f>
        <v>47.55</v>
      </c>
      <c r="F57" s="48">
        <f>'15W40'!F57</f>
        <v>26</v>
      </c>
      <c r="G57" s="49">
        <f>F57*G4</f>
        <v>137.79999999999998</v>
      </c>
      <c r="H57" s="49">
        <v>8</v>
      </c>
      <c r="I57" s="55">
        <f t="shared" si="2"/>
        <v>163.94000000000005</v>
      </c>
      <c r="J57" s="56">
        <f t="shared" si="3"/>
        <v>0.54115704329816106</v>
      </c>
      <c r="K57" s="56">
        <f t="shared" si="0"/>
        <v>0.45884295670183894</v>
      </c>
      <c r="N57" s="48"/>
      <c r="O57" s="48"/>
      <c r="P57" s="48"/>
    </row>
    <row r="58" spans="1:16" x14ac:dyDescent="0.2">
      <c r="A58" s="48" t="s">
        <v>668</v>
      </c>
      <c r="B58" s="48">
        <f>'15W40'!B58+('Petro 5W30'!G4-'15W40'!G4)*'Petro 5W30'!F58+'Petro 5W30'!M2</f>
        <v>319.29000000000002</v>
      </c>
      <c r="C58" s="49">
        <f t="shared" si="6"/>
        <v>179.27599999999998</v>
      </c>
      <c r="D58" s="48"/>
      <c r="E58" s="49">
        <f>'15W40'!E58</f>
        <v>33.475999999999999</v>
      </c>
      <c r="F58" s="48">
        <f>'15W40'!F58</f>
        <v>26</v>
      </c>
      <c r="G58" s="49">
        <f>F58*G4</f>
        <v>137.79999999999998</v>
      </c>
      <c r="H58" s="49">
        <v>8</v>
      </c>
      <c r="I58" s="55">
        <f t="shared" si="2"/>
        <v>140.01400000000004</v>
      </c>
      <c r="J58" s="56">
        <f t="shared" si="3"/>
        <v>0.56148329105202155</v>
      </c>
      <c r="K58" s="56">
        <f t="shared" si="0"/>
        <v>0.43851670894797845</v>
      </c>
      <c r="N58" s="48"/>
      <c r="O58" s="48"/>
      <c r="P58" s="48"/>
    </row>
    <row r="59" spans="1:16" x14ac:dyDescent="0.2">
      <c r="A59" s="48" t="s">
        <v>669</v>
      </c>
      <c r="B59" s="48">
        <f>'15W40'!B59+('Petro 5W30'!G4-'15W40'!G4)*'Petro 5W30'!F59+'Petro 5W30'!M2</f>
        <v>295.19</v>
      </c>
      <c r="C59" s="49">
        <f t="shared" si="6"/>
        <v>135.19999999999999</v>
      </c>
      <c r="D59" s="48"/>
      <c r="E59" s="49">
        <f>'15W40'!E59</f>
        <v>0</v>
      </c>
      <c r="F59" s="48">
        <f>'15W40'!F59</f>
        <v>24</v>
      </c>
      <c r="G59" s="49">
        <f>F59*G4</f>
        <v>127.19999999999999</v>
      </c>
      <c r="H59" s="49">
        <v>8</v>
      </c>
      <c r="I59" s="55">
        <f t="shared" si="2"/>
        <v>159.99</v>
      </c>
      <c r="J59" s="56">
        <f t="shared" si="3"/>
        <v>0.45801009519292657</v>
      </c>
      <c r="K59" s="56">
        <f t="shared" si="0"/>
        <v>0.54198990480707343</v>
      </c>
      <c r="N59" s="48"/>
      <c r="O59" s="48"/>
      <c r="P59" s="48"/>
    </row>
    <row r="60" spans="1:16" x14ac:dyDescent="0.2">
      <c r="A60" s="48" t="s">
        <v>691</v>
      </c>
      <c r="B60" s="48">
        <f>'15W40'!B60+('Petro 5W30'!G4-'15W40'!G4)*'Petro 5W30'!F60+'Petro 5W30'!M1</f>
        <v>273.64</v>
      </c>
      <c r="C60" s="49">
        <f t="shared" si="6"/>
        <v>150.13999999999999</v>
      </c>
      <c r="D60" s="48"/>
      <c r="E60" s="49">
        <f>'15W40'!E60</f>
        <v>73.240000000000009</v>
      </c>
      <c r="F60" s="48">
        <f>'15W40'!F60</f>
        <v>13</v>
      </c>
      <c r="G60" s="49">
        <f>F60*G4</f>
        <v>68.899999999999991</v>
      </c>
      <c r="H60" s="49">
        <v>8</v>
      </c>
      <c r="I60" s="55">
        <f t="shared" si="2"/>
        <v>123.5</v>
      </c>
      <c r="J60" s="56">
        <f t="shared" si="3"/>
        <v>0.5486770939921064</v>
      </c>
      <c r="K60" s="56">
        <f t="shared" si="0"/>
        <v>0.4513229060078936</v>
      </c>
      <c r="N60" s="48"/>
      <c r="O60" s="48"/>
      <c r="P60" s="48"/>
    </row>
    <row r="61" spans="1:16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N61" s="48"/>
      <c r="O61" s="48"/>
      <c r="P61" s="48"/>
    </row>
    <row r="62" spans="1:16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N62" s="48"/>
      <c r="O62" s="48"/>
      <c r="P62" s="48"/>
    </row>
    <row r="63" spans="1:16" x14ac:dyDescent="0.2">
      <c r="A63" s="48" t="s">
        <v>673</v>
      </c>
      <c r="B63" s="48">
        <f>'15W40'!B63+('Petro 5W30'!G4-'15W40'!G4)*'Petro 5W30'!F63+'Petro 5W30'!M2</f>
        <v>324.29000000000002</v>
      </c>
      <c r="C63" s="49">
        <f>E63+G63+H63</f>
        <v>183.82639999999998</v>
      </c>
      <c r="D63" s="48"/>
      <c r="E63" s="49">
        <f>'15W40'!E63</f>
        <v>38.026400000000002</v>
      </c>
      <c r="F63" s="48">
        <f>'15W40'!F63</f>
        <v>26</v>
      </c>
      <c r="G63" s="49">
        <f>F63*G4</f>
        <v>137.79999999999998</v>
      </c>
      <c r="H63" s="49">
        <v>8</v>
      </c>
      <c r="I63" s="55">
        <f t="shared" si="2"/>
        <v>140.46360000000004</v>
      </c>
      <c r="J63" s="56">
        <f t="shared" si="3"/>
        <v>0.56685805914459275</v>
      </c>
      <c r="K63" s="56">
        <f t="shared" si="0"/>
        <v>0.43314194085540725</v>
      </c>
      <c r="N63" s="48"/>
      <c r="O63" s="48"/>
      <c r="P63" s="48"/>
    </row>
    <row r="64" spans="1:16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N64" s="48"/>
      <c r="O64" s="48"/>
      <c r="P64" s="48"/>
    </row>
    <row r="65" spans="1:16" x14ac:dyDescent="0.2">
      <c r="A65" s="48" t="s">
        <v>674</v>
      </c>
      <c r="B65" s="48">
        <f>'15W40'!B65+('Petro 5W30'!G4-'15W40'!G4)*'Petro 5W30'!F65+'Petro 5W30'!M3</f>
        <v>567.29</v>
      </c>
      <c r="C65" s="49">
        <f>E65+G65+H65</f>
        <v>413.85</v>
      </c>
      <c r="D65" s="48"/>
      <c r="E65" s="49">
        <f>'15W40'!E65</f>
        <v>162.05000000000001</v>
      </c>
      <c r="F65" s="48">
        <f>'15W40'!F65</f>
        <v>46</v>
      </c>
      <c r="G65" s="49">
        <f>F65*G4</f>
        <v>243.79999999999998</v>
      </c>
      <c r="H65" s="49">
        <v>8</v>
      </c>
      <c r="I65" s="55">
        <f t="shared" si="2"/>
        <v>153.43999999999994</v>
      </c>
      <c r="J65" s="56">
        <f t="shared" si="3"/>
        <v>0.72952105624988994</v>
      </c>
      <c r="K65" s="56">
        <f t="shared" si="0"/>
        <v>0.27047894375011006</v>
      </c>
      <c r="N65" s="48"/>
      <c r="O65" s="48"/>
      <c r="P65" s="48"/>
    </row>
    <row r="66" spans="1:16" x14ac:dyDescent="0.2">
      <c r="A66" s="48" t="s">
        <v>675</v>
      </c>
      <c r="B66" s="48">
        <f>'15W40'!B66+('Petro 5W30'!G4-'15W40'!G4)*'Petro 5W30'!F66+'Petro 5W30'!M3</f>
        <v>488.29</v>
      </c>
      <c r="C66" s="49">
        <f>E66+G66+H66</f>
        <v>331.6472</v>
      </c>
      <c r="D66" s="48"/>
      <c r="E66" s="49">
        <f>'15W40'!E66</f>
        <v>79.847200000000001</v>
      </c>
      <c r="F66" s="48">
        <f>'15W40'!F66</f>
        <v>46</v>
      </c>
      <c r="G66" s="49">
        <f>F66*G4</f>
        <v>243.79999999999998</v>
      </c>
      <c r="H66" s="49">
        <v>8</v>
      </c>
      <c r="I66" s="55">
        <f t="shared" si="2"/>
        <v>156.64280000000002</v>
      </c>
      <c r="J66" s="56">
        <f t="shared" si="3"/>
        <v>0.67920129431280585</v>
      </c>
      <c r="K66" s="56">
        <f t="shared" si="0"/>
        <v>0.32079870568719415</v>
      </c>
      <c r="N66" s="48"/>
      <c r="O66" s="48"/>
      <c r="P66" s="48"/>
    </row>
    <row r="67" spans="1:16" x14ac:dyDescent="0.2">
      <c r="A67" s="48" t="s">
        <v>676</v>
      </c>
      <c r="B67" s="48">
        <f>'15W40'!B67+('Petro 5W30'!G4-'15W40'!G4)*'Petro 5W30'!F67+'Petro 5W30'!M2</f>
        <v>305.19</v>
      </c>
      <c r="C67" s="49">
        <f>E67+G67+H67</f>
        <v>161.88799999999998</v>
      </c>
      <c r="D67" s="48"/>
      <c r="E67" s="49">
        <f>'15W40'!E67</f>
        <v>26.688000000000002</v>
      </c>
      <c r="F67" s="48">
        <f>'15W40'!F67</f>
        <v>24</v>
      </c>
      <c r="G67" s="49">
        <f>F67*G4</f>
        <v>127.19999999999999</v>
      </c>
      <c r="H67" s="49">
        <v>8</v>
      </c>
      <c r="I67" s="55">
        <f t="shared" si="2"/>
        <v>143.30200000000002</v>
      </c>
      <c r="J67" s="56">
        <f t="shared" si="3"/>
        <v>0.53044988367901957</v>
      </c>
      <c r="K67" s="56">
        <f t="shared" si="0"/>
        <v>0.46955011632098043</v>
      </c>
      <c r="N67" s="48"/>
      <c r="O67" s="48"/>
      <c r="P67" s="48"/>
    </row>
    <row r="68" spans="1:16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N68" s="48"/>
      <c r="O68" s="48"/>
      <c r="P68" s="48"/>
    </row>
    <row r="69" spans="1:16" x14ac:dyDescent="0.2">
      <c r="A69" s="48" t="s">
        <v>677</v>
      </c>
      <c r="B69" s="48">
        <f>'15W40'!B69+('Petro 5W30'!G4-'15W40'!G4)*'Petro 5W30'!F69+'Petro 5W30'!M2</f>
        <v>431.69</v>
      </c>
      <c r="C69" s="49">
        <f t="shared" ref="C69:C74" si="7">E69+G69+H69</f>
        <v>274.8048</v>
      </c>
      <c r="D69" s="48"/>
      <c r="E69" s="49">
        <f>'15W40'!E69</f>
        <v>86.604800000000012</v>
      </c>
      <c r="F69" s="48">
        <f>'15W40'!F69</f>
        <v>34</v>
      </c>
      <c r="G69" s="49">
        <f>F69*G4</f>
        <v>180.2</v>
      </c>
      <c r="H69" s="49">
        <v>8</v>
      </c>
      <c r="I69" s="55">
        <f t="shared" si="2"/>
        <v>156.8852</v>
      </c>
      <c r="J69" s="56">
        <f t="shared" si="3"/>
        <v>0.63657902661632193</v>
      </c>
      <c r="K69" s="56">
        <f t="shared" si="0"/>
        <v>0.36342097338367807</v>
      </c>
      <c r="N69" s="48"/>
      <c r="O69" s="48"/>
      <c r="P69" s="48"/>
    </row>
    <row r="70" spans="1:16" x14ac:dyDescent="0.2">
      <c r="A70" s="48" t="s">
        <v>678</v>
      </c>
      <c r="B70" s="48">
        <f>'15W40'!B70+('Petro 5W30'!G4-'15W40'!G4)*'Petro 5W30'!F70+'Petro 5W30'!M3</f>
        <v>484.09000000000003</v>
      </c>
      <c r="C70" s="49">
        <f t="shared" si="7"/>
        <v>317.20479999999998</v>
      </c>
      <c r="D70" s="48"/>
      <c r="E70" s="49">
        <f>'15W40'!E70</f>
        <v>86.604800000000012</v>
      </c>
      <c r="F70" s="48">
        <f>'15W40'!F70</f>
        <v>42</v>
      </c>
      <c r="G70" s="49">
        <f>F70*G4</f>
        <v>222.6</v>
      </c>
      <c r="H70" s="49">
        <v>8</v>
      </c>
      <c r="I70" s="55">
        <f t="shared" si="2"/>
        <v>166.88520000000005</v>
      </c>
      <c r="J70" s="56">
        <f t="shared" si="3"/>
        <v>0.65525997231919675</v>
      </c>
      <c r="K70" s="56">
        <f t="shared" si="0"/>
        <v>0.34474002768080325</v>
      </c>
      <c r="N70" s="48"/>
      <c r="O70" s="48"/>
      <c r="P70" s="48"/>
    </row>
    <row r="71" spans="1:16" x14ac:dyDescent="0.2">
      <c r="A71" s="48" t="s">
        <v>679</v>
      </c>
      <c r="B71" s="48">
        <f>'15W40'!B71+('Petro 5W30'!G4-'15W40'!G4)*'Petro 5W30'!F71+'Petro 5W30'!M4</f>
        <v>549.59</v>
      </c>
      <c r="C71" s="49">
        <f t="shared" si="7"/>
        <v>370.20479999999998</v>
      </c>
      <c r="D71" s="48"/>
      <c r="E71" s="49">
        <f>'15W40'!E71</f>
        <v>86.604800000000012</v>
      </c>
      <c r="F71" s="48">
        <f>'15W40'!F71</f>
        <v>52</v>
      </c>
      <c r="G71" s="49">
        <f>F71*G4</f>
        <v>275.59999999999997</v>
      </c>
      <c r="H71" s="49">
        <v>8</v>
      </c>
      <c r="I71" s="55">
        <f t="shared" si="2"/>
        <v>179.38520000000005</v>
      </c>
      <c r="J71" s="56">
        <f t="shared" si="3"/>
        <v>0.67360177586928427</v>
      </c>
      <c r="K71" s="56">
        <f t="shared" si="0"/>
        <v>0.32639822413071573</v>
      </c>
      <c r="N71" s="48"/>
      <c r="O71" s="48"/>
      <c r="P71" s="48"/>
    </row>
    <row r="72" spans="1:16" x14ac:dyDescent="0.2">
      <c r="A72" s="48" t="s">
        <v>680</v>
      </c>
      <c r="B72" s="48">
        <f>'15W40'!B72+('Petro 5W30'!G4-'15W40'!G4)*'Petro 5W30'!F72+'Petro 5W30'!M2</f>
        <v>500.69</v>
      </c>
      <c r="C72" s="49">
        <f t="shared" si="7"/>
        <v>354.49</v>
      </c>
      <c r="D72" s="48"/>
      <c r="E72" s="49">
        <f>'15W40'!E72</f>
        <v>166.29</v>
      </c>
      <c r="F72" s="48">
        <f>'15W40'!F72</f>
        <v>34</v>
      </c>
      <c r="G72" s="49">
        <f>F72*G4</f>
        <v>180.2</v>
      </c>
      <c r="H72" s="49">
        <v>8</v>
      </c>
      <c r="I72" s="55">
        <f t="shared" si="2"/>
        <v>146.19999999999999</v>
      </c>
      <c r="J72" s="56">
        <f t="shared" si="3"/>
        <v>0.70800295592082929</v>
      </c>
      <c r="K72" s="56">
        <f t="shared" si="0"/>
        <v>0.29199704407917071</v>
      </c>
      <c r="N72" s="48"/>
      <c r="O72" s="48"/>
      <c r="P72" s="48"/>
    </row>
    <row r="73" spans="1:16" x14ac:dyDescent="0.2">
      <c r="A73" s="48" t="s">
        <v>681</v>
      </c>
      <c r="B73" s="48">
        <f>'15W40'!B73+('Petro 5W30'!G4-'15W40'!G4)*'Petro 5W30'!F73+'Petro 5W30'!M3</f>
        <v>554.09</v>
      </c>
      <c r="C73" s="49">
        <f t="shared" si="7"/>
        <v>396.89</v>
      </c>
      <c r="D73" s="48"/>
      <c r="E73" s="49">
        <f>'15W40'!E73</f>
        <v>166.29</v>
      </c>
      <c r="F73" s="48">
        <f>'15W40'!F73</f>
        <v>42</v>
      </c>
      <c r="G73" s="49">
        <f>F73*G4</f>
        <v>222.6</v>
      </c>
      <c r="H73" s="49">
        <v>8</v>
      </c>
      <c r="I73" s="55">
        <f t="shared" si="2"/>
        <v>157.20000000000005</v>
      </c>
      <c r="J73" s="56">
        <f t="shared" si="3"/>
        <v>0.71629157718060232</v>
      </c>
      <c r="K73" s="56">
        <f t="shared" si="0"/>
        <v>0.28370842281939768</v>
      </c>
      <c r="N73" s="48"/>
      <c r="O73" s="48"/>
      <c r="P73" s="48"/>
    </row>
    <row r="74" spans="1:16" x14ac:dyDescent="0.2">
      <c r="A74" s="48" t="s">
        <v>682</v>
      </c>
      <c r="B74" s="48">
        <f>'15W40'!B74+('Petro 5W30'!G4-'15W40'!G4)*'Petro 5W30'!F74+'Petro 5W30'!M4</f>
        <v>617.59</v>
      </c>
      <c r="C74" s="49">
        <f t="shared" si="7"/>
        <v>449.89</v>
      </c>
      <c r="D74" s="48"/>
      <c r="E74" s="49">
        <f>'15W40'!E74</f>
        <v>166.29</v>
      </c>
      <c r="F74" s="48">
        <f>'15W40'!F74</f>
        <v>52</v>
      </c>
      <c r="G74" s="49">
        <f>F74*G4</f>
        <v>275.59999999999997</v>
      </c>
      <c r="H74" s="49">
        <v>8</v>
      </c>
      <c r="I74" s="55">
        <f t="shared" si="2"/>
        <v>167.70000000000005</v>
      </c>
      <c r="J74" s="56">
        <f t="shared" si="3"/>
        <v>0.72846062922003263</v>
      </c>
      <c r="K74" s="56">
        <f t="shared" ref="K74" si="8">1-J74</f>
        <v>0.27153937077996737</v>
      </c>
      <c r="N74" s="48"/>
      <c r="O74" s="48"/>
      <c r="P74" s="48"/>
    </row>
  </sheetData>
  <pageMargins left="0.7" right="0.7" top="0.75" bottom="0.75" header="0.3" footer="0.3"/>
  <pageSetup paperSize="9"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EF03-D9E8-4CCE-93DB-8FF6900FC92A}">
  <dimension ref="A1:P86"/>
  <sheetViews>
    <sheetView zoomScale="120" zoomScaleNormal="120" workbookViewId="0">
      <pane ySplit="4" topLeftCell="A17" activePane="bottomLeft" state="frozen"/>
      <selection pane="bottomLeft" activeCell="G4" sqref="G4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.8554687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28515625" style="46" customWidth="1"/>
    <col min="13" max="13" width="4.85546875" style="46" customWidth="1"/>
    <col min="14" max="14" width="7.5703125" style="46" customWidth="1"/>
    <col min="15" max="15" width="7" style="46" customWidth="1"/>
    <col min="16" max="16384" width="9.140625" style="46"/>
  </cols>
  <sheetData>
    <row r="1" spans="1:16" ht="12.75" customHeight="1" x14ac:dyDescent="0.2">
      <c r="A1" s="46" t="s">
        <v>625</v>
      </c>
      <c r="B1" s="47" t="s">
        <v>1266</v>
      </c>
      <c r="G1" s="50">
        <f>'Oil Price'!E81</f>
        <v>6.22</v>
      </c>
      <c r="H1" s="50">
        <v>0.1</v>
      </c>
      <c r="L1" s="48" t="s">
        <v>693</v>
      </c>
      <c r="M1" s="48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1250</v>
      </c>
      <c r="O3" s="48" t="s">
        <v>1251</v>
      </c>
      <c r="P3" s="48"/>
    </row>
    <row r="4" spans="1:16" ht="12.75" customHeight="1" x14ac:dyDescent="0.2">
      <c r="G4" s="50">
        <f>G1+H1</f>
        <v>6.3199999999999994</v>
      </c>
      <c r="H4" s="50"/>
      <c r="J4" s="46">
        <v>1</v>
      </c>
      <c r="L4" s="48" t="s">
        <v>696</v>
      </c>
      <c r="M4" s="48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'Petro 5W30'!B6+('Petro 5W30 Gallon'!G4-'Petro 5W30'!G4)*'Petro 5W30 Gallon'!F6+'Petro 5W30 Gallon'!M2</f>
        <v>382.74</v>
      </c>
      <c r="C6" s="49">
        <f>E6+G6+H6</f>
        <v>219.28999999999996</v>
      </c>
      <c r="D6" s="48"/>
      <c r="E6" s="49">
        <f>'15W40'!E6</f>
        <v>53.290000000000006</v>
      </c>
      <c r="F6" s="48">
        <f>'15W40'!F6</f>
        <v>25</v>
      </c>
      <c r="G6" s="49">
        <f>F6*G4</f>
        <v>157.99999999999997</v>
      </c>
      <c r="H6" s="49">
        <v>8</v>
      </c>
      <c r="I6" s="55">
        <f>B6-C6</f>
        <v>163.45000000000005</v>
      </c>
      <c r="J6" s="56">
        <f>C6/B6</f>
        <v>0.57294769295082815</v>
      </c>
      <c r="K6" s="56">
        <f>1-J6</f>
        <v>0.42705230704917185</v>
      </c>
      <c r="N6" s="49">
        <f>B6-'Delo 5W30'!B6</f>
        <v>0.75</v>
      </c>
      <c r="O6" s="49">
        <f>C6-'Delo 5W30'!C6</f>
        <v>-14.250000000000057</v>
      </c>
      <c r="P6" s="49"/>
    </row>
    <row r="7" spans="1:16" ht="12.75" customHeight="1" x14ac:dyDescent="0.2">
      <c r="A7" s="48" t="s">
        <v>633</v>
      </c>
      <c r="B7" s="49">
        <f>'Petro 5W30'!B7+('Petro 5W30 Gallon'!G4-'Petro 5W30'!G4)*'Petro 5W30 Gallon'!F7+'Petro 5W30 Gallon'!M2</f>
        <v>360.74</v>
      </c>
      <c r="C7" s="49">
        <f>E7+G7+H7</f>
        <v>187.79919999999998</v>
      </c>
      <c r="D7" s="48"/>
      <c r="E7" s="49">
        <f>'15W40'!E7</f>
        <v>21.799199999999999</v>
      </c>
      <c r="F7" s="48">
        <f>'15W40'!F7</f>
        <v>25</v>
      </c>
      <c r="G7" s="49">
        <f>F7*G4</f>
        <v>157.99999999999997</v>
      </c>
      <c r="H7" s="49">
        <v>8</v>
      </c>
      <c r="I7" s="55">
        <f>B7-C7</f>
        <v>172.94080000000002</v>
      </c>
      <c r="J7" s="56">
        <f>C7/B7</f>
        <v>0.52059433386926868</v>
      </c>
      <c r="K7" s="56">
        <f t="shared" ref="K7:K73" si="0">1-J7</f>
        <v>0.47940566613073132</v>
      </c>
      <c r="N7" s="49">
        <f>B7-'Delo 5W30'!B7</f>
        <v>0.75</v>
      </c>
      <c r="O7" s="49">
        <f>C7-'Delo 5W30'!C7</f>
        <v>-14.25</v>
      </c>
      <c r="P7" s="48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N8" s="49"/>
      <c r="O8" s="49"/>
      <c r="P8" s="48"/>
    </row>
    <row r="9" spans="1:16" ht="12.75" customHeight="1" x14ac:dyDescent="0.2">
      <c r="A9" s="48" t="s">
        <v>634</v>
      </c>
      <c r="B9" s="49">
        <f>'Petro 5W30'!B9+('Petro 5W30 Gallon'!G4-'Petro 5W30'!G4)*'Petro 5W30 Gallon'!F9+'Petro 5W30 Gallon'!M2</f>
        <v>478.65</v>
      </c>
      <c r="C9" s="49">
        <f>E9+G9+H9</f>
        <v>318.73999999999995</v>
      </c>
      <c r="D9" s="48"/>
      <c r="E9" s="49">
        <f>'15W40'!E9</f>
        <v>70.58</v>
      </c>
      <c r="F9" s="48">
        <f>'15W40'!F9</f>
        <v>38</v>
      </c>
      <c r="G9" s="49">
        <f>F9*G4</f>
        <v>240.15999999999997</v>
      </c>
      <c r="H9" s="49">
        <v>8</v>
      </c>
      <c r="I9" s="55">
        <f>B9-C9</f>
        <v>159.91000000000003</v>
      </c>
      <c r="J9" s="56">
        <f>C9/B9</f>
        <v>0.66591455134231692</v>
      </c>
      <c r="K9" s="56">
        <f t="shared" si="0"/>
        <v>0.33408544865768308</v>
      </c>
      <c r="N9" s="49">
        <f>B9-'Delo 5W30'!B9</f>
        <v>-6.660000000000025</v>
      </c>
      <c r="O9" s="49">
        <f>C9-'Delo 5W30'!C9</f>
        <v>-21.660000000000025</v>
      </c>
      <c r="P9" s="48"/>
    </row>
    <row r="10" spans="1:16" ht="12.75" customHeight="1" x14ac:dyDescent="0.2">
      <c r="A10" s="48" t="s">
        <v>635</v>
      </c>
      <c r="B10" s="49">
        <f>'Petro 5W30'!B10+('Petro 5W30 Gallon'!G4-'Petro 5W30'!G4)*'Petro 5W30 Gallon'!F10+'Petro 5W30 Gallon'!M2</f>
        <v>437.65</v>
      </c>
      <c r="C10" s="49">
        <f>E10+G10+H10</f>
        <v>279.20479999999998</v>
      </c>
      <c r="D10" s="48"/>
      <c r="E10" s="49">
        <f>'15W40'!E10</f>
        <v>31.044799999999999</v>
      </c>
      <c r="F10" s="48">
        <f>'15W40'!F10</f>
        <v>38</v>
      </c>
      <c r="G10" s="49">
        <f>F10*G4</f>
        <v>240.15999999999997</v>
      </c>
      <c r="H10" s="49">
        <v>8</v>
      </c>
      <c r="I10" s="55">
        <f>B10-C10</f>
        <v>158.4452</v>
      </c>
      <c r="J10" s="56">
        <f>C10/B10</f>
        <v>0.63796366959899464</v>
      </c>
      <c r="K10" s="56">
        <f t="shared" si="0"/>
        <v>0.36203633040100536</v>
      </c>
      <c r="N10" s="49">
        <f>B10-'Delo 5W30'!B10</f>
        <v>-6.660000000000025</v>
      </c>
      <c r="O10" s="49">
        <f>C10-'Delo 5W30'!C10</f>
        <v>-21.660000000000025</v>
      </c>
      <c r="P10" s="48"/>
    </row>
    <row r="11" spans="1:16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N11" s="49"/>
      <c r="O11" s="49"/>
      <c r="P11" s="48"/>
    </row>
    <row r="12" spans="1:16" ht="12.75" customHeight="1" x14ac:dyDescent="0.2">
      <c r="A12" s="48" t="s">
        <v>637</v>
      </c>
      <c r="B12" s="49">
        <f>'Petro 5W30'!B12+('Petro 5W30 Gallon'!G4-'Petro 5W30'!G4)*'Petro 5W30 Gallon'!F12+'Petro 5W30 Gallon'!M3</f>
        <v>524</v>
      </c>
      <c r="C12" s="49">
        <f>E12+G12+H12</f>
        <v>350.34</v>
      </c>
      <c r="D12" s="48"/>
      <c r="E12" s="49">
        <f>'15W40'!E12</f>
        <v>70.58</v>
      </c>
      <c r="F12" s="48">
        <f>'15W40'!F12</f>
        <v>43</v>
      </c>
      <c r="G12" s="49">
        <f>F12*G4</f>
        <v>271.76</v>
      </c>
      <c r="H12" s="49">
        <v>8</v>
      </c>
      <c r="I12" s="55">
        <f>B12-C12</f>
        <v>173.66000000000003</v>
      </c>
      <c r="J12" s="56">
        <f>C12/B12</f>
        <v>0.66858778625954196</v>
      </c>
      <c r="K12" s="56">
        <f t="shared" si="0"/>
        <v>0.33141221374045804</v>
      </c>
      <c r="N12" s="49">
        <f>B12-'Delo 5W30'!B12</f>
        <v>-4.5099999999999909</v>
      </c>
      <c r="O12" s="49">
        <f>C12-'Delo 5W30'!C12</f>
        <v>-24.509999999999991</v>
      </c>
      <c r="P12" s="48"/>
    </row>
    <row r="13" spans="1:16" ht="12.75" customHeight="1" x14ac:dyDescent="0.2">
      <c r="A13" s="48" t="s">
        <v>638</v>
      </c>
      <c r="B13" s="49">
        <f>'Petro 5W30'!B13+('Petro 5W30 Gallon'!G4-'Petro 5W30'!G4)*'Petro 5W30 Gallon'!F13+'Petro 5W30 Gallon'!M3</f>
        <v>483</v>
      </c>
      <c r="C13" s="49">
        <f>E13+G13+H13</f>
        <v>310.8048</v>
      </c>
      <c r="D13" s="48"/>
      <c r="E13" s="49">
        <f>'15W40'!E13</f>
        <v>31.044799999999999</v>
      </c>
      <c r="F13" s="48">
        <f>'15W40'!F13</f>
        <v>43</v>
      </c>
      <c r="G13" s="49">
        <f>F13*G4</f>
        <v>271.76</v>
      </c>
      <c r="H13" s="49">
        <v>8</v>
      </c>
      <c r="I13" s="55">
        <f>B13-C13</f>
        <v>172.1952</v>
      </c>
      <c r="J13" s="56">
        <f>C13/B13</f>
        <v>0.64348819875776397</v>
      </c>
      <c r="K13" s="56">
        <f t="shared" si="0"/>
        <v>0.35651180124223603</v>
      </c>
      <c r="N13" s="49">
        <f>B13-'Delo 5W30'!B13</f>
        <v>-4.5099999999999909</v>
      </c>
      <c r="O13" s="49">
        <f>C13-'Delo 5W30'!C13</f>
        <v>-24.509999999999991</v>
      </c>
      <c r="P13" s="48"/>
    </row>
    <row r="14" spans="1:16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N14" s="49"/>
      <c r="O14" s="49"/>
      <c r="P14" s="48"/>
    </row>
    <row r="15" spans="1:16" ht="12.75" customHeight="1" x14ac:dyDescent="0.2">
      <c r="A15" s="48" t="s">
        <v>639</v>
      </c>
      <c r="B15" s="49">
        <f>'Petro 5W30'!B15+('Petro 5W30 Gallon'!G4-'Petro 5W30'!G4)*'Petro 5W30 Gallon'!F15+'Petro 5W30 Gallon'!M3</f>
        <v>464.78999999999996</v>
      </c>
      <c r="C15" s="49">
        <f t="shared" ref="C15:C21" si="1">E15+G15+H15</f>
        <v>292.2312</v>
      </c>
      <c r="D15" s="48"/>
      <c r="E15" s="49">
        <f>'15W40'!E15</f>
        <v>31.4312</v>
      </c>
      <c r="F15" s="48">
        <f>'15W40'!F15</f>
        <v>40</v>
      </c>
      <c r="G15" s="49">
        <f>F15*G4</f>
        <v>252.79999999999998</v>
      </c>
      <c r="H15" s="49">
        <v>8</v>
      </c>
      <c r="I15" s="55">
        <f t="shared" ref="I15:I21" si="2">B15-C15</f>
        <v>172.55879999999996</v>
      </c>
      <c r="J15" s="56">
        <f t="shared" ref="J15:J21" si="3">C15/B15</f>
        <v>0.62873813980507332</v>
      </c>
      <c r="K15" s="56">
        <f t="shared" si="0"/>
        <v>0.37126186019492668</v>
      </c>
      <c r="N15" s="49">
        <f>B15-'Delo 5W30'!B15</f>
        <v>-2.8000000000000682</v>
      </c>
      <c r="O15" s="49">
        <f>C15-'Delo 5W30'!C15</f>
        <v>-22.799999999999955</v>
      </c>
      <c r="P15" s="48"/>
    </row>
    <row r="16" spans="1:16" ht="12.75" customHeight="1" x14ac:dyDescent="0.2">
      <c r="A16" s="48" t="s">
        <v>640</v>
      </c>
      <c r="B16" s="49">
        <f>'Petro 5W30'!B16+('Petro 5W30 Gallon'!G4-'Petro 5W30'!G4)*'Petro 5W30 Gallon'!F16+'Petro 5W30 Gallon'!M1</f>
        <v>239.97</v>
      </c>
      <c r="C16" s="49">
        <f t="shared" si="1"/>
        <v>103.19999999999999</v>
      </c>
      <c r="D16" s="48"/>
      <c r="E16" s="49">
        <f>'15W40'!E16</f>
        <v>6.7200000000000006</v>
      </c>
      <c r="F16" s="48">
        <f>'15W40'!F16</f>
        <v>14</v>
      </c>
      <c r="G16" s="49">
        <f>F16*G4</f>
        <v>88.47999999999999</v>
      </c>
      <c r="H16" s="49">
        <v>8</v>
      </c>
      <c r="I16" s="55">
        <f t="shared" si="2"/>
        <v>136.77000000000001</v>
      </c>
      <c r="J16" s="56">
        <f t="shared" si="3"/>
        <v>0.4300537567195899</v>
      </c>
      <c r="K16" s="56">
        <f t="shared" si="0"/>
        <v>0.5699462432804101</v>
      </c>
      <c r="N16" s="49">
        <f>B16-'Delo 5W30'!B16</f>
        <v>2.0200000000000102</v>
      </c>
      <c r="O16" s="49">
        <f>C16-'Delo 5W30'!C16</f>
        <v>-7.980000000000004</v>
      </c>
      <c r="P16" s="48"/>
    </row>
    <row r="17" spans="1:16" ht="12.75" customHeight="1" x14ac:dyDescent="0.2">
      <c r="A17" s="48" t="s">
        <v>641</v>
      </c>
      <c r="B17" s="49">
        <f>'Petro 5W30'!B17+('Petro 5W30 Gallon'!G4-'Petro 5W30'!G4)*'Petro 5W30 Gallon'!F17+'Petro 5W30 Gallon'!M2</f>
        <v>374.74</v>
      </c>
      <c r="C17" s="49">
        <f t="shared" si="1"/>
        <v>216.81039999999996</v>
      </c>
      <c r="D17" s="48"/>
      <c r="E17" s="49">
        <f>'15W40'!E17</f>
        <v>50.810400000000001</v>
      </c>
      <c r="F17" s="48">
        <f>'15W40'!F17</f>
        <v>25</v>
      </c>
      <c r="G17" s="49">
        <f>F17*G4</f>
        <v>157.99999999999997</v>
      </c>
      <c r="H17" s="49">
        <v>8</v>
      </c>
      <c r="I17" s="55">
        <f t="shared" si="2"/>
        <v>157.92960000000005</v>
      </c>
      <c r="J17" s="56">
        <f t="shared" si="3"/>
        <v>0.57856220312750162</v>
      </c>
      <c r="K17" s="56">
        <f t="shared" si="0"/>
        <v>0.42143779687249838</v>
      </c>
      <c r="N17" s="49">
        <f>B17-'Delo 5W30'!B17</f>
        <v>0.75</v>
      </c>
      <c r="O17" s="49">
        <f>C17-'Delo 5W30'!C17</f>
        <v>-14.250000000000057</v>
      </c>
      <c r="P17" s="48"/>
    </row>
    <row r="18" spans="1:16" ht="12.75" customHeight="1" x14ac:dyDescent="0.2">
      <c r="A18" s="48" t="s">
        <v>642</v>
      </c>
      <c r="B18" s="49">
        <f>'Petro 5W30'!B18+('Petro 5W30 Gallon'!G4-'Petro 5W30'!G4)*'Petro 5W30 Gallon'!F18+'Petro 5W30 Gallon'!M2</f>
        <v>372.74</v>
      </c>
      <c r="C18" s="49">
        <f t="shared" si="1"/>
        <v>192.68799999999999</v>
      </c>
      <c r="D18" s="48"/>
      <c r="E18" s="49">
        <f>'15W40'!E18</f>
        <v>26.688000000000002</v>
      </c>
      <c r="F18" s="48">
        <f>'15W40'!F18</f>
        <v>25</v>
      </c>
      <c r="G18" s="49">
        <f>F18*G4</f>
        <v>157.99999999999997</v>
      </c>
      <c r="H18" s="49">
        <v>8</v>
      </c>
      <c r="I18" s="55">
        <f t="shared" si="2"/>
        <v>180.05200000000002</v>
      </c>
      <c r="J18" s="56">
        <f t="shared" si="3"/>
        <v>0.51695015292160751</v>
      </c>
      <c r="K18" s="56">
        <f t="shared" si="0"/>
        <v>0.48304984707839249</v>
      </c>
      <c r="N18" s="49">
        <f>B18-'Delo 5W30'!B18</f>
        <v>0.75</v>
      </c>
      <c r="O18" s="49">
        <f>C18-'Delo 5W30'!C18</f>
        <v>-14.25</v>
      </c>
      <c r="P18" s="48"/>
    </row>
    <row r="19" spans="1:16" ht="12.75" customHeight="1" x14ac:dyDescent="0.2">
      <c r="A19" s="48" t="s">
        <v>643</v>
      </c>
      <c r="B19" s="49">
        <f>'Petro 5W30'!B19+('Petro 5W30 Gallon'!G4-'Petro 5W30'!G4)*'Petro 5W30 Gallon'!F19+'Petro 5W30 Gallon'!M2</f>
        <v>432.51</v>
      </c>
      <c r="C19" s="49">
        <f t="shared" si="1"/>
        <v>275.3544</v>
      </c>
      <c r="D19" s="48"/>
      <c r="E19" s="49">
        <f>'15W40'!E19</f>
        <v>39.834400000000002</v>
      </c>
      <c r="F19" s="48">
        <f>'15W40'!F19</f>
        <v>36</v>
      </c>
      <c r="G19" s="49">
        <f>F19*G4</f>
        <v>227.51999999999998</v>
      </c>
      <c r="H19" s="49">
        <v>8</v>
      </c>
      <c r="I19" s="55">
        <f t="shared" si="2"/>
        <v>157.15559999999999</v>
      </c>
      <c r="J19" s="56">
        <f t="shared" si="3"/>
        <v>0.63664285218838867</v>
      </c>
      <c r="K19" s="56">
        <f t="shared" si="0"/>
        <v>0.36335714781161133</v>
      </c>
      <c r="N19" s="49">
        <f>B19-'Delo 5W30'!B19</f>
        <v>-5.5199999999999818</v>
      </c>
      <c r="O19" s="49">
        <f>C19-'Delo 5W30'!C19</f>
        <v>-20.519999999999982</v>
      </c>
      <c r="P19" s="48"/>
    </row>
    <row r="20" spans="1:16" ht="12.75" customHeight="1" x14ac:dyDescent="0.2">
      <c r="A20" s="48" t="s">
        <v>645</v>
      </c>
      <c r="B20" s="49">
        <f>'Petro 5W30'!B20+('Petro 5W30 Gallon'!G4-'Petro 5W30'!G4)*'Petro 5W30 Gallon'!F20+'Petro 5W30 Gallon'!M3</f>
        <v>550.06999999999994</v>
      </c>
      <c r="C20" s="49">
        <f t="shared" si="1"/>
        <v>371.7296</v>
      </c>
      <c r="D20" s="48"/>
      <c r="E20" s="49">
        <f>'15W40'!E20</f>
        <v>85.649600000000007</v>
      </c>
      <c r="F20" s="48">
        <f>'15W40'!F20</f>
        <v>44</v>
      </c>
      <c r="G20" s="49">
        <f>F20*G4</f>
        <v>278.08</v>
      </c>
      <c r="H20" s="49">
        <v>8</v>
      </c>
      <c r="I20" s="55">
        <f t="shared" si="2"/>
        <v>178.34039999999993</v>
      </c>
      <c r="J20" s="56">
        <f t="shared" si="3"/>
        <v>0.67578599087388891</v>
      </c>
      <c r="K20" s="56">
        <f t="shared" si="0"/>
        <v>0.32421400912611109</v>
      </c>
      <c r="N20" s="49">
        <f>B20-'Delo 5W30'!B20</f>
        <v>-5.0800000000000409</v>
      </c>
      <c r="O20" s="49">
        <f>C20-'Delo 5W30'!C20</f>
        <v>-25.079999999999984</v>
      </c>
      <c r="P20" s="48"/>
    </row>
    <row r="21" spans="1:16" ht="12.75" customHeight="1" x14ac:dyDescent="0.2">
      <c r="A21" s="48" t="s">
        <v>646</v>
      </c>
      <c r="B21" s="49">
        <f>'Petro 5W30'!B21+('Petro 5W30 Gallon'!G4-'Petro 5W30'!G4)*'Petro 5W30 Gallon'!F21+'Petro 5W30 Gallon'!M2</f>
        <v>411.37</v>
      </c>
      <c r="C21" s="49">
        <f t="shared" si="1"/>
        <v>254.31119999999996</v>
      </c>
      <c r="D21" s="48"/>
      <c r="E21" s="49">
        <f>'15W40'!E21</f>
        <v>31.4312</v>
      </c>
      <c r="F21" s="48">
        <f>'15W40'!F21</f>
        <v>34</v>
      </c>
      <c r="G21" s="49">
        <f>F21*G4</f>
        <v>214.87999999999997</v>
      </c>
      <c r="H21" s="49">
        <v>8</v>
      </c>
      <c r="I21" s="55">
        <f t="shared" si="2"/>
        <v>157.05880000000005</v>
      </c>
      <c r="J21" s="56">
        <f t="shared" si="3"/>
        <v>0.61820550842307398</v>
      </c>
      <c r="K21" s="56">
        <f t="shared" si="0"/>
        <v>0.38179449157692602</v>
      </c>
      <c r="N21" s="49">
        <f>B21-'Delo 5W30'!B21</f>
        <v>-4.3799999999999955</v>
      </c>
      <c r="O21" s="49">
        <f>C21-'Delo 5W30'!C21</f>
        <v>-19.380000000000024</v>
      </c>
      <c r="P21" s="48"/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N22" s="49"/>
      <c r="O22" s="49"/>
      <c r="P22" s="48"/>
    </row>
    <row r="23" spans="1:16" ht="12.75" customHeight="1" x14ac:dyDescent="0.2">
      <c r="A23" s="48" t="s">
        <v>647</v>
      </c>
      <c r="B23" s="49">
        <f>'Petro 5W30'!B23+('Petro 5W30 Gallon'!G4-'Petro 5W30'!G4)*'Petro 5W30 Gallon'!F23+'Petro 5W30 Gallon'!M2</f>
        <v>493.65</v>
      </c>
      <c r="C23" s="49">
        <f t="shared" ref="C23:C28" si="4">E23+G23+H23</f>
        <v>325.77999999999997</v>
      </c>
      <c r="D23" s="48"/>
      <c r="E23" s="49">
        <f>'15W40'!E23</f>
        <v>77.62</v>
      </c>
      <c r="F23" s="48">
        <f>'15W40'!F23</f>
        <v>38</v>
      </c>
      <c r="G23" s="49">
        <f>F23*G4</f>
        <v>240.15999999999997</v>
      </c>
      <c r="H23" s="49">
        <v>8</v>
      </c>
      <c r="I23" s="55">
        <f t="shared" ref="I23:I74" si="5">B23-C23</f>
        <v>167.87</v>
      </c>
      <c r="J23" s="56">
        <f t="shared" ref="J23:J74" si="6">C23/B23</f>
        <v>0.65994125392484548</v>
      </c>
      <c r="K23" s="56">
        <f t="shared" si="0"/>
        <v>0.34005874607515452</v>
      </c>
      <c r="N23" s="49">
        <f>B23-'Delo 5W30'!B23</f>
        <v>-6.660000000000025</v>
      </c>
      <c r="O23" s="49">
        <f>C23-'Delo 5W30'!C23</f>
        <v>-21.660000000000025</v>
      </c>
      <c r="P23" s="48"/>
    </row>
    <row r="24" spans="1:16" ht="12.75" customHeight="1" x14ac:dyDescent="0.2">
      <c r="A24" s="48" t="s">
        <v>648</v>
      </c>
      <c r="B24" s="49">
        <f>'Petro 5W30'!B24+('Petro 5W30 Gallon'!G4-'Petro 5W30'!G4)*'Petro 5W30 Gallon'!F24+'Petro 5W30 Gallon'!M2</f>
        <v>541.23</v>
      </c>
      <c r="C24" s="49">
        <f t="shared" si="4"/>
        <v>379.09000000000003</v>
      </c>
      <c r="D24" s="48"/>
      <c r="E24" s="49">
        <f>'15W40'!E24</f>
        <v>168.85000000000002</v>
      </c>
      <c r="F24" s="48">
        <f>'15W40'!F24</f>
        <v>32</v>
      </c>
      <c r="G24" s="49">
        <f>F24*G4</f>
        <v>202.23999999999998</v>
      </c>
      <c r="H24" s="49">
        <v>8</v>
      </c>
      <c r="I24" s="55">
        <f t="shared" si="5"/>
        <v>162.13999999999999</v>
      </c>
      <c r="J24" s="56">
        <f t="shared" si="6"/>
        <v>0.70042311032278337</v>
      </c>
      <c r="K24" s="56">
        <f t="shared" si="0"/>
        <v>0.29957688967721663</v>
      </c>
      <c r="N24" s="49">
        <f>B24-'Delo 5W30'!B24</f>
        <v>-3.2400000000000091</v>
      </c>
      <c r="O24" s="49">
        <f>C24-'Delo 5W30'!C24</f>
        <v>-18.240000000000009</v>
      </c>
      <c r="P24" s="48"/>
    </row>
    <row r="25" spans="1:16" ht="12.75" customHeight="1" x14ac:dyDescent="0.2">
      <c r="A25" s="48" t="s">
        <v>649</v>
      </c>
      <c r="B25" s="49">
        <f>'Petro 5W30'!B25+('Petro 5W30 Gallon'!G4-'Petro 5W30'!G4)*'Petro 5W30 Gallon'!F25+'Petro 5W30 Gallon'!M3</f>
        <v>582.93000000000006</v>
      </c>
      <c r="C25" s="49">
        <f t="shared" si="4"/>
        <v>411.23</v>
      </c>
      <c r="D25" s="48"/>
      <c r="E25" s="49">
        <f>'15W40'!E25</f>
        <v>137.79000000000002</v>
      </c>
      <c r="F25" s="48">
        <f>'15W40'!F25</f>
        <v>42</v>
      </c>
      <c r="G25" s="49">
        <f>F25*G4</f>
        <v>265.44</v>
      </c>
      <c r="H25" s="49">
        <v>8</v>
      </c>
      <c r="I25" s="55">
        <f t="shared" si="5"/>
        <v>171.70000000000005</v>
      </c>
      <c r="J25" s="56">
        <f t="shared" si="6"/>
        <v>0.70545348498104399</v>
      </c>
      <c r="K25" s="56">
        <f t="shared" si="0"/>
        <v>0.29454651501895601</v>
      </c>
      <c r="N25" s="49">
        <f>B25-'Delo 5W30'!B25</f>
        <v>-3.9399999999999409</v>
      </c>
      <c r="O25" s="49">
        <f>C25-'Delo 5W30'!C25</f>
        <v>-23.939999999999998</v>
      </c>
      <c r="P25" s="48"/>
    </row>
    <row r="26" spans="1:16" ht="12.75" customHeight="1" x14ac:dyDescent="0.2">
      <c r="A26" s="48" t="s">
        <v>650</v>
      </c>
      <c r="B26" s="49">
        <f>'Petro 5W30'!B26+('Petro 5W30 Gallon'!G4-'Petro 5W30'!G4)*'Petro 5W30 Gallon'!F26+'Petro 5W30 Gallon'!M3</f>
        <v>560.93000000000006</v>
      </c>
      <c r="C26" s="49">
        <f t="shared" si="4"/>
        <v>387.49279999999999</v>
      </c>
      <c r="D26" s="48"/>
      <c r="E26" s="49">
        <f>'15W40'!E26</f>
        <v>114.05280000000002</v>
      </c>
      <c r="F26" s="48">
        <f>'15W40'!F26</f>
        <v>42</v>
      </c>
      <c r="G26" s="49">
        <f>F26*G4</f>
        <v>265.44</v>
      </c>
      <c r="H26" s="49">
        <v>8</v>
      </c>
      <c r="I26" s="55">
        <f t="shared" si="5"/>
        <v>173.43720000000008</v>
      </c>
      <c r="J26" s="56">
        <f t="shared" si="6"/>
        <v>0.69080420016757871</v>
      </c>
      <c r="K26" s="56">
        <f t="shared" si="0"/>
        <v>0.30919579983242129</v>
      </c>
      <c r="N26" s="49">
        <f>B26-'Delo 5W30'!B26</f>
        <v>-3.9399999999999409</v>
      </c>
      <c r="O26" s="49">
        <f>C26-'Delo 5W30'!C26</f>
        <v>-23.940000000000055</v>
      </c>
      <c r="P26" s="48"/>
    </row>
    <row r="27" spans="1:16" ht="12.75" customHeight="1" x14ac:dyDescent="0.2">
      <c r="A27" s="48" t="s">
        <v>651</v>
      </c>
      <c r="B27" s="49">
        <f>'Petro 5W30'!B27+('Petro 5W30 Gallon'!G4-'Petro 5W30'!G4)*'Petro 5W30 Gallon'!F27+'Petro 5W30 Gallon'!M2</f>
        <v>446.65</v>
      </c>
      <c r="C27" s="49">
        <f t="shared" si="4"/>
        <v>293.55119999999999</v>
      </c>
      <c r="D27" s="48"/>
      <c r="E27" s="49">
        <f>'15W40'!E27</f>
        <v>45.391199999999998</v>
      </c>
      <c r="F27" s="48">
        <f>'15W40'!F27</f>
        <v>38</v>
      </c>
      <c r="G27" s="49">
        <f>F27*G4</f>
        <v>240.15999999999997</v>
      </c>
      <c r="H27" s="49">
        <v>8</v>
      </c>
      <c r="I27" s="55">
        <f t="shared" si="5"/>
        <v>153.09879999999998</v>
      </c>
      <c r="J27" s="56">
        <f t="shared" si="6"/>
        <v>0.6572287025635285</v>
      </c>
      <c r="K27" s="56">
        <f t="shared" si="0"/>
        <v>0.3427712974364715</v>
      </c>
      <c r="N27" s="49">
        <f>B27-'Delo 5W30'!B27</f>
        <v>-6.660000000000025</v>
      </c>
      <c r="O27" s="49">
        <f>C27-'Delo 5W30'!C27</f>
        <v>-21.659999999999968</v>
      </c>
      <c r="P27" s="48"/>
    </row>
    <row r="28" spans="1:16" ht="12.75" customHeight="1" x14ac:dyDescent="0.2">
      <c r="A28" s="48" t="s">
        <v>652</v>
      </c>
      <c r="B28" s="49">
        <f>'Petro 5W30'!B28+('Petro 5W30 Gallon'!G4-'Petro 5W30'!G4)*'Petro 5W30 Gallon'!F28+'Petro 5W30 Gallon'!M1</f>
        <v>239.97</v>
      </c>
      <c r="C28" s="49">
        <f t="shared" si="4"/>
        <v>106.58239999999999</v>
      </c>
      <c r="D28" s="48"/>
      <c r="E28" s="49">
        <f>'15W40'!E28</f>
        <v>10.102400000000001</v>
      </c>
      <c r="F28" s="48">
        <f>'15W40'!F28</f>
        <v>14</v>
      </c>
      <c r="G28" s="49">
        <f>F28*G4</f>
        <v>88.47999999999999</v>
      </c>
      <c r="H28" s="49">
        <v>8</v>
      </c>
      <c r="I28" s="55">
        <f t="shared" si="5"/>
        <v>133.38760000000002</v>
      </c>
      <c r="J28" s="56">
        <f t="shared" si="6"/>
        <v>0.44414885193982578</v>
      </c>
      <c r="K28" s="56">
        <f t="shared" si="0"/>
        <v>0.55585114806017422</v>
      </c>
      <c r="N28" s="49">
        <f>B28-'Delo 5W30'!B28</f>
        <v>2.0200000000000102</v>
      </c>
      <c r="O28" s="49">
        <f>C28-'Delo 5W30'!C28</f>
        <v>-7.980000000000004</v>
      </c>
      <c r="P28" s="48"/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N29" s="49"/>
      <c r="O29" s="49"/>
      <c r="P29" s="48"/>
    </row>
    <row r="30" spans="1:16" ht="12.75" customHeight="1" x14ac:dyDescent="0.2">
      <c r="A30" s="48" t="s">
        <v>653</v>
      </c>
      <c r="B30" s="49">
        <f>'Petro 5W30'!B30+('Petro 5W30 Gallon'!G4-'Petro 5W30'!G4)*'Petro 5W30 Gallon'!F30+'Petro 5W30 Gallon'!M1</f>
        <v>239.97</v>
      </c>
      <c r="C30" s="49">
        <f>E30+G30+H30</f>
        <v>110.89679999999998</v>
      </c>
      <c r="D30" s="48"/>
      <c r="E30" s="49">
        <f>'15W40'!E30</f>
        <v>14.416800000000002</v>
      </c>
      <c r="F30" s="48">
        <f>'15W40'!F30</f>
        <v>14</v>
      </c>
      <c r="G30" s="49">
        <f>F30*G4</f>
        <v>88.47999999999999</v>
      </c>
      <c r="H30" s="49">
        <v>8</v>
      </c>
      <c r="I30" s="55">
        <f t="shared" si="5"/>
        <v>129.07320000000001</v>
      </c>
      <c r="J30" s="56">
        <f t="shared" si="6"/>
        <v>0.46212776597074628</v>
      </c>
      <c r="K30" s="56">
        <f t="shared" si="0"/>
        <v>0.53787223402925366</v>
      </c>
      <c r="N30" s="49">
        <f>B30-'Delo 5W30'!B30</f>
        <v>2.0200000000000102</v>
      </c>
      <c r="O30" s="49">
        <f>C30-'Delo 5W30'!C30</f>
        <v>-7.9800000000000182</v>
      </c>
      <c r="P30" s="48"/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N31" s="49"/>
      <c r="O31" s="49"/>
      <c r="P31" s="48"/>
    </row>
    <row r="32" spans="1:16" ht="12.75" customHeight="1" x14ac:dyDescent="0.2">
      <c r="A32" s="48" t="s">
        <v>423</v>
      </c>
      <c r="B32" s="49">
        <f>'Petro 5W30'!B32+('Petro 5W30 Gallon'!G4-'Petro 5W30'!G4)*'Petro 5W30 Gallon'!F32+'Petro 5W30 Gallon'!M1</f>
        <v>338.96999999999997</v>
      </c>
      <c r="C32" s="49">
        <f>E32+G32+H32</f>
        <v>192.48</v>
      </c>
      <c r="D32" s="48"/>
      <c r="E32" s="49">
        <f>'15W40'!E32</f>
        <v>96</v>
      </c>
      <c r="F32" s="48">
        <f>'15W40'!F32</f>
        <v>14</v>
      </c>
      <c r="G32" s="49">
        <f>F32*G4</f>
        <v>88.47999999999999</v>
      </c>
      <c r="H32" s="49">
        <v>8</v>
      </c>
      <c r="I32" s="55">
        <f t="shared" si="5"/>
        <v>146.48999999999998</v>
      </c>
      <c r="J32" s="56">
        <f t="shared" si="6"/>
        <v>0.5678378617576777</v>
      </c>
      <c r="K32" s="56">
        <f t="shared" si="0"/>
        <v>0.4321621382423223</v>
      </c>
      <c r="N32" s="49">
        <f>B32-'Delo 5W30'!B32</f>
        <v>2.0199999999999818</v>
      </c>
      <c r="O32" s="49">
        <f>C32-'Delo 5W30'!C32</f>
        <v>-7.9799999999999898</v>
      </c>
      <c r="P32" s="48"/>
    </row>
    <row r="33" spans="1:16" ht="12.75" customHeight="1" x14ac:dyDescent="0.2">
      <c r="A33" s="48" t="s">
        <v>654</v>
      </c>
      <c r="B33" s="49">
        <f>'Petro 5W30'!B33+('Petro 5W30 Gallon'!G4-'Petro 5W30'!G4)*'Petro 5W30 Gallon'!F33+'Petro 5W30 Gallon'!M1</f>
        <v>268.96999999999997</v>
      </c>
      <c r="C33" s="49">
        <f>E33+G33+H33</f>
        <v>123.90159999999999</v>
      </c>
      <c r="D33" s="48"/>
      <c r="E33" s="49">
        <f>'15W40'!E33</f>
        <v>27.421599999999998</v>
      </c>
      <c r="F33" s="48">
        <f>'15W40'!F33</f>
        <v>14</v>
      </c>
      <c r="G33" s="49">
        <f>F33*G4</f>
        <v>88.47999999999999</v>
      </c>
      <c r="H33" s="49">
        <v>8</v>
      </c>
      <c r="I33" s="55">
        <f t="shared" si="5"/>
        <v>145.0684</v>
      </c>
      <c r="J33" s="56">
        <f t="shared" si="6"/>
        <v>0.46065211733650596</v>
      </c>
      <c r="K33" s="56">
        <f t="shared" si="0"/>
        <v>0.53934788266349409</v>
      </c>
      <c r="N33" s="49">
        <f>B33-'Delo 5W30'!B33</f>
        <v>2.0199999999999818</v>
      </c>
      <c r="O33" s="49">
        <f>C33-'Delo 5W30'!C33</f>
        <v>-7.980000000000004</v>
      </c>
      <c r="P33" s="48"/>
    </row>
    <row r="34" spans="1:16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N34" s="49"/>
      <c r="O34" s="49"/>
      <c r="P34" s="48"/>
    </row>
    <row r="35" spans="1:16" ht="12.75" customHeight="1" x14ac:dyDescent="0.2">
      <c r="A35" s="48" t="s">
        <v>655</v>
      </c>
      <c r="B35" s="49">
        <f>'Petro 5W30'!B35+('Petro 5W30 Gallon'!G4-'Petro 5W30'!G4)*'Petro 5W30 Gallon'!F35+'Petro 5W30 Gallon'!M2</f>
        <v>384.81</v>
      </c>
      <c r="C35" s="49">
        <f>E35+G35+H35</f>
        <v>225.8888</v>
      </c>
      <c r="D35" s="49"/>
      <c r="E35" s="49">
        <f>'15W40'!E35</f>
        <v>53.56880000000001</v>
      </c>
      <c r="F35" s="48">
        <f>'15W40'!F35</f>
        <v>26</v>
      </c>
      <c r="G35" s="49">
        <f>F35*G4</f>
        <v>164.32</v>
      </c>
      <c r="H35" s="49">
        <v>8</v>
      </c>
      <c r="I35" s="55">
        <f t="shared" si="5"/>
        <v>158.9212</v>
      </c>
      <c r="J35" s="56">
        <f t="shared" si="6"/>
        <v>0.58701385099139836</v>
      </c>
      <c r="K35" s="56">
        <f t="shared" si="0"/>
        <v>0.41298614900860164</v>
      </c>
      <c r="N35" s="49">
        <f>B35-'Delo 5W30'!B35</f>
        <v>0.18000000000000682</v>
      </c>
      <c r="O35" s="49">
        <f>C35-'Delo 5W30'!C35</f>
        <v>-14.819999999999993</v>
      </c>
      <c r="P35" s="48"/>
    </row>
    <row r="36" spans="1:16" ht="12.75" customHeight="1" x14ac:dyDescent="0.2">
      <c r="A36" s="48" t="s">
        <v>1245</v>
      </c>
      <c r="B36" s="49">
        <f>'Petro 5W30'!B36+('Petro 5W30 Gallon'!G4-'Petro 5W30'!G4)*'Petro 5W30 Gallon'!F36+'Petro 5W30 Gallon'!M3</f>
        <v>675.20999999999992</v>
      </c>
      <c r="C36" s="49">
        <f>E36+G36+H36</f>
        <v>477.52</v>
      </c>
      <c r="D36" s="49"/>
      <c r="E36" s="49">
        <f>'15W40'!E36</f>
        <v>178.8</v>
      </c>
      <c r="F36" s="48">
        <f>'15W40'!F36</f>
        <v>46</v>
      </c>
      <c r="G36" s="49">
        <f>F36*G4</f>
        <v>290.71999999999997</v>
      </c>
      <c r="H36" s="49">
        <v>8</v>
      </c>
      <c r="I36" s="55">
        <f t="shared" si="5"/>
        <v>197.68999999999994</v>
      </c>
      <c r="J36" s="56">
        <f t="shared" si="6"/>
        <v>0.70721701396602543</v>
      </c>
      <c r="K36" s="56">
        <f t="shared" si="0"/>
        <v>0.29278298603397457</v>
      </c>
      <c r="N36" s="49"/>
      <c r="O36" s="49">
        <f>C36-'Delo 5W30'!C36</f>
        <v>-26.220000000000027</v>
      </c>
      <c r="P36" s="48"/>
    </row>
    <row r="37" spans="1:16" ht="12.75" customHeight="1" x14ac:dyDescent="0.2">
      <c r="A37" s="48" t="s">
        <v>1249</v>
      </c>
      <c r="B37" s="49">
        <f>'Petro 5W30'!B37+('Petro 5W30 Gallon'!G4-'Petro 5W30'!G4)*'Petro 5W30 Gallon'!F37+'Petro 5W30 Gallon'!M1</f>
        <v>318.96999999999997</v>
      </c>
      <c r="C37" s="49">
        <f>E37+G37+H37</f>
        <v>154.3528</v>
      </c>
      <c r="D37" s="49"/>
      <c r="E37" s="49">
        <f>'15W40'!E37</f>
        <v>57.872799999999998</v>
      </c>
      <c r="F37" s="48">
        <f>'15W40'!F37</f>
        <v>14</v>
      </c>
      <c r="G37" s="49">
        <f>F37*G4</f>
        <v>88.47999999999999</v>
      </c>
      <c r="H37" s="49">
        <v>8</v>
      </c>
      <c r="I37" s="55">
        <f t="shared" si="5"/>
        <v>164.61719999999997</v>
      </c>
      <c r="J37" s="56">
        <f t="shared" si="6"/>
        <v>0.48391008558798637</v>
      </c>
      <c r="K37" s="56">
        <f t="shared" si="0"/>
        <v>0.51608991441201368</v>
      </c>
      <c r="N37" s="49"/>
      <c r="O37" s="49"/>
      <c r="P37" s="48"/>
    </row>
    <row r="38" spans="1:16" ht="12.75" customHeight="1" x14ac:dyDescent="0.2">
      <c r="A38" s="48" t="s">
        <v>1124</v>
      </c>
      <c r="B38" s="49">
        <f>'Petro 5W30'!B38+('Petro 5W30 Gallon'!G4-'Petro 5W30'!G4)*'Petro 5W30 Gallon'!F38+'Petro 5W30 Gallon'!M2</f>
        <v>309.96999999999997</v>
      </c>
      <c r="C38" s="49">
        <f t="shared" ref="C38:C53" si="7">E38+G38+H38</f>
        <v>140.62079999999997</v>
      </c>
      <c r="D38" s="48"/>
      <c r="E38" s="49">
        <f>'15W40'!E38</f>
        <v>44.140799999999999</v>
      </c>
      <c r="F38" s="48">
        <f>'15W40'!F38</f>
        <v>14</v>
      </c>
      <c r="G38" s="49">
        <f>F38*G4</f>
        <v>88.47999999999999</v>
      </c>
      <c r="H38" s="49">
        <v>8</v>
      </c>
      <c r="I38" s="55">
        <f t="shared" si="5"/>
        <v>169.3492</v>
      </c>
      <c r="J38" s="56">
        <f t="shared" si="6"/>
        <v>0.45365938639223147</v>
      </c>
      <c r="K38" s="56">
        <f t="shared" si="0"/>
        <v>0.54634061360776853</v>
      </c>
      <c r="N38" s="49">
        <f>B38-'Delo 5W30'!B38</f>
        <v>7.0199999999999818</v>
      </c>
      <c r="O38" s="49">
        <f>C38-'Delo 5W30'!C38</f>
        <v>-7.9800000000000182</v>
      </c>
      <c r="P38" s="48"/>
    </row>
    <row r="39" spans="1:16" ht="12.75" customHeight="1" x14ac:dyDescent="0.2">
      <c r="A39" s="48" t="s">
        <v>425</v>
      </c>
      <c r="B39" s="49">
        <f>'Petro 5W30'!B39+('Petro 5W30 Gallon'!G4-'Petro 5W30'!G4)*'Petro 5W30 Gallon'!F39+'Petro 5W30 Gallon'!M3</f>
        <v>384.96999999999997</v>
      </c>
      <c r="C39" s="49">
        <f t="shared" si="7"/>
        <v>165.45</v>
      </c>
      <c r="D39" s="48"/>
      <c r="E39" s="49">
        <f>'15W40'!E39</f>
        <v>68.97</v>
      </c>
      <c r="F39" s="48">
        <f>'15W40'!F39</f>
        <v>14</v>
      </c>
      <c r="G39" s="49">
        <f>F39*G4</f>
        <v>88.47999999999999</v>
      </c>
      <c r="H39" s="49">
        <v>8</v>
      </c>
      <c r="I39" s="55">
        <f t="shared" si="5"/>
        <v>219.51999999999998</v>
      </c>
      <c r="J39" s="56">
        <f t="shared" si="6"/>
        <v>0.42977374860378731</v>
      </c>
      <c r="K39" s="56">
        <f t="shared" si="0"/>
        <v>0.57022625139621264</v>
      </c>
      <c r="N39" s="49"/>
      <c r="O39" s="49">
        <f>C39-'Delo 5W30'!C39</f>
        <v>-7.9800000000000182</v>
      </c>
      <c r="P39" s="48"/>
    </row>
    <row r="40" spans="1:16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N40" s="49"/>
      <c r="O40" s="49"/>
      <c r="P40" s="48"/>
    </row>
    <row r="41" spans="1:16" ht="12.75" customHeight="1" x14ac:dyDescent="0.2">
      <c r="A41" s="48" t="s">
        <v>907</v>
      </c>
      <c r="B41" s="49">
        <f>'Petro 5W30'!B41+('Petro 5W30 Gallon'!G4-'Petro 5W30'!G4)*'Petro 5W30 Gallon'!F41+'Petro 5W30 Gallon'!M2</f>
        <v>507.65</v>
      </c>
      <c r="C41" s="49">
        <f t="shared" si="7"/>
        <v>334.76479999999998</v>
      </c>
      <c r="D41" s="48"/>
      <c r="E41" s="49">
        <f>'15W40'!E41</f>
        <v>86.604800000000012</v>
      </c>
      <c r="F41" s="48">
        <f>'15W40'!F41</f>
        <v>38</v>
      </c>
      <c r="G41" s="49">
        <f>F41*G4</f>
        <v>240.15999999999997</v>
      </c>
      <c r="H41" s="49">
        <v>8</v>
      </c>
      <c r="I41" s="55">
        <f t="shared" si="5"/>
        <v>172.8852</v>
      </c>
      <c r="J41" s="56">
        <f t="shared" si="6"/>
        <v>0.6594401654683345</v>
      </c>
      <c r="K41" s="56">
        <f t="shared" si="0"/>
        <v>0.3405598345316655</v>
      </c>
      <c r="N41" s="49">
        <f>B41-'Delo 5W30'!B41</f>
        <v>-6.6599999999999682</v>
      </c>
      <c r="O41" s="49">
        <f>C41-'Delo 5W30'!C41</f>
        <v>-21.660000000000025</v>
      </c>
      <c r="P41" s="48"/>
    </row>
    <row r="42" spans="1:16" ht="12.75" customHeight="1" x14ac:dyDescent="0.2">
      <c r="A42" s="48" t="s">
        <v>911</v>
      </c>
      <c r="B42" s="49">
        <f>'Petro 5W30'!B42+('Petro 5W30 Gallon'!G4-'Petro 5W30'!G4)*'Petro 5W30 Gallon'!F42+'Petro 5W30 Gallon'!M2</f>
        <v>578.65</v>
      </c>
      <c r="C42" s="49">
        <f t="shared" si="7"/>
        <v>421.65999999999997</v>
      </c>
      <c r="D42" s="48"/>
      <c r="E42" s="49">
        <f>'15W40'!E42</f>
        <v>173.5</v>
      </c>
      <c r="F42" s="48">
        <f>'15W40'!F42</f>
        <v>38</v>
      </c>
      <c r="G42" s="49">
        <f>F42*G4</f>
        <v>240.15999999999997</v>
      </c>
      <c r="H42" s="49">
        <v>8</v>
      </c>
      <c r="I42" s="55">
        <f t="shared" si="5"/>
        <v>156.99</v>
      </c>
      <c r="J42" s="56">
        <f t="shared" si="6"/>
        <v>0.72869610299835819</v>
      </c>
      <c r="K42" s="56">
        <f t="shared" si="0"/>
        <v>0.27130389700164181</v>
      </c>
      <c r="N42" s="49">
        <f>B42-'Delo 5W30'!B42</f>
        <v>-6.6599999999999682</v>
      </c>
      <c r="O42" s="49">
        <f>C42-'Delo 5W30'!C42</f>
        <v>-21.660000000000025</v>
      </c>
      <c r="P42" s="48"/>
    </row>
    <row r="43" spans="1:16" ht="12.75" customHeight="1" x14ac:dyDescent="0.2">
      <c r="A43" s="48" t="s">
        <v>909</v>
      </c>
      <c r="B43" s="49">
        <f>'Petro 5W30'!B43+('Petro 5W30 Gallon'!G4-'Petro 5W30'!G4)*'Petro 5W30 Gallon'!F43+'Petro 5W30 Gallon'!M3</f>
        <v>640.84</v>
      </c>
      <c r="C43" s="49">
        <f t="shared" si="7"/>
        <v>442.20479999999998</v>
      </c>
      <c r="D43" s="48"/>
      <c r="E43" s="49">
        <f>'15W40'!E43</f>
        <v>86.604800000000012</v>
      </c>
      <c r="F43" s="48">
        <f>'15W40'!F43</f>
        <v>55</v>
      </c>
      <c r="G43" s="49">
        <f>F43*G4</f>
        <v>347.59999999999997</v>
      </c>
      <c r="H43" s="49">
        <v>8</v>
      </c>
      <c r="I43" s="55">
        <f t="shared" si="5"/>
        <v>198.63520000000005</v>
      </c>
      <c r="J43" s="56">
        <f t="shared" si="6"/>
        <v>0.69003932338805307</v>
      </c>
      <c r="K43" s="56">
        <f t="shared" si="0"/>
        <v>0.30996067661194693</v>
      </c>
      <c r="N43" s="49"/>
      <c r="O43" s="49">
        <f>C43-'Delo 5W30'!C43</f>
        <v>-31.350000000000023</v>
      </c>
      <c r="P43" s="48"/>
    </row>
    <row r="44" spans="1:16" ht="12.75" customHeight="1" x14ac:dyDescent="0.2">
      <c r="A44" s="48" t="s">
        <v>910</v>
      </c>
      <c r="B44" s="49">
        <f>'Petro 5W30'!B44+('Petro 5W30 Gallon'!G4-'Petro 5W30'!G4)*'Petro 5W30 Gallon'!F44+'Petro 5W30 Gallon'!M3</f>
        <v>713.84</v>
      </c>
      <c r="C44" s="49">
        <f t="shared" si="7"/>
        <v>529.09999999999991</v>
      </c>
      <c r="D44" s="48"/>
      <c r="E44" s="49">
        <f>'15W40'!E44</f>
        <v>173.5</v>
      </c>
      <c r="F44" s="48">
        <f>'15W40'!F44</f>
        <v>55</v>
      </c>
      <c r="G44" s="49">
        <f>F44*G4</f>
        <v>347.59999999999997</v>
      </c>
      <c r="H44" s="49">
        <v>8</v>
      </c>
      <c r="I44" s="55">
        <f t="shared" si="5"/>
        <v>184.74000000000012</v>
      </c>
      <c r="J44" s="56">
        <f t="shared" si="6"/>
        <v>0.74120251036646856</v>
      </c>
      <c r="K44" s="56">
        <f t="shared" si="0"/>
        <v>0.25879748963353144</v>
      </c>
      <c r="N44" s="49"/>
      <c r="O44" s="49">
        <f>C44-'Delo 5W30'!C44</f>
        <v>-31.350000000000136</v>
      </c>
      <c r="P44" s="48"/>
    </row>
    <row r="45" spans="1:16" ht="12.75" customHeight="1" x14ac:dyDescent="0.2">
      <c r="A45" s="48" t="s">
        <v>656</v>
      </c>
      <c r="B45" s="49">
        <f>'Petro 5W30'!B45+('Petro 5W30 Gallon'!G4-'Petro 5W30'!G4)*'Petro 5W30 Gallon'!F45+'Petro 5W30 Gallon'!M2</f>
        <v>461.65</v>
      </c>
      <c r="C45" s="49">
        <f t="shared" si="7"/>
        <v>298.54399999999998</v>
      </c>
      <c r="D45" s="48"/>
      <c r="E45" s="49">
        <f>'15W40'!E45</f>
        <v>50.384</v>
      </c>
      <c r="F45" s="48">
        <f>'15W40'!F45</f>
        <v>38</v>
      </c>
      <c r="G45" s="49">
        <f>F45*G4</f>
        <v>240.15999999999997</v>
      </c>
      <c r="H45" s="49">
        <v>8</v>
      </c>
      <c r="I45" s="55">
        <f t="shared" si="5"/>
        <v>163.10599999999999</v>
      </c>
      <c r="J45" s="56">
        <f t="shared" si="6"/>
        <v>0.64668905014621469</v>
      </c>
      <c r="K45" s="56">
        <f t="shared" si="0"/>
        <v>0.35331094985378531</v>
      </c>
      <c r="N45" s="49">
        <f>B45-'Delo 5W30'!B45</f>
        <v>-6.660000000000025</v>
      </c>
      <c r="O45" s="49">
        <f>C45-'Delo 5W30'!C45</f>
        <v>-21.660000000000025</v>
      </c>
      <c r="P45" s="48"/>
    </row>
    <row r="46" spans="1:16" ht="12.75" customHeight="1" x14ac:dyDescent="0.2">
      <c r="A46" s="48" t="s">
        <v>657</v>
      </c>
      <c r="B46" s="49">
        <f>'Petro 5W30'!B46+('Petro 5W30 Gallon'!G4-'Petro 5W30'!G4)*'Petro 5W30 Gallon'!F46+'Petro 5W30 Gallon'!M4</f>
        <v>580.63</v>
      </c>
      <c r="C46" s="49">
        <f t="shared" si="7"/>
        <v>387.024</v>
      </c>
      <c r="D46" s="48"/>
      <c r="E46" s="49">
        <f>'15W40'!E46</f>
        <v>50.384</v>
      </c>
      <c r="F46" s="48">
        <f>'15W40'!F46</f>
        <v>52</v>
      </c>
      <c r="G46" s="49">
        <f>F46*G4</f>
        <v>328.64</v>
      </c>
      <c r="H46" s="49">
        <v>8</v>
      </c>
      <c r="I46" s="55">
        <f t="shared" si="5"/>
        <v>193.60599999999999</v>
      </c>
      <c r="J46" s="56">
        <f t="shared" si="6"/>
        <v>0.66655873792260134</v>
      </c>
      <c r="K46" s="56">
        <f t="shared" si="0"/>
        <v>0.33344126207739866</v>
      </c>
      <c r="N46" s="49">
        <f>B46-'Delo 5W30'!B46</f>
        <v>-4.6399999999999864</v>
      </c>
      <c r="O46" s="49">
        <f>C46-'Delo 5W30'!C46</f>
        <v>-29.639999999999986</v>
      </c>
      <c r="P46" s="48"/>
    </row>
    <row r="47" spans="1:16" x14ac:dyDescent="0.2">
      <c r="A47" s="48" t="s">
        <v>658</v>
      </c>
      <c r="B47" s="49">
        <f>'Petro 5W30'!B47+('Petro 5W30 Gallon'!G4-'Petro 5W30'!G4)*'Petro 5W30 Gallon'!F47+'Petro 5W30 Gallon'!M2</f>
        <v>570.65</v>
      </c>
      <c r="C47" s="49">
        <f t="shared" si="7"/>
        <v>409.54999999999995</v>
      </c>
      <c r="D47" s="48"/>
      <c r="E47" s="49">
        <f>'15W40'!E47</f>
        <v>161.38999999999999</v>
      </c>
      <c r="F47" s="48">
        <f>'15W40'!F47</f>
        <v>38</v>
      </c>
      <c r="G47" s="49">
        <f>F47*G4</f>
        <v>240.15999999999997</v>
      </c>
      <c r="H47" s="49">
        <v>8</v>
      </c>
      <c r="I47" s="55">
        <f t="shared" si="5"/>
        <v>161.10000000000002</v>
      </c>
      <c r="J47" s="56">
        <f t="shared" si="6"/>
        <v>0.71769035310610707</v>
      </c>
      <c r="K47" s="56">
        <f t="shared" si="0"/>
        <v>0.28230964689389293</v>
      </c>
      <c r="N47" s="49">
        <f>B47-'Delo 5W30'!B47</f>
        <v>-6.6599999999999682</v>
      </c>
      <c r="O47" s="49">
        <f>C47-'Delo 5W30'!C47</f>
        <v>-21.660000000000025</v>
      </c>
      <c r="P47" s="48"/>
    </row>
    <row r="48" spans="1:16" x14ac:dyDescent="0.2">
      <c r="A48" s="48" t="s">
        <v>659</v>
      </c>
      <c r="B48" s="49">
        <f>'Petro 5W30'!B48+('Petro 5W30 Gallon'!G4-'Petro 5W30'!G4)*'Petro 5W30 Gallon'!F48+'Petro 5W30 Gallon'!M4</f>
        <v>692.63</v>
      </c>
      <c r="C48" s="49">
        <f t="shared" si="7"/>
        <v>498.03</v>
      </c>
      <c r="D48" s="48"/>
      <c r="E48" s="49">
        <f>'15W40'!E48</f>
        <v>161.38999999999999</v>
      </c>
      <c r="F48" s="48">
        <f>'15W40'!F48</f>
        <v>52</v>
      </c>
      <c r="G48" s="49">
        <f>F48*G4</f>
        <v>328.64</v>
      </c>
      <c r="H48" s="49">
        <v>8</v>
      </c>
      <c r="I48" s="55">
        <f t="shared" si="5"/>
        <v>194.60000000000002</v>
      </c>
      <c r="J48" s="56">
        <f t="shared" si="6"/>
        <v>0.71904191270952744</v>
      </c>
      <c r="K48" s="56">
        <f t="shared" si="0"/>
        <v>0.28095808729047256</v>
      </c>
      <c r="N48" s="49">
        <f>B48-'Delo 5W30'!B48</f>
        <v>-4.6399999999999864</v>
      </c>
      <c r="O48" s="49">
        <f>C48-'Delo 5W30'!C48</f>
        <v>-29.639999999999986</v>
      </c>
      <c r="P48" s="48"/>
    </row>
    <row r="49" spans="1:16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N49" s="49"/>
      <c r="O49" s="49"/>
      <c r="P49" s="48"/>
    </row>
    <row r="50" spans="1:16" x14ac:dyDescent="0.2">
      <c r="A50" s="48" t="s">
        <v>660</v>
      </c>
      <c r="B50" s="49">
        <f>'Petro 5W30'!B50+('Petro 5W30 Gallon'!G4-'Petro 5W30'!G4)*'Petro 5W30 Gallon'!F50+'Petro 5W30 Gallon'!M2</f>
        <v>554.80999999999995</v>
      </c>
      <c r="C50" s="49">
        <f t="shared" si="7"/>
        <v>395</v>
      </c>
      <c r="D50" s="48"/>
      <c r="E50" s="49">
        <f>'15W40'!E50</f>
        <v>222.68</v>
      </c>
      <c r="F50" s="48">
        <f>'15W40'!F50</f>
        <v>26</v>
      </c>
      <c r="G50" s="49">
        <f>F50*G4</f>
        <v>164.32</v>
      </c>
      <c r="H50" s="49">
        <v>8</v>
      </c>
      <c r="I50" s="55">
        <f t="shared" si="5"/>
        <v>159.80999999999995</v>
      </c>
      <c r="J50" s="56">
        <f t="shared" si="6"/>
        <v>0.71195544420612467</v>
      </c>
      <c r="K50" s="56">
        <f t="shared" si="0"/>
        <v>0.28804455579387533</v>
      </c>
      <c r="N50" s="49">
        <f>B50-'Delo 5W30'!B50</f>
        <v>0.17999999999994998</v>
      </c>
      <c r="O50" s="49">
        <f>C50-'Delo 5W30'!C50</f>
        <v>-14.819999999999993</v>
      </c>
      <c r="P50" s="48"/>
    </row>
    <row r="51" spans="1:16" x14ac:dyDescent="0.2">
      <c r="A51" s="48" t="s">
        <v>661</v>
      </c>
      <c r="B51" s="49">
        <f>'Petro 5W30'!B51+('Petro 5W30 Gallon'!G4-'Petro 5W30'!G4)*'Petro 5W30 Gallon'!F51+'Petro 5W30 Gallon'!M2</f>
        <v>475.81</v>
      </c>
      <c r="C51" s="49">
        <f t="shared" si="7"/>
        <v>317.49599999999998</v>
      </c>
      <c r="D51" s="48"/>
      <c r="E51" s="49">
        <f>'15W40'!E51</f>
        <v>145.17599999999999</v>
      </c>
      <c r="F51" s="48">
        <f>'15W40'!F51</f>
        <v>26</v>
      </c>
      <c r="G51" s="49">
        <f>F51*G4</f>
        <v>164.32</v>
      </c>
      <c r="H51" s="49">
        <v>8</v>
      </c>
      <c r="I51" s="55">
        <f t="shared" si="5"/>
        <v>158.31400000000002</v>
      </c>
      <c r="J51" s="56">
        <f t="shared" si="6"/>
        <v>0.6672747525272692</v>
      </c>
      <c r="K51" s="56">
        <f t="shared" si="0"/>
        <v>0.3327252474727308</v>
      </c>
      <c r="N51" s="49">
        <f>B51-'Delo 5W30'!B51</f>
        <v>0.18000000000000682</v>
      </c>
      <c r="O51" s="49">
        <f>C51-'Delo 5W30'!C51</f>
        <v>-14.819999999999993</v>
      </c>
      <c r="P51" s="48"/>
    </row>
    <row r="52" spans="1:16" x14ac:dyDescent="0.2">
      <c r="A52" s="48" t="s">
        <v>662</v>
      </c>
      <c r="B52" s="49">
        <f>'Petro 5W30'!B52+('Petro 5W30 Gallon'!G4-'Petro 5W30'!G4)*'Petro 5W30 Gallon'!F52+'Petro 5W30 Gallon'!M2</f>
        <v>578.65</v>
      </c>
      <c r="C52" s="49">
        <f t="shared" si="7"/>
        <v>412.84999999999997</v>
      </c>
      <c r="D52" s="48"/>
      <c r="E52" s="49">
        <f>'15W40'!E52</f>
        <v>164.69</v>
      </c>
      <c r="F52" s="48">
        <f>'15W40'!F52</f>
        <v>38</v>
      </c>
      <c r="G52" s="49">
        <f>F52*G4</f>
        <v>240.15999999999997</v>
      </c>
      <c r="H52" s="49">
        <v>8</v>
      </c>
      <c r="I52" s="55">
        <f t="shared" si="5"/>
        <v>165.8</v>
      </c>
      <c r="J52" s="56">
        <f t="shared" si="6"/>
        <v>0.71347101010973812</v>
      </c>
      <c r="K52" s="56">
        <f t="shared" si="0"/>
        <v>0.28652898989026188</v>
      </c>
      <c r="N52" s="49">
        <f>B52-'Delo 5W30'!B52</f>
        <v>-6.6599999999999682</v>
      </c>
      <c r="O52" s="49">
        <f>C52-'Delo 5W30'!C52</f>
        <v>-21.660000000000025</v>
      </c>
      <c r="P52" s="48"/>
    </row>
    <row r="53" spans="1:16" x14ac:dyDescent="0.2">
      <c r="A53" s="48" t="s">
        <v>663</v>
      </c>
      <c r="B53" s="49">
        <f>'Petro 5W30'!B53+('Petro 5W30 Gallon'!G4-'Petro 5W30'!G4)*'Petro 5W30 Gallon'!F53+'Petro 5W30 Gallon'!M2</f>
        <v>500.65</v>
      </c>
      <c r="C53" s="49">
        <f t="shared" si="7"/>
        <v>336.96319999999997</v>
      </c>
      <c r="D53" s="48"/>
      <c r="E53" s="49">
        <f>'15W40'!E53</f>
        <v>88.80319999999999</v>
      </c>
      <c r="F53" s="48">
        <f>'15W40'!F53</f>
        <v>38</v>
      </c>
      <c r="G53" s="49">
        <f>F53*G4</f>
        <v>240.15999999999997</v>
      </c>
      <c r="H53" s="49">
        <v>8</v>
      </c>
      <c r="I53" s="55">
        <f t="shared" si="5"/>
        <v>163.68680000000001</v>
      </c>
      <c r="J53" s="56">
        <f t="shared" si="6"/>
        <v>0.67305143313692195</v>
      </c>
      <c r="K53" s="56">
        <f t="shared" si="0"/>
        <v>0.32694856686307805</v>
      </c>
      <c r="N53" s="49">
        <f>B53-'Delo 5W30'!B53</f>
        <v>-6.660000000000025</v>
      </c>
      <c r="O53" s="49">
        <f>C53-'Delo 5W30'!C53</f>
        <v>-21.660000000000025</v>
      </c>
      <c r="P53" s="48"/>
    </row>
    <row r="54" spans="1:16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N54" s="49"/>
      <c r="O54" s="49"/>
      <c r="P54" s="48"/>
    </row>
    <row r="55" spans="1:16" x14ac:dyDescent="0.2">
      <c r="A55" s="48" t="s">
        <v>665</v>
      </c>
      <c r="B55" s="49">
        <f>'Petro 5W30'!B55+('Petro 5W30 Gallon'!G4-'Petro 5W30'!G4)*'Petro 5W30 Gallon'!F55+'Petro 5W30 Gallon'!M3</f>
        <v>542.28</v>
      </c>
      <c r="C55" s="49">
        <f t="shared" ref="C55:C60" si="8">E55+G55+H55</f>
        <v>355.04999999999995</v>
      </c>
      <c r="D55" s="48"/>
      <c r="E55" s="49">
        <f>'15W40'!E55</f>
        <v>50.010000000000005</v>
      </c>
      <c r="F55" s="48">
        <f>'15W40'!F55</f>
        <v>47</v>
      </c>
      <c r="G55" s="49">
        <f>F55*G4</f>
        <v>297.03999999999996</v>
      </c>
      <c r="H55" s="49">
        <v>8</v>
      </c>
      <c r="I55" s="55">
        <f t="shared" si="5"/>
        <v>187.23000000000002</v>
      </c>
      <c r="J55" s="56">
        <f t="shared" si="6"/>
        <v>0.65473556096481522</v>
      </c>
      <c r="K55" s="56">
        <f t="shared" si="0"/>
        <v>0.34526443903518478</v>
      </c>
      <c r="N55" s="49">
        <f>B55-'Delo 5W30'!B55</f>
        <v>-6.7899999999999636</v>
      </c>
      <c r="O55" s="49">
        <f>C55-'Delo 5W30'!C55</f>
        <v>-26.79000000000002</v>
      </c>
      <c r="P55" s="48"/>
    </row>
    <row r="56" spans="1:16" x14ac:dyDescent="0.2">
      <c r="A56" s="48" t="s">
        <v>666</v>
      </c>
      <c r="B56" s="49">
        <f>'Petro 5W30'!B56+('Petro 5W30 Gallon'!G4-'Petro 5W30'!G4)*'Petro 5W30 Gallon'!F56+'Petro 5W30 Gallon'!M3</f>
        <v>520.28</v>
      </c>
      <c r="C56" s="49">
        <f t="shared" si="8"/>
        <v>346.48159999999996</v>
      </c>
      <c r="D56" s="48"/>
      <c r="E56" s="49">
        <f>'15W40'!E56</f>
        <v>41.441600000000001</v>
      </c>
      <c r="F56" s="48">
        <f>'15W40'!F56</f>
        <v>47</v>
      </c>
      <c r="G56" s="49">
        <f>F56*G4</f>
        <v>297.03999999999996</v>
      </c>
      <c r="H56" s="49">
        <v>8</v>
      </c>
      <c r="I56" s="55">
        <f t="shared" si="5"/>
        <v>173.79840000000002</v>
      </c>
      <c r="J56" s="56">
        <f t="shared" si="6"/>
        <v>0.66595217959560227</v>
      </c>
      <c r="K56" s="56">
        <f t="shared" si="0"/>
        <v>0.33404782040439773</v>
      </c>
      <c r="N56" s="49">
        <f>B56-'Delo 5W30'!B56</f>
        <v>-6.7899999999999636</v>
      </c>
      <c r="O56" s="49">
        <f>C56-'Delo 5W30'!C56</f>
        <v>-26.79000000000002</v>
      </c>
      <c r="P56" s="48"/>
    </row>
    <row r="57" spans="1:16" x14ac:dyDescent="0.2">
      <c r="A57" s="48" t="s">
        <v>667</v>
      </c>
      <c r="B57" s="49">
        <f>'Petro 5W30'!B57+('Petro 5W30 Gallon'!G4-'Petro 5W30'!G4)*'Petro 5W30 Gallon'!F57+'Petro 5W30 Gallon'!M2</f>
        <v>398.81</v>
      </c>
      <c r="C57" s="49">
        <f t="shared" si="8"/>
        <v>219.87</v>
      </c>
      <c r="D57" s="48"/>
      <c r="E57" s="49">
        <f>'15W40'!E57</f>
        <v>47.55</v>
      </c>
      <c r="F57" s="48">
        <f>'15W40'!F57</f>
        <v>26</v>
      </c>
      <c r="G57" s="49">
        <f>F57*G4</f>
        <v>164.32</v>
      </c>
      <c r="H57" s="49">
        <v>8</v>
      </c>
      <c r="I57" s="55">
        <f t="shared" si="5"/>
        <v>178.94</v>
      </c>
      <c r="J57" s="56">
        <f t="shared" si="6"/>
        <v>0.55131516260876112</v>
      </c>
      <c r="K57" s="56">
        <f t="shared" si="0"/>
        <v>0.44868483739123888</v>
      </c>
      <c r="N57" s="49">
        <f>B57-'Delo 5W30'!B57</f>
        <v>0.18000000000000682</v>
      </c>
      <c r="O57" s="49">
        <f>C57-'Delo 5W30'!C57</f>
        <v>-14.819999999999993</v>
      </c>
      <c r="P57" s="48"/>
    </row>
    <row r="58" spans="1:16" x14ac:dyDescent="0.2">
      <c r="A58" s="48" t="s">
        <v>668</v>
      </c>
      <c r="B58" s="49">
        <f>'Petro 5W30'!B58+('Petro 5W30 Gallon'!G4-'Petro 5W30'!G4)*'Petro 5W30 Gallon'!F58+'Petro 5W30 Gallon'!M2</f>
        <v>360.81</v>
      </c>
      <c r="C58" s="49">
        <f t="shared" si="8"/>
        <v>205.79599999999999</v>
      </c>
      <c r="D58" s="48"/>
      <c r="E58" s="49">
        <f>'15W40'!E58</f>
        <v>33.475999999999999</v>
      </c>
      <c r="F58" s="48">
        <f>'15W40'!F58</f>
        <v>26</v>
      </c>
      <c r="G58" s="49">
        <f>F58*G4</f>
        <v>164.32</v>
      </c>
      <c r="H58" s="49">
        <v>8</v>
      </c>
      <c r="I58" s="55">
        <f t="shared" si="5"/>
        <v>155.01400000000001</v>
      </c>
      <c r="J58" s="56">
        <f t="shared" si="6"/>
        <v>0.57037221806490945</v>
      </c>
      <c r="K58" s="56">
        <f t="shared" si="0"/>
        <v>0.42962778193509055</v>
      </c>
      <c r="N58" s="49">
        <f>B58-'Delo 5W30'!B58</f>
        <v>0.18000000000000682</v>
      </c>
      <c r="O58" s="49">
        <f>C58-'Delo 5W30'!C58</f>
        <v>-14.819999999999993</v>
      </c>
      <c r="P58" s="48"/>
    </row>
    <row r="59" spans="1:16" x14ac:dyDescent="0.2">
      <c r="A59" s="48" t="s">
        <v>669</v>
      </c>
      <c r="B59" s="49">
        <f>'Petro 5W30'!B59+('Petro 5W30 Gallon'!G4-'Petro 5W30'!G4)*'Petro 5W30 Gallon'!F59+'Petro 5W30 Gallon'!M1</f>
        <v>329.66999999999996</v>
      </c>
      <c r="C59" s="49">
        <f t="shared" si="8"/>
        <v>159.67999999999998</v>
      </c>
      <c r="D59" s="48"/>
      <c r="E59" s="49">
        <f>'15W40'!E59</f>
        <v>0</v>
      </c>
      <c r="F59" s="48">
        <f>'15W40'!F59</f>
        <v>24</v>
      </c>
      <c r="G59" s="49">
        <f>F59*G4</f>
        <v>151.67999999999998</v>
      </c>
      <c r="H59" s="49">
        <v>8</v>
      </c>
      <c r="I59" s="55">
        <f t="shared" si="5"/>
        <v>169.98999999999998</v>
      </c>
      <c r="J59" s="56">
        <f t="shared" si="6"/>
        <v>0.4843631510298177</v>
      </c>
      <c r="K59" s="56">
        <f t="shared" si="0"/>
        <v>0.51563684897018236</v>
      </c>
      <c r="N59" s="49">
        <f>B59-'Delo 5W30'!B59</f>
        <v>-3.6800000000000637</v>
      </c>
      <c r="O59" s="49">
        <f>C59-'Delo 5W30'!C59</f>
        <v>-13.680000000000007</v>
      </c>
      <c r="P59" s="48"/>
    </row>
    <row r="60" spans="1:16" x14ac:dyDescent="0.2">
      <c r="A60" s="48" t="s">
        <v>691</v>
      </c>
      <c r="B60" s="49">
        <f>'Petro 5W30'!B60+('Petro 5W30 Gallon'!G4-'Petro 5W30'!G4)*'Petro 5W30 Gallon'!F60+'Petro 5W30 Gallon'!M1</f>
        <v>296.89999999999998</v>
      </c>
      <c r="C60" s="49">
        <f t="shared" si="8"/>
        <v>163.4</v>
      </c>
      <c r="D60" s="48"/>
      <c r="E60" s="49">
        <f>'15W40'!E60</f>
        <v>73.240000000000009</v>
      </c>
      <c r="F60" s="48">
        <f>'15W40'!F60</f>
        <v>13</v>
      </c>
      <c r="G60" s="49">
        <f>F60*G4</f>
        <v>82.16</v>
      </c>
      <c r="H60" s="49">
        <v>8</v>
      </c>
      <c r="I60" s="55">
        <f t="shared" si="5"/>
        <v>133.49999999999997</v>
      </c>
      <c r="J60" s="56">
        <f t="shared" si="6"/>
        <v>0.55035365442910078</v>
      </c>
      <c r="K60" s="56">
        <f t="shared" si="0"/>
        <v>0.44964634557089922</v>
      </c>
      <c r="N60" s="49">
        <f>B60-'Delo 5W30'!B60</f>
        <v>2.589999999999975</v>
      </c>
      <c r="O60" s="49">
        <f>C60-'Delo 5W30'!C60</f>
        <v>-7.4099999999999966</v>
      </c>
      <c r="P60" s="48"/>
    </row>
    <row r="61" spans="1:16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N61" s="49"/>
      <c r="O61" s="49"/>
      <c r="P61" s="48"/>
    </row>
    <row r="62" spans="1:16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N62" s="49"/>
      <c r="O62" s="49"/>
      <c r="P62" s="48"/>
    </row>
    <row r="63" spans="1:16" x14ac:dyDescent="0.2">
      <c r="A63" s="48" t="s">
        <v>673</v>
      </c>
      <c r="B63" s="49">
        <f>'Petro 5W30'!B63+('Petro 5W30 Gallon'!G4-'Petro 5W30'!G4)*'Petro 5W30 Gallon'!F63+'Petro 5W30 Gallon'!M2</f>
        <v>365.81</v>
      </c>
      <c r="C63" s="49">
        <f>E63+G63+H63</f>
        <v>210.34639999999999</v>
      </c>
      <c r="D63" s="48"/>
      <c r="E63" s="49">
        <f>'15W40'!E63</f>
        <v>38.026400000000002</v>
      </c>
      <c r="F63" s="48">
        <f>'15W40'!F63</f>
        <v>26</v>
      </c>
      <c r="G63" s="49">
        <f>F63*G4</f>
        <v>164.32</v>
      </c>
      <c r="H63" s="49">
        <v>8</v>
      </c>
      <c r="I63" s="55">
        <f t="shared" si="5"/>
        <v>155.46360000000001</v>
      </c>
      <c r="J63" s="56">
        <f t="shared" si="6"/>
        <v>0.57501544517645764</v>
      </c>
      <c r="K63" s="56">
        <f t="shared" si="0"/>
        <v>0.42498455482354236</v>
      </c>
      <c r="N63" s="49">
        <f>B63-'Delo 5W30'!B63</f>
        <v>0.18000000000000682</v>
      </c>
      <c r="O63" s="49">
        <f>C63-'Delo 5W30'!C63</f>
        <v>-14.819999999999993</v>
      </c>
      <c r="P63" s="48"/>
    </row>
    <row r="64" spans="1:16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N64" s="49"/>
      <c r="O64" s="49"/>
      <c r="P64" s="48"/>
    </row>
    <row r="65" spans="1:16" x14ac:dyDescent="0.2">
      <c r="A65" s="48" t="s">
        <v>674</v>
      </c>
      <c r="B65" s="49">
        <f>'Petro 5W30'!B65+('Petro 5W30 Gallon'!G4-'Petro 5W30'!G4)*'Petro 5W30 Gallon'!F65+'Petro 5W30 Gallon'!M3</f>
        <v>634.20999999999992</v>
      </c>
      <c r="C65" s="49">
        <f>E65+G65+H65</f>
        <v>460.77</v>
      </c>
      <c r="D65" s="48"/>
      <c r="E65" s="49">
        <f>'15W40'!E65</f>
        <v>162.05000000000001</v>
      </c>
      <c r="F65" s="48">
        <f>'15W40'!F65</f>
        <v>46</v>
      </c>
      <c r="G65" s="49">
        <f>F65*G4</f>
        <v>290.71999999999997</v>
      </c>
      <c r="H65" s="49">
        <v>8</v>
      </c>
      <c r="I65" s="55">
        <f t="shared" si="5"/>
        <v>173.43999999999994</v>
      </c>
      <c r="J65" s="56">
        <f t="shared" si="6"/>
        <v>0.72652591412938938</v>
      </c>
      <c r="K65" s="56">
        <f t="shared" si="0"/>
        <v>0.27347408587061062</v>
      </c>
      <c r="N65" s="49">
        <f>B65-'Delo 5W30'!B65</f>
        <v>-6.2200000000000273</v>
      </c>
      <c r="O65" s="49">
        <f>C65-'Delo 5W30'!C65</f>
        <v>-26.220000000000027</v>
      </c>
      <c r="P65" s="48"/>
    </row>
    <row r="66" spans="1:16" x14ac:dyDescent="0.2">
      <c r="A66" s="48" t="s">
        <v>675</v>
      </c>
      <c r="B66" s="49">
        <f>'Petro 5W30'!B66+('Petro 5W30 Gallon'!G4-'Petro 5W30'!G4)*'Petro 5W30 Gallon'!F66+'Petro 5W30 Gallon'!M3</f>
        <v>555.21</v>
      </c>
      <c r="C66" s="49">
        <f>E66+G66+H66</f>
        <v>378.56719999999996</v>
      </c>
      <c r="D66" s="48"/>
      <c r="E66" s="49">
        <f>'15W40'!E66</f>
        <v>79.847200000000001</v>
      </c>
      <c r="F66" s="48">
        <f>'15W40'!F66</f>
        <v>46</v>
      </c>
      <c r="G66" s="49">
        <f>F66*G4</f>
        <v>290.71999999999997</v>
      </c>
      <c r="H66" s="49">
        <v>8</v>
      </c>
      <c r="I66" s="55">
        <f t="shared" si="5"/>
        <v>176.64280000000008</v>
      </c>
      <c r="J66" s="56">
        <f t="shared" si="6"/>
        <v>0.68184506763206698</v>
      </c>
      <c r="K66" s="56">
        <f t="shared" si="0"/>
        <v>0.31815493236793302</v>
      </c>
      <c r="N66" s="49">
        <f>B66-'Delo 5W30'!B66</f>
        <v>-6.2200000000000273</v>
      </c>
      <c r="O66" s="49">
        <f>C66-'Delo 5W30'!C66</f>
        <v>-26.220000000000027</v>
      </c>
      <c r="P66" s="48"/>
    </row>
    <row r="67" spans="1:16" x14ac:dyDescent="0.2">
      <c r="A67" s="48" t="s">
        <v>676</v>
      </c>
      <c r="B67" s="49">
        <f>'Petro 5W30'!B67+('Petro 5W30 Gallon'!G4-'Petro 5W30'!G4)*'Petro 5W30 Gallon'!F67+'Petro 5W30 Gallon'!M2</f>
        <v>344.66999999999996</v>
      </c>
      <c r="C67" s="49">
        <f>E67+G67+H67</f>
        <v>186.36799999999999</v>
      </c>
      <c r="D67" s="48"/>
      <c r="E67" s="49">
        <f>'15W40'!E67</f>
        <v>26.688000000000002</v>
      </c>
      <c r="F67" s="48">
        <f>'15W40'!F67</f>
        <v>24</v>
      </c>
      <c r="G67" s="49">
        <f>F67*G4</f>
        <v>151.67999999999998</v>
      </c>
      <c r="H67" s="49">
        <v>8</v>
      </c>
      <c r="I67" s="55">
        <f t="shared" si="5"/>
        <v>158.30199999999996</v>
      </c>
      <c r="J67" s="56">
        <f t="shared" si="6"/>
        <v>0.54071430643804219</v>
      </c>
      <c r="K67" s="56">
        <f t="shared" si="0"/>
        <v>0.45928569356195781</v>
      </c>
      <c r="N67" s="49">
        <f>B67-'Delo 5W30'!B67</f>
        <v>1.3199999999999363</v>
      </c>
      <c r="O67" s="49">
        <f>C67-'Delo 5W30'!C67</f>
        <v>-13.680000000000007</v>
      </c>
      <c r="P67" s="48"/>
    </row>
    <row r="68" spans="1:16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N68" s="49"/>
      <c r="O68" s="49"/>
      <c r="P68" s="48"/>
    </row>
    <row r="69" spans="1:16" x14ac:dyDescent="0.2">
      <c r="A69" s="48" t="s">
        <v>677</v>
      </c>
      <c r="B69" s="49">
        <f>'Petro 5W30'!B69+('Petro 5W30 Gallon'!G4-'Petro 5W30'!G4)*'Petro 5W30 Gallon'!F69+'Petro 5W30 Gallon'!M2</f>
        <v>481.37</v>
      </c>
      <c r="C69" s="49">
        <f t="shared" ref="C69:C74" si="9">E69+G69+H69</f>
        <v>309.48479999999995</v>
      </c>
      <c r="D69" s="48"/>
      <c r="E69" s="49">
        <f>'15W40'!E69</f>
        <v>86.604800000000012</v>
      </c>
      <c r="F69" s="48">
        <f>'15W40'!F69</f>
        <v>34</v>
      </c>
      <c r="G69" s="49">
        <f>F69*G4</f>
        <v>214.87999999999997</v>
      </c>
      <c r="H69" s="49">
        <v>8</v>
      </c>
      <c r="I69" s="55">
        <f t="shared" si="5"/>
        <v>171.88520000000005</v>
      </c>
      <c r="J69" s="56">
        <f t="shared" si="6"/>
        <v>0.64292498493882033</v>
      </c>
      <c r="K69" s="56">
        <f t="shared" si="0"/>
        <v>0.35707501506117967</v>
      </c>
      <c r="N69" s="49">
        <f>B69-'Delo 5W30'!B69</f>
        <v>-4.3799999999999955</v>
      </c>
      <c r="O69" s="49">
        <f>C69-'Delo 5W30'!C69</f>
        <v>-19.380000000000052</v>
      </c>
      <c r="P69" s="48"/>
    </row>
    <row r="70" spans="1:16" x14ac:dyDescent="0.2">
      <c r="A70" s="48" t="s">
        <v>678</v>
      </c>
      <c r="B70" s="49">
        <f>'Petro 5W30'!B70+('Petro 5W30 Gallon'!G4-'Petro 5W30'!G4)*'Petro 5W30 Gallon'!F70+'Petro 5W30 Gallon'!M3</f>
        <v>546.93000000000006</v>
      </c>
      <c r="C70" s="49">
        <f t="shared" si="9"/>
        <v>360.04480000000001</v>
      </c>
      <c r="D70" s="48"/>
      <c r="E70" s="49">
        <f>'15W40'!E70</f>
        <v>86.604800000000012</v>
      </c>
      <c r="F70" s="48">
        <f>'15W40'!F70</f>
        <v>42</v>
      </c>
      <c r="G70" s="49">
        <f>F70*G4</f>
        <v>265.44</v>
      </c>
      <c r="H70" s="49">
        <v>8</v>
      </c>
      <c r="I70" s="55">
        <f t="shared" si="5"/>
        <v>186.88520000000005</v>
      </c>
      <c r="J70" s="56">
        <f t="shared" si="6"/>
        <v>0.65830142797067259</v>
      </c>
      <c r="K70" s="56">
        <f t="shared" si="0"/>
        <v>0.34169857202932741</v>
      </c>
      <c r="N70" s="49">
        <f>B70-'Delo 5W30'!B70</f>
        <v>-3.9399999999999409</v>
      </c>
      <c r="O70" s="49">
        <f>C70-'Delo 5W30'!C70</f>
        <v>-23.939999999999998</v>
      </c>
      <c r="P70" s="48"/>
    </row>
    <row r="71" spans="1:16" x14ac:dyDescent="0.2">
      <c r="A71" s="48" t="s">
        <v>679</v>
      </c>
      <c r="B71" s="49">
        <f>'Petro 5W30'!B71+('Petro 5W30 Gallon'!G4-'Petro 5W30'!G4)*'Petro 5W30 Gallon'!F71+'Petro 5W30 Gallon'!M4</f>
        <v>627.63</v>
      </c>
      <c r="C71" s="49">
        <f t="shared" si="9"/>
        <v>423.2448</v>
      </c>
      <c r="D71" s="48"/>
      <c r="E71" s="49">
        <f>'15W40'!E71</f>
        <v>86.604800000000012</v>
      </c>
      <c r="F71" s="48">
        <f>'15W40'!F71</f>
        <v>52</v>
      </c>
      <c r="G71" s="49">
        <f>F71*G4</f>
        <v>328.64</v>
      </c>
      <c r="H71" s="49">
        <v>8</v>
      </c>
      <c r="I71" s="55">
        <f t="shared" si="5"/>
        <v>204.3852</v>
      </c>
      <c r="J71" s="56">
        <f t="shared" si="6"/>
        <v>0.67435399837483867</v>
      </c>
      <c r="K71" s="56">
        <f t="shared" si="0"/>
        <v>0.32564600162516133</v>
      </c>
      <c r="N71" s="49">
        <f>B71-'Delo 5W30'!B71</f>
        <v>-4.6399999999999864</v>
      </c>
      <c r="O71" s="49">
        <f>C71-'Delo 5W30'!C71</f>
        <v>-29.639999999999986</v>
      </c>
      <c r="P71" s="48"/>
    </row>
    <row r="72" spans="1:16" x14ac:dyDescent="0.2">
      <c r="A72" s="48" t="s">
        <v>680</v>
      </c>
      <c r="B72" s="49">
        <f>'Petro 5W30'!B72+('Petro 5W30 Gallon'!G4-'Petro 5W30'!G4)*'Petro 5W30 Gallon'!F72+'Petro 5W30 Gallon'!M2</f>
        <v>550.37</v>
      </c>
      <c r="C72" s="49">
        <f t="shared" si="9"/>
        <v>389.16999999999996</v>
      </c>
      <c r="D72" s="48"/>
      <c r="E72" s="49">
        <f>'15W40'!E72</f>
        <v>166.29</v>
      </c>
      <c r="F72" s="48">
        <f>'15W40'!F72</f>
        <v>34</v>
      </c>
      <c r="G72" s="49">
        <f>F72*G4</f>
        <v>214.87999999999997</v>
      </c>
      <c r="H72" s="49">
        <v>8</v>
      </c>
      <c r="I72" s="55">
        <f t="shared" si="5"/>
        <v>161.20000000000005</v>
      </c>
      <c r="J72" s="56">
        <f t="shared" si="6"/>
        <v>0.70710612860439337</v>
      </c>
      <c r="K72" s="56">
        <f t="shared" si="0"/>
        <v>0.29289387139560663</v>
      </c>
      <c r="N72" s="49">
        <f>B72-'Delo 5W30'!B72</f>
        <v>-4.3799999999999955</v>
      </c>
      <c r="O72" s="49">
        <f>C72-'Delo 5W30'!C72</f>
        <v>-19.379999999999995</v>
      </c>
      <c r="P72" s="48"/>
    </row>
    <row r="73" spans="1:16" x14ac:dyDescent="0.2">
      <c r="A73" s="48" t="s">
        <v>681</v>
      </c>
      <c r="B73" s="49">
        <f>'Petro 5W30'!B73+('Petro 5W30 Gallon'!G4-'Petro 5W30'!G4)*'Petro 5W30 Gallon'!F73+'Petro 5W30 Gallon'!M3</f>
        <v>616.93000000000006</v>
      </c>
      <c r="C73" s="49">
        <f t="shared" si="9"/>
        <v>439.73</v>
      </c>
      <c r="D73" s="48"/>
      <c r="E73" s="49">
        <f>'15W40'!E73</f>
        <v>166.29</v>
      </c>
      <c r="F73" s="48">
        <f>'15W40'!F73</f>
        <v>42</v>
      </c>
      <c r="G73" s="49">
        <f>F73*G4</f>
        <v>265.44</v>
      </c>
      <c r="H73" s="49">
        <v>8</v>
      </c>
      <c r="I73" s="55">
        <f t="shared" si="5"/>
        <v>177.20000000000005</v>
      </c>
      <c r="J73" s="56">
        <f t="shared" si="6"/>
        <v>0.71277130306517755</v>
      </c>
      <c r="K73" s="56">
        <f t="shared" si="0"/>
        <v>0.28722869693482245</v>
      </c>
      <c r="N73" s="49">
        <f>B73-'Delo 5W30'!B73</f>
        <v>-3.9399999999999409</v>
      </c>
      <c r="O73" s="49">
        <f>C73-'Delo 5W30'!C73</f>
        <v>-23.939999999999941</v>
      </c>
      <c r="P73" s="48"/>
    </row>
    <row r="74" spans="1:16" x14ac:dyDescent="0.2">
      <c r="A74" s="48" t="s">
        <v>682</v>
      </c>
      <c r="B74" s="49">
        <f>'Petro 5W30'!B74+('Petro 5W30 Gallon'!G4-'Petro 5W30'!G4)*'Petro 5W30 Gallon'!F74+'Petro 5W30 Gallon'!M4</f>
        <v>695.63</v>
      </c>
      <c r="C74" s="49">
        <f t="shared" si="9"/>
        <v>502.92999999999995</v>
      </c>
      <c r="D74" s="48"/>
      <c r="E74" s="49">
        <f>'15W40'!E74</f>
        <v>166.29</v>
      </c>
      <c r="F74" s="48">
        <f>'15W40'!F74</f>
        <v>52</v>
      </c>
      <c r="G74" s="49">
        <f>F74*G4</f>
        <v>328.64</v>
      </c>
      <c r="H74" s="49">
        <v>8</v>
      </c>
      <c r="I74" s="55">
        <f t="shared" si="5"/>
        <v>192.70000000000005</v>
      </c>
      <c r="J74" s="56">
        <f t="shared" si="6"/>
        <v>0.72298492014432958</v>
      </c>
      <c r="K74" s="56">
        <f t="shared" ref="K74" si="10">1-J74</f>
        <v>0.27701507985567042</v>
      </c>
      <c r="N74" s="49">
        <f>B74-'Delo 5W30'!B74</f>
        <v>-4.6399999999999864</v>
      </c>
      <c r="O74" s="49">
        <f>C74-'Delo 5W30'!C74</f>
        <v>-29.639999999999986</v>
      </c>
      <c r="P74" s="48"/>
    </row>
    <row r="75" spans="1:16" ht="12.75" customHeight="1" x14ac:dyDescent="0.2">
      <c r="B75" s="50"/>
      <c r="N75" s="49"/>
    </row>
    <row r="76" spans="1:16" ht="12.75" customHeight="1" x14ac:dyDescent="0.2">
      <c r="B76" s="50"/>
      <c r="N76" s="49"/>
    </row>
    <row r="77" spans="1:16" ht="12.75" customHeight="1" x14ac:dyDescent="0.2">
      <c r="B77" s="50"/>
      <c r="N77" s="49"/>
    </row>
    <row r="78" spans="1:16" ht="12.75" customHeight="1" x14ac:dyDescent="0.2">
      <c r="B78" s="50"/>
      <c r="N78" s="49"/>
    </row>
    <row r="79" spans="1:16" ht="12.75" customHeight="1" x14ac:dyDescent="0.2">
      <c r="B79" s="50"/>
      <c r="N79" s="49"/>
    </row>
    <row r="80" spans="1:16" ht="12.75" customHeight="1" x14ac:dyDescent="0.2">
      <c r="B80" s="50"/>
    </row>
    <row r="81" spans="2:2" ht="12.75" customHeight="1" x14ac:dyDescent="0.2">
      <c r="B81" s="50"/>
    </row>
    <row r="82" spans="2:2" ht="12.75" customHeight="1" x14ac:dyDescent="0.2">
      <c r="B82" s="50"/>
    </row>
    <row r="83" spans="2:2" ht="12.75" customHeight="1" x14ac:dyDescent="0.2">
      <c r="B83" s="50"/>
    </row>
    <row r="84" spans="2:2" ht="12.75" customHeight="1" x14ac:dyDescent="0.2">
      <c r="B84" s="50"/>
    </row>
    <row r="85" spans="2:2" ht="12.75" customHeight="1" x14ac:dyDescent="0.2">
      <c r="B85" s="50"/>
    </row>
    <row r="86" spans="2:2" ht="12.75" customHeight="1" x14ac:dyDescent="0.2">
      <c r="B86" s="50"/>
    </row>
  </sheetData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74"/>
  <sheetViews>
    <sheetView zoomScale="120" zoomScaleNormal="120" workbookViewId="0">
      <pane ySplit="4" topLeftCell="A5" activePane="bottomLeft" state="frozen"/>
      <selection pane="bottomLeft" activeCell="J65" sqref="J65"/>
    </sheetView>
  </sheetViews>
  <sheetFormatPr defaultColWidth="9.140625" defaultRowHeight="12.75" customHeight="1" x14ac:dyDescent="0.2"/>
  <cols>
    <col min="1" max="1" width="33.28515625" style="46" customWidth="1"/>
    <col min="2" max="2" width="7" style="46" customWidth="1"/>
    <col min="3" max="3" width="6.7109375" style="46" customWidth="1"/>
    <col min="4" max="4" width="6.85546875" style="46" customWidth="1"/>
    <col min="5" max="5" width="7.85546875" style="46" customWidth="1"/>
    <col min="6" max="6" width="6.28515625" style="46" customWidth="1"/>
    <col min="7" max="9" width="6.5703125" style="46" customWidth="1"/>
    <col min="10" max="10" width="7" style="46" customWidth="1"/>
    <col min="11" max="11" width="7" style="440" customWidth="1"/>
    <col min="12" max="12" width="9.42578125" style="46" customWidth="1"/>
    <col min="13" max="13" width="8.7109375" style="46" customWidth="1"/>
    <col min="14" max="14" width="9.140625" style="46" customWidth="1"/>
    <col min="15" max="16384" width="9.140625" style="46"/>
  </cols>
  <sheetData>
    <row r="1" spans="1:15" ht="12.75" customHeight="1" x14ac:dyDescent="0.2">
      <c r="A1" s="46" t="s">
        <v>625</v>
      </c>
      <c r="B1" s="298"/>
      <c r="C1" s="298"/>
      <c r="D1" s="300"/>
      <c r="E1" s="300"/>
      <c r="F1" s="315"/>
      <c r="G1" s="315"/>
      <c r="H1" s="298"/>
      <c r="I1" s="298"/>
      <c r="J1" s="446"/>
      <c r="K1" s="447"/>
      <c r="L1" s="315"/>
      <c r="M1" s="315"/>
      <c r="N1" s="298"/>
      <c r="O1" s="298"/>
    </row>
    <row r="2" spans="1:15" ht="12.75" customHeight="1" x14ac:dyDescent="0.2">
      <c r="B2" s="416" t="s">
        <v>683</v>
      </c>
      <c r="C2" s="416" t="s">
        <v>683</v>
      </c>
      <c r="D2" s="441" t="s">
        <v>692</v>
      </c>
      <c r="E2" s="441" t="s">
        <v>692</v>
      </c>
      <c r="F2" s="421" t="s">
        <v>697</v>
      </c>
      <c r="G2" s="421" t="s">
        <v>697</v>
      </c>
      <c r="H2" s="444" t="s">
        <v>1256</v>
      </c>
      <c r="I2" s="444" t="s">
        <v>1256</v>
      </c>
      <c r="J2" s="392" t="s">
        <v>698</v>
      </c>
      <c r="K2" s="448" t="s">
        <v>698</v>
      </c>
      <c r="L2" s="420" t="s">
        <v>700</v>
      </c>
      <c r="M2" s="420" t="s">
        <v>700</v>
      </c>
      <c r="N2" s="416" t="s">
        <v>1256</v>
      </c>
      <c r="O2" s="416" t="s">
        <v>1269</v>
      </c>
    </row>
    <row r="3" spans="1:15" ht="12.75" customHeight="1" x14ac:dyDescent="0.2">
      <c r="B3" s="416"/>
      <c r="C3" s="416" t="s">
        <v>701</v>
      </c>
      <c r="D3" s="441"/>
      <c r="E3" s="441" t="s">
        <v>701</v>
      </c>
      <c r="F3" s="421"/>
      <c r="G3" s="421" t="s">
        <v>701</v>
      </c>
      <c r="H3" s="417" t="s">
        <v>692</v>
      </c>
      <c r="I3" s="417" t="s">
        <v>692</v>
      </c>
      <c r="J3" s="392" t="s">
        <v>702</v>
      </c>
      <c r="K3" s="448" t="s">
        <v>702</v>
      </c>
      <c r="L3" s="420" t="s">
        <v>702</v>
      </c>
      <c r="M3" s="420" t="s">
        <v>702</v>
      </c>
      <c r="N3" s="416" t="s">
        <v>702</v>
      </c>
      <c r="O3" s="416" t="s">
        <v>702</v>
      </c>
    </row>
    <row r="4" spans="1:15" ht="12.75" customHeight="1" x14ac:dyDescent="0.2">
      <c r="B4" s="416"/>
      <c r="C4" s="416"/>
      <c r="D4" s="441"/>
      <c r="E4" s="441"/>
      <c r="F4" s="420"/>
      <c r="G4" s="420"/>
      <c r="H4" s="416"/>
      <c r="I4" s="416" t="s">
        <v>701</v>
      </c>
      <c r="J4" s="392"/>
      <c r="K4" s="448" t="s">
        <v>701</v>
      </c>
      <c r="L4" s="420"/>
      <c r="M4" s="420" t="s">
        <v>701</v>
      </c>
      <c r="N4" s="416"/>
      <c r="O4" s="416" t="s">
        <v>701</v>
      </c>
    </row>
    <row r="5" spans="1:15" ht="12.75" customHeight="1" x14ac:dyDescent="0.2">
      <c r="B5" s="298"/>
      <c r="C5" s="298"/>
      <c r="D5" s="300"/>
      <c r="E5" s="300"/>
      <c r="F5" s="315"/>
      <c r="G5" s="315"/>
      <c r="H5" s="298"/>
      <c r="I5" s="298"/>
      <c r="J5" s="446"/>
      <c r="K5" s="447"/>
      <c r="L5" s="315"/>
      <c r="M5" s="315"/>
      <c r="N5" s="298"/>
      <c r="O5" s="298"/>
    </row>
    <row r="6" spans="1:15" ht="12.75" customHeight="1" x14ac:dyDescent="0.2">
      <c r="A6" s="166" t="s">
        <v>632</v>
      </c>
      <c r="B6" s="379">
        <f>'15W40'!G6</f>
        <v>106.25</v>
      </c>
      <c r="C6" s="379">
        <f>'15W40 Gallon'!G6</f>
        <v>143</v>
      </c>
      <c r="D6" s="442">
        <f>'10W30'!G6</f>
        <v>111.5</v>
      </c>
      <c r="E6" s="442">
        <f>'10W30 Gallon'!G6</f>
        <v>160.83994708994712</v>
      </c>
      <c r="F6" s="377">
        <f>'T5'!G6</f>
        <v>98.5</v>
      </c>
      <c r="G6" s="377">
        <f>'T5 Gallon'!G6</f>
        <v>164.51666666666665</v>
      </c>
      <c r="H6" s="379">
        <f>'Petro 10W30'!G6</f>
        <v>88.75</v>
      </c>
      <c r="I6" s="379">
        <f>'Petro 10W30Gallon'!G6</f>
        <v>102.49999999999999</v>
      </c>
      <c r="J6" s="449">
        <f>'T6'!E6</f>
        <v>213.54000000000002</v>
      </c>
      <c r="K6" s="450">
        <f>'T6 Gallon'!G6</f>
        <v>209.05</v>
      </c>
      <c r="L6" s="377">
        <f>'Delo 5W30'!G6</f>
        <v>172.25</v>
      </c>
      <c r="M6" s="377">
        <f>'Delo 5W30 Gallon'!G6</f>
        <v>214.20634920634919</v>
      </c>
      <c r="N6" s="379">
        <f>'Petro 5W30'!G6</f>
        <v>132.5</v>
      </c>
      <c r="O6" s="379">
        <f>'Petro 5W30 Gallon'!G6</f>
        <v>157.99999999999997</v>
      </c>
    </row>
    <row r="7" spans="1:15" ht="12.75" customHeight="1" x14ac:dyDescent="0.2">
      <c r="A7" s="48" t="s">
        <v>633</v>
      </c>
      <c r="B7" s="380">
        <f>'15W40'!G7</f>
        <v>106.25</v>
      </c>
      <c r="C7" s="380">
        <f>'15W40 Gallon'!G7</f>
        <v>143</v>
      </c>
      <c r="D7" s="443">
        <f>'10W30'!G7</f>
        <v>111.5</v>
      </c>
      <c r="E7" s="443">
        <f>'10W30 Gallon'!G7</f>
        <v>160.83994708994712</v>
      </c>
      <c r="F7" s="378">
        <f>'T5'!G7</f>
        <v>98.5</v>
      </c>
      <c r="G7" s="378">
        <f>'T5 Gallon'!G7</f>
        <v>164.51666666666665</v>
      </c>
      <c r="H7" s="379">
        <f>'Petro 10W30'!G7</f>
        <v>88.75</v>
      </c>
      <c r="I7" s="379">
        <f>'Petro 10W30Gallon'!G7</f>
        <v>102.49999999999999</v>
      </c>
      <c r="J7" s="449">
        <f>'T6'!E7</f>
        <v>182.04919999999998</v>
      </c>
      <c r="K7" s="451">
        <f>'T6 Gallon'!G7</f>
        <v>209.05</v>
      </c>
      <c r="L7" s="378">
        <f>'Delo 5W30'!G7</f>
        <v>172.25</v>
      </c>
      <c r="M7" s="378">
        <f>'Delo 5W30 Gallon'!G7</f>
        <v>214.20634920634919</v>
      </c>
      <c r="N7" s="380">
        <f>'Petro 5W30'!G7</f>
        <v>132.5</v>
      </c>
      <c r="O7" s="380">
        <f>'Petro 5W30 Gallon'!G7</f>
        <v>157.99999999999997</v>
      </c>
    </row>
    <row r="8" spans="1:15" ht="12.75" customHeight="1" x14ac:dyDescent="0.2">
      <c r="A8" s="166"/>
      <c r="B8" s="379"/>
      <c r="C8" s="379"/>
      <c r="D8" s="442"/>
      <c r="E8" s="442"/>
      <c r="F8" s="377"/>
      <c r="G8" s="377"/>
      <c r="H8" s="379"/>
      <c r="I8" s="379"/>
      <c r="J8" s="449"/>
      <c r="K8" s="450"/>
      <c r="L8" s="377"/>
      <c r="M8" s="377"/>
      <c r="N8" s="379"/>
      <c r="O8" s="379"/>
    </row>
    <row r="9" spans="1:15" ht="12.75" customHeight="1" x14ac:dyDescent="0.2">
      <c r="A9" s="48" t="s">
        <v>634</v>
      </c>
      <c r="B9" s="380">
        <f>'15W40'!G9</f>
        <v>161.5</v>
      </c>
      <c r="C9" s="380">
        <f>'15W40 Gallon'!G9</f>
        <v>217.35999999999999</v>
      </c>
      <c r="D9" s="443">
        <f>'10W30'!G9</f>
        <v>169.48</v>
      </c>
      <c r="E9" s="443">
        <f>'10W30 Gallon'!G9</f>
        <v>244.4767195767196</v>
      </c>
      <c r="F9" s="378">
        <f>'T5'!G9</f>
        <v>149.72</v>
      </c>
      <c r="G9" s="378">
        <f>'T5 Gallon'!G9</f>
        <v>250.06533333333329</v>
      </c>
      <c r="H9" s="379">
        <f>'Petro 10W30'!G9</f>
        <v>134.9</v>
      </c>
      <c r="I9" s="379">
        <f>'Petro 10W30Gallon'!G9</f>
        <v>155.79999999999998</v>
      </c>
      <c r="J9" s="449">
        <f>'T6'!E9</f>
        <v>310</v>
      </c>
      <c r="K9" s="451">
        <f>'T6 Gallon'!G9</f>
        <v>317.75600000000003</v>
      </c>
      <c r="L9" s="378">
        <f>'Delo 5W30'!G9</f>
        <v>261.82</v>
      </c>
      <c r="M9" s="378">
        <f>'Delo 5W30 Gallon'!G9</f>
        <v>325.5936507936508</v>
      </c>
      <c r="N9" s="380">
        <f>'Petro 5W30'!G9</f>
        <v>201.4</v>
      </c>
      <c r="O9" s="380">
        <f>'Petro 5W30 Gallon'!G9</f>
        <v>240.15999999999997</v>
      </c>
    </row>
    <row r="10" spans="1:15" ht="12.75" customHeight="1" x14ac:dyDescent="0.2">
      <c r="A10" s="166" t="s">
        <v>635</v>
      </c>
      <c r="B10" s="379">
        <f>'15W40'!G10</f>
        <v>161.5</v>
      </c>
      <c r="C10" s="379">
        <f>'15W40 Gallon'!G10</f>
        <v>217.35999999999999</v>
      </c>
      <c r="D10" s="442">
        <f>'10W30'!G10</f>
        <v>169.48</v>
      </c>
      <c r="E10" s="442">
        <f>'10W30 Gallon'!G10</f>
        <v>244.4767195767196</v>
      </c>
      <c r="F10" s="377">
        <f>'T5'!G10</f>
        <v>149.72</v>
      </c>
      <c r="G10" s="377">
        <f>'T5 Gallon'!G10</f>
        <v>250.06533333333329</v>
      </c>
      <c r="H10" s="379">
        <f>'Petro 10W30'!G10</f>
        <v>134.9</v>
      </c>
      <c r="I10" s="379">
        <f>'Petro 10W30Gallon'!G10</f>
        <v>155.79999999999998</v>
      </c>
      <c r="J10" s="449">
        <f>'T6'!E10</f>
        <v>270.46479999999997</v>
      </c>
      <c r="K10" s="450">
        <f>'T6 Gallon'!G10</f>
        <v>317.75600000000003</v>
      </c>
      <c r="L10" s="377">
        <f>'Delo 5W30'!G10</f>
        <v>261.82</v>
      </c>
      <c r="M10" s="377">
        <f>'Delo 5W30 Gallon'!G10</f>
        <v>325.5936507936508</v>
      </c>
      <c r="N10" s="379">
        <f>'Petro 5W30'!G10</f>
        <v>201.4</v>
      </c>
      <c r="O10" s="379">
        <f>'Petro 5W30 Gallon'!G10</f>
        <v>240.15999999999997</v>
      </c>
    </row>
    <row r="11" spans="1:15" ht="12.75" customHeight="1" x14ac:dyDescent="0.2">
      <c r="A11" s="48"/>
      <c r="B11" s="299"/>
      <c r="C11" s="299"/>
      <c r="D11" s="301"/>
      <c r="E11" s="301"/>
      <c r="F11" s="316"/>
      <c r="G11" s="316"/>
      <c r="H11" s="379"/>
      <c r="I11" s="379"/>
      <c r="J11" s="449"/>
      <c r="K11" s="452"/>
      <c r="L11" s="316"/>
      <c r="M11" s="316"/>
      <c r="N11" s="380"/>
      <c r="O11" s="380"/>
    </row>
    <row r="12" spans="1:15" ht="12.75" customHeight="1" x14ac:dyDescent="0.2">
      <c r="A12" s="166" t="s">
        <v>637</v>
      </c>
      <c r="B12" s="379">
        <f>'15W40'!G12</f>
        <v>182.75</v>
      </c>
      <c r="C12" s="379">
        <f>'15W40 Gallon'!G12</f>
        <v>245.95999999999998</v>
      </c>
      <c r="D12" s="442">
        <f>'10W30'!G12</f>
        <v>191.78</v>
      </c>
      <c r="E12" s="442">
        <f>'10W30 Gallon'!G12</f>
        <v>276.64470899470905</v>
      </c>
      <c r="F12" s="377">
        <f>'T5'!G12</f>
        <v>169.42</v>
      </c>
      <c r="G12" s="377">
        <f>'T5 Gallon'!G12</f>
        <v>282.96866666666665</v>
      </c>
      <c r="H12" s="379">
        <f>'Petro 10W30'!G12</f>
        <v>152.65</v>
      </c>
      <c r="I12" s="379">
        <f>'Petro 10W30Gallon'!G12</f>
        <v>176.29999999999998</v>
      </c>
      <c r="J12" s="449">
        <f>'T6'!E12</f>
        <v>340.45</v>
      </c>
      <c r="K12" s="450">
        <f>'T6 Gallon'!G12</f>
        <v>359.56600000000003</v>
      </c>
      <c r="L12" s="377">
        <f>'Delo 5W30'!G12</f>
        <v>296.27</v>
      </c>
      <c r="M12" s="377">
        <f>'Delo 5W30 Gallon'!G12</f>
        <v>368.43492063492062</v>
      </c>
      <c r="N12" s="379">
        <f>'Petro 5W30'!G12</f>
        <v>227.9</v>
      </c>
      <c r="O12" s="379">
        <f>'Petro 5W30 Gallon'!G12</f>
        <v>271.76</v>
      </c>
    </row>
    <row r="13" spans="1:15" ht="12.75" customHeight="1" x14ac:dyDescent="0.2">
      <c r="A13" s="48" t="s">
        <v>638</v>
      </c>
      <c r="B13" s="380">
        <f>'15W40'!G13</f>
        <v>182.75</v>
      </c>
      <c r="C13" s="380">
        <f>'15W40 Gallon'!G13</f>
        <v>245.95999999999998</v>
      </c>
      <c r="D13" s="443">
        <f>'10W30'!G13</f>
        <v>191.78</v>
      </c>
      <c r="E13" s="443">
        <f>'10W30 Gallon'!G13</f>
        <v>276.64470899470905</v>
      </c>
      <c r="F13" s="378">
        <f>'T5'!G13</f>
        <v>169.42</v>
      </c>
      <c r="G13" s="378">
        <f>'T5 Gallon'!G13</f>
        <v>282.96866666666665</v>
      </c>
      <c r="H13" s="379">
        <f>'Petro 10W30'!G13</f>
        <v>152.65</v>
      </c>
      <c r="I13" s="379">
        <f>'Petro 10W30Gallon'!G13</f>
        <v>176.29999999999998</v>
      </c>
      <c r="J13" s="449">
        <f>'T6'!E13</f>
        <v>300.91480000000001</v>
      </c>
      <c r="K13" s="451">
        <f>'T6 Gallon'!G13</f>
        <v>359.56600000000003</v>
      </c>
      <c r="L13" s="378">
        <f>'Delo 5W30'!G13</f>
        <v>296.27</v>
      </c>
      <c r="M13" s="378">
        <f>'Delo 5W30 Gallon'!G13</f>
        <v>368.43492063492062</v>
      </c>
      <c r="N13" s="380">
        <f>'Petro 5W30'!G13</f>
        <v>227.9</v>
      </c>
      <c r="O13" s="380">
        <f>'Petro 5W30 Gallon'!G13</f>
        <v>271.76</v>
      </c>
    </row>
    <row r="14" spans="1:15" ht="12.75" customHeight="1" x14ac:dyDescent="0.2">
      <c r="A14" s="166"/>
      <c r="B14" s="379"/>
      <c r="C14" s="379"/>
      <c r="D14" s="442"/>
      <c r="E14" s="442"/>
      <c r="F14" s="377"/>
      <c r="G14" s="377"/>
      <c r="H14" s="379"/>
      <c r="I14" s="379"/>
      <c r="J14" s="449"/>
      <c r="K14" s="450"/>
      <c r="L14" s="377"/>
      <c r="M14" s="377"/>
      <c r="N14" s="379"/>
      <c r="O14" s="379"/>
    </row>
    <row r="15" spans="1:15" ht="12.75" customHeight="1" x14ac:dyDescent="0.2">
      <c r="A15" s="48" t="s">
        <v>639</v>
      </c>
      <c r="B15" s="380">
        <f>'15W40'!G15</f>
        <v>170</v>
      </c>
      <c r="C15" s="380">
        <f>'15W40 Gallon'!G15</f>
        <v>228.79999999999998</v>
      </c>
      <c r="D15" s="443">
        <f>'10W30'!G15</f>
        <v>178.4</v>
      </c>
      <c r="E15" s="443">
        <f>'10W30 Gallon'!G15</f>
        <v>257.3439153439154</v>
      </c>
      <c r="F15" s="378">
        <f>'T5'!G15</f>
        <v>157.6</v>
      </c>
      <c r="G15" s="378">
        <f>'T5 Gallon'!G15</f>
        <v>263.22666666666663</v>
      </c>
      <c r="H15" s="379">
        <f>'Petro 10W30'!G15</f>
        <v>142</v>
      </c>
      <c r="I15" s="379">
        <f>'Petro 10W30Gallon'!G15</f>
        <v>164</v>
      </c>
      <c r="J15" s="449">
        <f>'T6'!E15</f>
        <v>283.03120000000001</v>
      </c>
      <c r="K15" s="451">
        <f>'T6 Gallon'!G15</f>
        <v>334.48</v>
      </c>
      <c r="L15" s="378">
        <f>'Delo 5W30'!G15</f>
        <v>275.59999999999997</v>
      </c>
      <c r="M15" s="378">
        <f>'Delo 5W30 Gallon'!G15</f>
        <v>342.73015873015873</v>
      </c>
      <c r="N15" s="380">
        <f>'Petro 5W30'!G15</f>
        <v>212</v>
      </c>
      <c r="O15" s="380">
        <f>'Petro 5W30 Gallon'!G15</f>
        <v>252.79999999999998</v>
      </c>
    </row>
    <row r="16" spans="1:15" ht="12.75" customHeight="1" x14ac:dyDescent="0.2">
      <c r="A16" s="166" t="s">
        <v>640</v>
      </c>
      <c r="B16" s="379">
        <f>'15W40'!G16</f>
        <v>59.5</v>
      </c>
      <c r="C16" s="379">
        <f>'15W40 Gallon'!G16</f>
        <v>80.08</v>
      </c>
      <c r="D16" s="442">
        <f>'10W30'!G16</f>
        <v>62.44</v>
      </c>
      <c r="E16" s="442">
        <f>'10W30 Gallon'!G16</f>
        <v>90.070370370370384</v>
      </c>
      <c r="F16" s="377">
        <f>'T5'!G16</f>
        <v>55.16</v>
      </c>
      <c r="G16" s="377">
        <f>'T5 Gallon'!G16</f>
        <v>92.129333333333321</v>
      </c>
      <c r="H16" s="379">
        <f>'Petro 10W30'!G16</f>
        <v>49.699999999999996</v>
      </c>
      <c r="I16" s="379">
        <f>'Petro 10W30Gallon'!G16</f>
        <v>57.399999999999991</v>
      </c>
      <c r="J16" s="449">
        <f>'T6'!E16</f>
        <v>99.97999999999999</v>
      </c>
      <c r="K16" s="450">
        <f>'T6 Gallon'!G16</f>
        <v>117.068</v>
      </c>
      <c r="L16" s="377">
        <f>'Delo 5W30'!G16</f>
        <v>96.46</v>
      </c>
      <c r="M16" s="377">
        <f>'Delo 5W30 Gallon'!G16</f>
        <v>119.95555555555555</v>
      </c>
      <c r="N16" s="379">
        <f>'Petro 5W30'!G16</f>
        <v>74.2</v>
      </c>
      <c r="O16" s="379">
        <f>'Petro 5W30 Gallon'!G16</f>
        <v>88.47999999999999</v>
      </c>
    </row>
    <row r="17" spans="1:15" ht="12.75" customHeight="1" x14ac:dyDescent="0.2">
      <c r="A17" s="48" t="s">
        <v>641</v>
      </c>
      <c r="B17" s="380">
        <f>'15W40'!G17</f>
        <v>106.25</v>
      </c>
      <c r="C17" s="380">
        <f>'15W40 Gallon'!G17</f>
        <v>143</v>
      </c>
      <c r="D17" s="443">
        <f>'10W30'!G17</f>
        <v>111.5</v>
      </c>
      <c r="E17" s="443">
        <f>'10W30 Gallon'!G17</f>
        <v>160.83994708994712</v>
      </c>
      <c r="F17" s="378">
        <f>'T5'!G17</f>
        <v>98.5</v>
      </c>
      <c r="G17" s="378">
        <f>'T5 Gallon'!G17</f>
        <v>164.51666666666665</v>
      </c>
      <c r="H17" s="379">
        <f>'Petro 10W30'!G17</f>
        <v>88.75</v>
      </c>
      <c r="I17" s="379">
        <f>'Petro 10W30Gallon'!G17</f>
        <v>102.49999999999999</v>
      </c>
      <c r="J17" s="449">
        <f>'T6'!E17</f>
        <v>211.06040000000002</v>
      </c>
      <c r="K17" s="451">
        <f>'T6 Gallon'!G17</f>
        <v>209.05</v>
      </c>
      <c r="L17" s="378">
        <f>'Delo 5W30'!G17</f>
        <v>172.25</v>
      </c>
      <c r="M17" s="378">
        <f>'Delo 5W30 Gallon'!G17</f>
        <v>214.20634920634919</v>
      </c>
      <c r="N17" s="380">
        <f>'Petro 5W30'!G17</f>
        <v>132.5</v>
      </c>
      <c r="O17" s="380">
        <f>'Petro 5W30 Gallon'!G17</f>
        <v>157.99999999999997</v>
      </c>
    </row>
    <row r="18" spans="1:15" ht="12.75" customHeight="1" x14ac:dyDescent="0.2">
      <c r="A18" s="166" t="s">
        <v>642</v>
      </c>
      <c r="B18" s="379">
        <f>'15W40'!G18</f>
        <v>106.25</v>
      </c>
      <c r="C18" s="379">
        <f>'15W40 Gallon'!G18</f>
        <v>143</v>
      </c>
      <c r="D18" s="442">
        <f>'10W30'!G18</f>
        <v>111.5</v>
      </c>
      <c r="E18" s="442">
        <f>'10W30 Gallon'!G18</f>
        <v>160.83994708994712</v>
      </c>
      <c r="F18" s="377">
        <f>'T5'!G18</f>
        <v>98.5</v>
      </c>
      <c r="G18" s="377">
        <f>'T5 Gallon'!G18</f>
        <v>164.51666666666665</v>
      </c>
      <c r="H18" s="379">
        <f>'Petro 10W30'!G18</f>
        <v>88.75</v>
      </c>
      <c r="I18" s="379">
        <f>'Petro 10W30Gallon'!G18</f>
        <v>102.49999999999999</v>
      </c>
      <c r="J18" s="449">
        <f>'T6'!E18</f>
        <v>186.93799999999999</v>
      </c>
      <c r="K18" s="450">
        <f>'T6 Gallon'!G18</f>
        <v>209.05</v>
      </c>
      <c r="L18" s="377">
        <f>'Delo 5W30'!G18</f>
        <v>172.25</v>
      </c>
      <c r="M18" s="377">
        <f>'Delo 5W30 Gallon'!G18</f>
        <v>214.20634920634919</v>
      </c>
      <c r="N18" s="379">
        <f>'Petro 5W30'!G18</f>
        <v>132.5</v>
      </c>
      <c r="O18" s="379">
        <f>'Petro 5W30 Gallon'!G18</f>
        <v>157.99999999999997</v>
      </c>
    </row>
    <row r="19" spans="1:15" ht="12.75" customHeight="1" x14ac:dyDescent="0.2">
      <c r="A19" s="48" t="s">
        <v>643</v>
      </c>
      <c r="B19" s="380">
        <f>'15W40'!G19</f>
        <v>153</v>
      </c>
      <c r="C19" s="380">
        <f>'15W40 Gallon'!G19</f>
        <v>205.92</v>
      </c>
      <c r="D19" s="443">
        <f>'10W30'!G19</f>
        <v>160.56</v>
      </c>
      <c r="E19" s="443">
        <f>'10W30 Gallon'!G19</f>
        <v>231.60952380952384</v>
      </c>
      <c r="F19" s="378">
        <f>'T5'!G19</f>
        <v>141.84</v>
      </c>
      <c r="G19" s="378">
        <f>'T5 Gallon'!G19</f>
        <v>236.90399999999997</v>
      </c>
      <c r="H19" s="379">
        <f>'Petro 10W30'!G19</f>
        <v>127.8</v>
      </c>
      <c r="I19" s="379">
        <f>'Petro 10W30Gallon'!G19</f>
        <v>147.6</v>
      </c>
      <c r="J19" s="449">
        <f>'T6'!E19</f>
        <v>267.07440000000003</v>
      </c>
      <c r="K19" s="451">
        <f>'T6 Gallon'!G19</f>
        <v>301.03199999999998</v>
      </c>
      <c r="L19" s="378">
        <f>'Delo 5W30'!G19</f>
        <v>248.04</v>
      </c>
      <c r="M19" s="378">
        <f>'Delo 5W30 Gallon'!G19</f>
        <v>308.45714285714286</v>
      </c>
      <c r="N19" s="380">
        <f>'Petro 5W30'!G19</f>
        <v>190.79999999999998</v>
      </c>
      <c r="O19" s="380">
        <f>'Petro 5W30 Gallon'!G19</f>
        <v>227.51999999999998</v>
      </c>
    </row>
    <row r="20" spans="1:15" ht="12.75" customHeight="1" x14ac:dyDescent="0.2">
      <c r="A20" s="166" t="s">
        <v>645</v>
      </c>
      <c r="B20" s="379">
        <f>'15W40'!G20</f>
        <v>187</v>
      </c>
      <c r="C20" s="379">
        <f>'15W40 Gallon'!G20</f>
        <v>251.67999999999998</v>
      </c>
      <c r="D20" s="442">
        <f>'10W30'!G20</f>
        <v>196.24</v>
      </c>
      <c r="E20" s="442">
        <f>'10W30 Gallon'!G20</f>
        <v>283.07830687830693</v>
      </c>
      <c r="F20" s="377">
        <f>'T5'!G20</f>
        <v>173.35999999999999</v>
      </c>
      <c r="G20" s="377">
        <f>'T5 Gallon'!G20</f>
        <v>289.54933333333327</v>
      </c>
      <c r="H20" s="379">
        <f>'Petro 10W30'!G20</f>
        <v>156.19999999999999</v>
      </c>
      <c r="I20" s="379">
        <f>'Petro 10W30Gallon'!G20</f>
        <v>180.39999999999998</v>
      </c>
      <c r="J20" s="449">
        <f>'T6'!E20</f>
        <v>361.6096</v>
      </c>
      <c r="K20" s="450">
        <f>'T6 Gallon'!G20</f>
        <v>367.928</v>
      </c>
      <c r="L20" s="377">
        <f>'Delo 5W30'!G20</f>
        <v>303.15999999999997</v>
      </c>
      <c r="M20" s="377">
        <f>'Delo 5W30 Gallon'!G20</f>
        <v>377.00317460317461</v>
      </c>
      <c r="N20" s="379">
        <f>'Petro 5W30'!G20</f>
        <v>233.2</v>
      </c>
      <c r="O20" s="379">
        <f>'Petro 5W30 Gallon'!G20</f>
        <v>278.08</v>
      </c>
    </row>
    <row r="21" spans="1:15" ht="12.75" customHeight="1" x14ac:dyDescent="0.2">
      <c r="A21" s="48" t="s">
        <v>646</v>
      </c>
      <c r="B21" s="380">
        <f>'15W40'!G21</f>
        <v>144.5</v>
      </c>
      <c r="C21" s="380">
        <f>'15W40 Gallon'!G21</f>
        <v>194.48</v>
      </c>
      <c r="D21" s="443">
        <f>'10W30'!G21</f>
        <v>151.63999999999999</v>
      </c>
      <c r="E21" s="443">
        <f>'10W30 Gallon'!G21</f>
        <v>218.74232804232807</v>
      </c>
      <c r="F21" s="378">
        <f>'T5'!G21</f>
        <v>133.96</v>
      </c>
      <c r="G21" s="378">
        <f>'T5 Gallon'!G21</f>
        <v>223.74266666666665</v>
      </c>
      <c r="H21" s="379">
        <f>'Petro 10W30'!G21</f>
        <v>120.69999999999999</v>
      </c>
      <c r="I21" s="379">
        <f>'Petro 10W30Gallon'!G21</f>
        <v>139.39999999999998</v>
      </c>
      <c r="J21" s="449">
        <f>'T6'!E21</f>
        <v>246.49119999999999</v>
      </c>
      <c r="K21" s="451">
        <f>'T6 Gallon'!G21</f>
        <v>284.30799999999999</v>
      </c>
      <c r="L21" s="378">
        <f>'Delo 5W30'!G21</f>
        <v>234.26</v>
      </c>
      <c r="M21" s="378">
        <f>'Delo 5W30 Gallon'!G21</f>
        <v>291.32063492063492</v>
      </c>
      <c r="N21" s="380">
        <f>'Petro 5W30'!G21</f>
        <v>180.2</v>
      </c>
      <c r="O21" s="380">
        <f>'Petro 5W30 Gallon'!G21</f>
        <v>214.87999999999997</v>
      </c>
    </row>
    <row r="22" spans="1:15" ht="12.75" customHeight="1" x14ac:dyDescent="0.2">
      <c r="A22" s="166"/>
      <c r="B22" s="379"/>
      <c r="C22" s="379"/>
      <c r="D22" s="442"/>
      <c r="E22" s="442"/>
      <c r="F22" s="377"/>
      <c r="G22" s="377"/>
      <c r="H22" s="379"/>
      <c r="I22" s="379"/>
      <c r="J22" s="449"/>
      <c r="K22" s="450"/>
      <c r="L22" s="377"/>
      <c r="M22" s="377"/>
      <c r="N22" s="379"/>
      <c r="O22" s="379"/>
    </row>
    <row r="23" spans="1:15" ht="12.75" customHeight="1" x14ac:dyDescent="0.2">
      <c r="A23" s="48" t="s">
        <v>647</v>
      </c>
      <c r="B23" s="380">
        <f>'15W40'!G23</f>
        <v>161.5</v>
      </c>
      <c r="C23" s="380">
        <f>'15W40 Gallon'!G23</f>
        <v>217.35999999999999</v>
      </c>
      <c r="D23" s="443">
        <f>'10W30'!G23</f>
        <v>169.48</v>
      </c>
      <c r="E23" s="443">
        <f>'10W30 Gallon'!G23</f>
        <v>244.4767195767196</v>
      </c>
      <c r="F23" s="378">
        <f>'T5'!G23</f>
        <v>149.72</v>
      </c>
      <c r="G23" s="378">
        <f>'T5 Gallon'!G23</f>
        <v>250.06533333333329</v>
      </c>
      <c r="H23" s="379">
        <f>'Petro 10W30'!G23</f>
        <v>134.9</v>
      </c>
      <c r="I23" s="379">
        <f>'Petro 10W30Gallon'!G23</f>
        <v>155.79999999999998</v>
      </c>
      <c r="J23" s="449">
        <f>'T6'!E23</f>
        <v>317.03999999999996</v>
      </c>
      <c r="K23" s="451">
        <f>'T6 Gallon'!G23</f>
        <v>317.75600000000003</v>
      </c>
      <c r="L23" s="378">
        <f>'Delo 5W30'!G23</f>
        <v>261.82</v>
      </c>
      <c r="M23" s="378">
        <f>'Delo 5W30 Gallon'!G23</f>
        <v>325.5936507936508</v>
      </c>
      <c r="N23" s="380">
        <f>'Petro 5W30'!G23</f>
        <v>201.4</v>
      </c>
      <c r="O23" s="380">
        <f>'Petro 5W30 Gallon'!G23</f>
        <v>240.15999999999997</v>
      </c>
    </row>
    <row r="24" spans="1:15" ht="12.75" customHeight="1" x14ac:dyDescent="0.2">
      <c r="A24" s="166" t="s">
        <v>648</v>
      </c>
      <c r="B24" s="379">
        <f>'15W40'!G24</f>
        <v>136</v>
      </c>
      <c r="C24" s="379">
        <f>'15W40 Gallon'!G24</f>
        <v>183.04</v>
      </c>
      <c r="D24" s="442">
        <f>'10W30'!G24</f>
        <v>142.72</v>
      </c>
      <c r="E24" s="442">
        <f>'10W30 Gallon'!G24</f>
        <v>205.8751322751323</v>
      </c>
      <c r="F24" s="377">
        <f>'T5'!G24</f>
        <v>126.08</v>
      </c>
      <c r="G24" s="377">
        <f>'T5 Gallon'!G24</f>
        <v>210.5813333333333</v>
      </c>
      <c r="H24" s="379">
        <f>'Petro 10W30'!G24</f>
        <v>113.6</v>
      </c>
      <c r="I24" s="379">
        <f>'Petro 10W30Gallon'!G24</f>
        <v>131.19999999999999</v>
      </c>
      <c r="J24" s="449">
        <f>'T6'!E24</f>
        <v>371.73</v>
      </c>
      <c r="K24" s="450">
        <f>'T6 Gallon'!G24</f>
        <v>267.584</v>
      </c>
      <c r="L24" s="377">
        <f>'Delo 5W30'!G24</f>
        <v>220.48</v>
      </c>
      <c r="M24" s="377">
        <f>'Delo 5W30 Gallon'!G24</f>
        <v>274.18412698412698</v>
      </c>
      <c r="N24" s="379">
        <f>'Petro 5W30'!G24</f>
        <v>169.6</v>
      </c>
      <c r="O24" s="379">
        <f>'Petro 5W30 Gallon'!G24</f>
        <v>202.23999999999998</v>
      </c>
    </row>
    <row r="25" spans="1:15" ht="12.75" customHeight="1" x14ac:dyDescent="0.2">
      <c r="A25" s="48" t="s">
        <v>649</v>
      </c>
      <c r="B25" s="380">
        <f>'15W40'!G25</f>
        <v>178.5</v>
      </c>
      <c r="C25" s="380">
        <f>'15W40 Gallon'!G25</f>
        <v>240.23999999999998</v>
      </c>
      <c r="D25" s="443">
        <f>'10W30'!G25</f>
        <v>187.32</v>
      </c>
      <c r="E25" s="443">
        <f>'10W30 Gallon'!G25</f>
        <v>270.21111111111117</v>
      </c>
      <c r="F25" s="378">
        <f>'T5'!G25</f>
        <v>165.48</v>
      </c>
      <c r="G25" s="378">
        <f>'T5 Gallon'!G25</f>
        <v>276.38799999999998</v>
      </c>
      <c r="H25" s="379">
        <f>'Petro 10W30'!G25</f>
        <v>149.1</v>
      </c>
      <c r="I25" s="379">
        <f>'Petro 10W30Gallon'!G25</f>
        <v>172.2</v>
      </c>
      <c r="J25" s="449">
        <f>'T6'!E25</f>
        <v>401.57000000000005</v>
      </c>
      <c r="K25" s="451">
        <f>'T6 Gallon'!G25</f>
        <v>351.20400000000001</v>
      </c>
      <c r="L25" s="378">
        <f>'Delo 5W30'!G25</f>
        <v>289.38</v>
      </c>
      <c r="M25" s="378">
        <f>'Delo 5W30 Gallon'!G25</f>
        <v>359.86666666666667</v>
      </c>
      <c r="N25" s="380">
        <f>'Petro 5W30'!G25</f>
        <v>222.6</v>
      </c>
      <c r="O25" s="380">
        <f>'Petro 5W30 Gallon'!G25</f>
        <v>265.44</v>
      </c>
    </row>
    <row r="26" spans="1:15" ht="12.75" customHeight="1" x14ac:dyDescent="0.2">
      <c r="A26" s="166" t="s">
        <v>650</v>
      </c>
      <c r="B26" s="379">
        <f>'15W40'!G26</f>
        <v>178.5</v>
      </c>
      <c r="C26" s="379">
        <f>'15W40 Gallon'!G26</f>
        <v>240.23999999999998</v>
      </c>
      <c r="D26" s="442">
        <f>'10W30'!G26</f>
        <v>187.32</v>
      </c>
      <c r="E26" s="442">
        <f>'10W30 Gallon'!G26</f>
        <v>270.21111111111117</v>
      </c>
      <c r="F26" s="377">
        <f>'T5'!G26</f>
        <v>165.48</v>
      </c>
      <c r="G26" s="377">
        <f>'T5 Gallon'!G26</f>
        <v>276.38799999999998</v>
      </c>
      <c r="H26" s="379">
        <f>'Petro 10W30'!G26</f>
        <v>149.1</v>
      </c>
      <c r="I26" s="379">
        <f>'Petro 10W30Gallon'!G26</f>
        <v>172.2</v>
      </c>
      <c r="J26" s="449">
        <f>'T6'!E26</f>
        <v>377.83280000000002</v>
      </c>
      <c r="K26" s="450">
        <f>'T6 Gallon'!G26</f>
        <v>351.20400000000001</v>
      </c>
      <c r="L26" s="377">
        <f>'Delo 5W30'!G26</f>
        <v>289.38</v>
      </c>
      <c r="M26" s="377">
        <f>'Delo 5W30 Gallon'!G26</f>
        <v>359.86666666666667</v>
      </c>
      <c r="N26" s="379">
        <f>'Petro 5W30'!G26</f>
        <v>222.6</v>
      </c>
      <c r="O26" s="379">
        <f>'Petro 5W30 Gallon'!G26</f>
        <v>265.44</v>
      </c>
    </row>
    <row r="27" spans="1:15" ht="12.75" customHeight="1" x14ac:dyDescent="0.2">
      <c r="A27" s="48" t="s">
        <v>651</v>
      </c>
      <c r="B27" s="380">
        <f>'15W40'!G27</f>
        <v>161.5</v>
      </c>
      <c r="C27" s="380">
        <f>'15W40 Gallon'!G27</f>
        <v>217.35999999999999</v>
      </c>
      <c r="D27" s="443">
        <f>'10W30'!G27</f>
        <v>169.48</v>
      </c>
      <c r="E27" s="443">
        <f>'10W30 Gallon'!G27</f>
        <v>244.4767195767196</v>
      </c>
      <c r="F27" s="378">
        <f>'T5'!G27</f>
        <v>149.72</v>
      </c>
      <c r="G27" s="378">
        <f>'T5 Gallon'!G27</f>
        <v>250.06533333333329</v>
      </c>
      <c r="H27" s="379">
        <f>'Petro 10W30'!G27</f>
        <v>134.9</v>
      </c>
      <c r="I27" s="379">
        <f>'Petro 10W30Gallon'!G27</f>
        <v>155.79999999999998</v>
      </c>
      <c r="J27" s="449">
        <f>'T6'!E27</f>
        <v>284.81119999999999</v>
      </c>
      <c r="K27" s="451">
        <f>'T6 Gallon'!G27</f>
        <v>317.75600000000003</v>
      </c>
      <c r="L27" s="378">
        <f>'Delo 5W30'!G27</f>
        <v>261.82</v>
      </c>
      <c r="M27" s="378">
        <f>'Delo 5W30 Gallon'!G27</f>
        <v>325.5936507936508</v>
      </c>
      <c r="N27" s="380">
        <f>'Petro 5W30'!G27</f>
        <v>201.4</v>
      </c>
      <c r="O27" s="380">
        <f>'Petro 5W30 Gallon'!G27</f>
        <v>240.15999999999997</v>
      </c>
    </row>
    <row r="28" spans="1:15" ht="12.75" customHeight="1" x14ac:dyDescent="0.2">
      <c r="A28" s="166" t="s">
        <v>652</v>
      </c>
      <c r="B28" s="379">
        <f>'15W40'!G28</f>
        <v>59.5</v>
      </c>
      <c r="C28" s="379">
        <f>'15W40 Gallon'!G28</f>
        <v>80.08</v>
      </c>
      <c r="D28" s="442">
        <f>'10W30'!G28</f>
        <v>62.44</v>
      </c>
      <c r="E28" s="442">
        <f>'10W30 Gallon'!G28</f>
        <v>90.070370370370384</v>
      </c>
      <c r="F28" s="377">
        <f>'T5'!G28</f>
        <v>55.16</v>
      </c>
      <c r="G28" s="377">
        <f>'T5 Gallon'!G28</f>
        <v>92.129333333333321</v>
      </c>
      <c r="H28" s="379">
        <f>'Petro 10W30'!G28</f>
        <v>49.699999999999996</v>
      </c>
      <c r="I28" s="379">
        <f>'Petro 10W30Gallon'!G28</f>
        <v>57.399999999999991</v>
      </c>
      <c r="J28" s="449">
        <f>'T6'!E28</f>
        <v>103.36239999999999</v>
      </c>
      <c r="K28" s="450">
        <f>'T6 Gallon'!G28</f>
        <v>117.068</v>
      </c>
      <c r="L28" s="377">
        <f>'Delo 5W30'!G28</f>
        <v>96.46</v>
      </c>
      <c r="M28" s="377">
        <f>'Delo 5W30 Gallon'!G28</f>
        <v>119.95555555555555</v>
      </c>
      <c r="N28" s="379">
        <f>'Petro 5W30'!G28</f>
        <v>74.2</v>
      </c>
      <c r="O28" s="379">
        <f>'Petro 5W30 Gallon'!G28</f>
        <v>88.47999999999999</v>
      </c>
    </row>
    <row r="29" spans="1:15" ht="12.75" customHeight="1" x14ac:dyDescent="0.2">
      <c r="A29" s="48"/>
      <c r="B29" s="380"/>
      <c r="C29" s="380"/>
      <c r="D29" s="443"/>
      <c r="E29" s="443"/>
      <c r="F29" s="378"/>
      <c r="G29" s="378"/>
      <c r="H29" s="379"/>
      <c r="I29" s="379"/>
      <c r="J29" s="449"/>
      <c r="K29" s="451"/>
      <c r="L29" s="378"/>
      <c r="M29" s="378"/>
      <c r="N29" s="380"/>
      <c r="O29" s="380"/>
    </row>
    <row r="30" spans="1:15" ht="12.75" customHeight="1" x14ac:dyDescent="0.2">
      <c r="A30" s="166" t="s">
        <v>653</v>
      </c>
      <c r="B30" s="379">
        <f>'15W40'!G30</f>
        <v>59.5</v>
      </c>
      <c r="C30" s="379">
        <f>'15W40 Gallon'!G30</f>
        <v>80.08</v>
      </c>
      <c r="D30" s="442">
        <f>'10W30'!G30</f>
        <v>62.44</v>
      </c>
      <c r="E30" s="442">
        <f>'10W30 Gallon'!G30</f>
        <v>90.070370370370384</v>
      </c>
      <c r="F30" s="377">
        <f>'T5'!G30</f>
        <v>55.16</v>
      </c>
      <c r="G30" s="377">
        <f>'T5 Gallon'!G30</f>
        <v>92.129333333333321</v>
      </c>
      <c r="H30" s="379">
        <f>'Petro 10W30'!G30</f>
        <v>49.699999999999996</v>
      </c>
      <c r="I30" s="379">
        <f>'Petro 10W30Gallon'!G30</f>
        <v>57.399999999999991</v>
      </c>
      <c r="J30" s="449">
        <f>'T6'!E30</f>
        <v>107.67679999999999</v>
      </c>
      <c r="K30" s="450">
        <f>'T6 Gallon'!G30</f>
        <v>117.068</v>
      </c>
      <c r="L30" s="377">
        <f>'Delo 5W30'!G30</f>
        <v>96.46</v>
      </c>
      <c r="M30" s="377">
        <f>'Delo 5W30 Gallon'!G30</f>
        <v>119.95555555555555</v>
      </c>
      <c r="N30" s="379">
        <f>'Petro 5W30'!G30</f>
        <v>74.2</v>
      </c>
      <c r="O30" s="379">
        <f>'Petro 5W30 Gallon'!G30</f>
        <v>88.47999999999999</v>
      </c>
    </row>
    <row r="31" spans="1:15" ht="12.75" customHeight="1" x14ac:dyDescent="0.2">
      <c r="A31" s="48"/>
      <c r="B31" s="380"/>
      <c r="C31" s="380"/>
      <c r="D31" s="443"/>
      <c r="E31" s="443"/>
      <c r="F31" s="378"/>
      <c r="G31" s="378"/>
      <c r="H31" s="379"/>
      <c r="I31" s="379"/>
      <c r="J31" s="449"/>
      <c r="K31" s="451"/>
      <c r="L31" s="378"/>
      <c r="M31" s="378"/>
      <c r="N31" s="380"/>
      <c r="O31" s="380"/>
    </row>
    <row r="32" spans="1:15" ht="12.75" customHeight="1" x14ac:dyDescent="0.2">
      <c r="A32" s="166" t="s">
        <v>423</v>
      </c>
      <c r="B32" s="379">
        <f>'15W40'!G32</f>
        <v>59.5</v>
      </c>
      <c r="C32" s="379">
        <f>'15W40 Gallon'!G32</f>
        <v>80.08</v>
      </c>
      <c r="D32" s="442">
        <f>'10W30'!G32</f>
        <v>62.44</v>
      </c>
      <c r="E32" s="442">
        <f>'10W30 Gallon'!G32</f>
        <v>90.070370370370384</v>
      </c>
      <c r="F32" s="377">
        <f>'T5'!G32</f>
        <v>55.16</v>
      </c>
      <c r="G32" s="377">
        <f>'T5 Gallon'!G32</f>
        <v>92.129333333333321</v>
      </c>
      <c r="H32" s="379">
        <f>'Petro 10W30'!G32</f>
        <v>49.699999999999996</v>
      </c>
      <c r="I32" s="379">
        <f>'Petro 10W30Gallon'!G32</f>
        <v>57.399999999999991</v>
      </c>
      <c r="J32" s="449">
        <f>'T6'!E32</f>
        <v>189.26</v>
      </c>
      <c r="K32" s="450">
        <f>'T6 Gallon'!G32</f>
        <v>117.068</v>
      </c>
      <c r="L32" s="377">
        <f>'Delo 5W30'!G32</f>
        <v>96.46</v>
      </c>
      <c r="M32" s="377">
        <f>'Delo 5W30 Gallon'!G32</f>
        <v>119.95555555555555</v>
      </c>
      <c r="N32" s="379">
        <f>'Petro 5W30'!G32</f>
        <v>74.2</v>
      </c>
      <c r="O32" s="379">
        <f>'Petro 5W30 Gallon'!G32</f>
        <v>88.47999999999999</v>
      </c>
    </row>
    <row r="33" spans="1:15" ht="12.75" customHeight="1" x14ac:dyDescent="0.2">
      <c r="A33" s="166" t="s">
        <v>654</v>
      </c>
      <c r="B33" s="379">
        <f>'15W40'!G33</f>
        <v>59.5</v>
      </c>
      <c r="C33" s="379">
        <f>'15W40 Gallon'!G33</f>
        <v>80.08</v>
      </c>
      <c r="D33" s="442">
        <f>'10W30'!G33</f>
        <v>62.44</v>
      </c>
      <c r="E33" s="442">
        <f>'10W30 Gallon'!G33</f>
        <v>90.070370370370384</v>
      </c>
      <c r="F33" s="377">
        <f>'T5'!G33</f>
        <v>55.16</v>
      </c>
      <c r="G33" s="377">
        <f>'T5 Gallon'!G33</f>
        <v>92.129333333333321</v>
      </c>
      <c r="H33" s="379">
        <f>'Petro 10W30'!G33</f>
        <v>49.699999999999996</v>
      </c>
      <c r="I33" s="379">
        <f>'Petro 10W30Gallon'!G33</f>
        <v>57.399999999999991</v>
      </c>
      <c r="J33" s="449">
        <f>'T6'!E33</f>
        <v>120.68159999999999</v>
      </c>
      <c r="K33" s="450">
        <f>'T6 Gallon'!G33</f>
        <v>117.068</v>
      </c>
      <c r="L33" s="377">
        <f>'Delo 5W30'!G33</f>
        <v>96.46</v>
      </c>
      <c r="M33" s="377">
        <f>'Delo 5W30 Gallon'!G33</f>
        <v>119.95555555555555</v>
      </c>
      <c r="N33" s="380">
        <f>'Petro 5W30'!G33</f>
        <v>74.2</v>
      </c>
      <c r="O33" s="380">
        <f>'Petro 5W30 Gallon'!G33</f>
        <v>88.47999999999999</v>
      </c>
    </row>
    <row r="34" spans="1:15" ht="12.75" customHeight="1" x14ac:dyDescent="0.2">
      <c r="A34" s="48"/>
      <c r="B34" s="380"/>
      <c r="C34" s="380"/>
      <c r="D34" s="443"/>
      <c r="E34" s="443"/>
      <c r="F34" s="378"/>
      <c r="G34" s="378"/>
      <c r="H34" s="379"/>
      <c r="I34" s="379"/>
      <c r="J34" s="449"/>
      <c r="K34" s="451"/>
      <c r="L34" s="378"/>
      <c r="M34" s="378"/>
      <c r="N34" s="379"/>
      <c r="O34" s="379"/>
    </row>
    <row r="35" spans="1:15" ht="12.75" customHeight="1" x14ac:dyDescent="0.2">
      <c r="A35" s="166" t="s">
        <v>655</v>
      </c>
      <c r="B35" s="379">
        <f>'15W40'!G35</f>
        <v>110.5</v>
      </c>
      <c r="C35" s="379">
        <f>'15W40 Gallon'!G35</f>
        <v>148.72</v>
      </c>
      <c r="D35" s="442">
        <f>'10W30'!G35</f>
        <v>115.96</v>
      </c>
      <c r="E35" s="442">
        <f>'10W30 Gallon'!G35</f>
        <v>167.273544973545</v>
      </c>
      <c r="F35" s="377">
        <f>'T5'!G35</f>
        <v>102.44</v>
      </c>
      <c r="G35" s="377">
        <f>'T5 Gallon'!G35</f>
        <v>171.09733333333332</v>
      </c>
      <c r="H35" s="379">
        <f>'Petro 10W30'!G35</f>
        <v>92.3</v>
      </c>
      <c r="I35" s="379">
        <f>'Petro 10W30Gallon'!G35</f>
        <v>106.6</v>
      </c>
      <c r="J35" s="449">
        <f>'T6'!E35</f>
        <v>219.90880000000001</v>
      </c>
      <c r="K35" s="450">
        <f>'T6 Gallon'!G35</f>
        <v>217.41200000000001</v>
      </c>
      <c r="L35" s="377">
        <f>'Delo 5W30'!G35</f>
        <v>179.14</v>
      </c>
      <c r="M35" s="377">
        <f>'Delo 5W30 Gallon'!G35</f>
        <v>222.77460317460316</v>
      </c>
      <c r="N35" s="380">
        <f>'Petro 5W30'!G35</f>
        <v>137.79999999999998</v>
      </c>
      <c r="O35" s="380">
        <f>'Petro 5W30 Gallon'!G35</f>
        <v>164.32</v>
      </c>
    </row>
    <row r="36" spans="1:15" ht="12.75" customHeight="1" x14ac:dyDescent="0.2">
      <c r="A36" s="166" t="s">
        <v>1245</v>
      </c>
      <c r="B36" s="379">
        <f>'15W40'!G36</f>
        <v>195.5</v>
      </c>
      <c r="C36" s="379">
        <f>'15W40 Gallon'!G36</f>
        <v>263.12</v>
      </c>
      <c r="D36" s="442">
        <f>'10W30'!G36</f>
        <v>205.16</v>
      </c>
      <c r="E36" s="442">
        <f>'10W30 Gallon'!G36</f>
        <v>295.9455026455027</v>
      </c>
      <c r="F36" s="377">
        <f>'T5'!G36</f>
        <v>181.24</v>
      </c>
      <c r="G36" s="377">
        <f>'T5 Gallon'!G36</f>
        <v>302.71066666666661</v>
      </c>
      <c r="H36" s="379">
        <f>'Petro 10W30'!G36</f>
        <v>163.29999999999998</v>
      </c>
      <c r="I36" s="379">
        <f>'Petro 10W30Gallon'!G36</f>
        <v>188.6</v>
      </c>
      <c r="J36" s="449">
        <f>'T6'!E36</f>
        <v>466.94</v>
      </c>
      <c r="K36" s="450">
        <f>'T6 Gallon'!G36</f>
        <v>384.65199999999999</v>
      </c>
      <c r="L36" s="377">
        <f>'Delo 5W30'!G36</f>
        <v>316.94</v>
      </c>
      <c r="M36" s="377">
        <f>'Delo 5W30 Gallon'!G36</f>
        <v>394.13968253968255</v>
      </c>
      <c r="N36" s="379">
        <f>'Petro 5W30'!G36</f>
        <v>243.79999999999998</v>
      </c>
      <c r="O36" s="379">
        <f>'Petro 5W30 Gallon'!G36</f>
        <v>290.71999999999997</v>
      </c>
    </row>
    <row r="37" spans="1:15" ht="12.75" customHeight="1" x14ac:dyDescent="0.2">
      <c r="A37" s="48" t="s">
        <v>1249</v>
      </c>
      <c r="B37" s="379">
        <f>'15W40'!G37</f>
        <v>59.5</v>
      </c>
      <c r="C37" s="379">
        <f>'15W40 Gallon'!G37</f>
        <v>80.08</v>
      </c>
      <c r="D37" s="442">
        <f>'10W30'!G37</f>
        <v>62.44</v>
      </c>
      <c r="E37" s="442">
        <f>'10W30 Gallon'!G37</f>
        <v>90.070370370370384</v>
      </c>
      <c r="F37" s="377">
        <f>'T5'!G37</f>
        <v>55.16</v>
      </c>
      <c r="G37" s="377">
        <f>'T5 Gallon'!G37</f>
        <v>92.129333333333321</v>
      </c>
      <c r="H37" s="379">
        <f>'Petro 10W30'!G37</f>
        <v>49.699999999999996</v>
      </c>
      <c r="I37" s="379">
        <f>'Petro 10W30Gallon'!G37</f>
        <v>57.399999999999991</v>
      </c>
      <c r="J37" s="449">
        <f>'T6'!E37</f>
        <v>151.13279999999997</v>
      </c>
      <c r="K37" s="450">
        <f>'T6 Gallon'!G37</f>
        <v>117.068</v>
      </c>
      <c r="L37" s="377">
        <f>'Delo 5W30'!G37</f>
        <v>96.46</v>
      </c>
      <c r="M37" s="377">
        <f>'Delo 5W30 Gallon'!G37</f>
        <v>119.95555555555555</v>
      </c>
      <c r="N37" s="380">
        <f>'Petro 5W30'!G37</f>
        <v>74.2</v>
      </c>
      <c r="O37" s="380">
        <f>'Petro 5W30 Gallon'!G37</f>
        <v>88.47999999999999</v>
      </c>
    </row>
    <row r="38" spans="1:15" ht="12.75" customHeight="1" x14ac:dyDescent="0.2">
      <c r="A38" s="166" t="s">
        <v>1125</v>
      </c>
      <c r="B38" s="379">
        <f>'15W40'!G38</f>
        <v>59.5</v>
      </c>
      <c r="C38" s="379">
        <f>'15W40 Gallon'!G38</f>
        <v>80.08</v>
      </c>
      <c r="D38" s="442">
        <f>'10W30'!G38</f>
        <v>62.44</v>
      </c>
      <c r="E38" s="442">
        <f>'10W30 Gallon'!G38</f>
        <v>90.070370370370384</v>
      </c>
      <c r="F38" s="377">
        <f>'T5'!G38</f>
        <v>55.16</v>
      </c>
      <c r="G38" s="377">
        <f>'T5 Gallon'!G38</f>
        <v>92.129333333333321</v>
      </c>
      <c r="H38" s="379">
        <f>'Petro 10W30'!G38</f>
        <v>49.699999999999996</v>
      </c>
      <c r="I38" s="379">
        <f>'Petro 10W30Gallon'!G38</f>
        <v>57.399999999999991</v>
      </c>
      <c r="J38" s="449">
        <f>'T6'!E38</f>
        <v>137.4008</v>
      </c>
      <c r="K38" s="450">
        <f>'T6 Gallon'!G38</f>
        <v>117.068</v>
      </c>
      <c r="L38" s="377">
        <f>'Delo 5W30'!G38</f>
        <v>96.46</v>
      </c>
      <c r="M38" s="377">
        <f>'Delo 5W30 Gallon'!G38</f>
        <v>119.95555555555555</v>
      </c>
      <c r="N38" s="379">
        <f>'Petro 5W30'!G38</f>
        <v>74.2</v>
      </c>
      <c r="O38" s="379">
        <f>'Petro 5W30 Gallon'!G38</f>
        <v>88.47999999999999</v>
      </c>
    </row>
    <row r="39" spans="1:15" ht="12.75" customHeight="1" x14ac:dyDescent="0.2">
      <c r="A39" s="166" t="s">
        <v>425</v>
      </c>
      <c r="B39" s="379">
        <f>'15W40'!G39</f>
        <v>59.5</v>
      </c>
      <c r="C39" s="379">
        <f>'15W40 Gallon'!G39</f>
        <v>80.08</v>
      </c>
      <c r="D39" s="442">
        <f>'10W30'!G39</f>
        <v>62.44</v>
      </c>
      <c r="E39" s="442">
        <f>'10W30 Gallon'!G39</f>
        <v>90.070370370370384</v>
      </c>
      <c r="F39" s="377">
        <f>'T5'!G39</f>
        <v>55.16</v>
      </c>
      <c r="G39" s="377">
        <f>'T5 Gallon'!G39</f>
        <v>92.129333333333321</v>
      </c>
      <c r="H39" s="379">
        <f>'Petro 10W30'!G39</f>
        <v>49.699999999999996</v>
      </c>
      <c r="I39" s="379">
        <f>'Petro 10W30Gallon'!G39</f>
        <v>57.399999999999991</v>
      </c>
      <c r="J39" s="449">
        <f>'T6'!E39</f>
        <v>162.22999999999999</v>
      </c>
      <c r="K39" s="450">
        <f>'T6 Gallon'!G39</f>
        <v>117.068</v>
      </c>
      <c r="L39" s="377">
        <f>'Delo 5W30'!G39</f>
        <v>96.46</v>
      </c>
      <c r="M39" s="377">
        <f>'Delo 5W30 Gallon'!G39</f>
        <v>119.95555555555555</v>
      </c>
      <c r="N39" s="380">
        <f>'Petro 5W30'!G39</f>
        <v>74.2</v>
      </c>
      <c r="O39" s="380">
        <f>'Petro 5W30 Gallon'!G39</f>
        <v>88.47999999999999</v>
      </c>
    </row>
    <row r="40" spans="1:15" ht="12.75" customHeight="1" x14ac:dyDescent="0.2">
      <c r="A40" s="48"/>
      <c r="B40" s="380"/>
      <c r="C40" s="380"/>
      <c r="D40" s="443"/>
      <c r="E40" s="443"/>
      <c r="F40" s="378"/>
      <c r="G40" s="378"/>
      <c r="H40" s="379"/>
      <c r="I40" s="379"/>
      <c r="J40" s="449"/>
      <c r="K40" s="451"/>
      <c r="L40" s="378"/>
      <c r="M40" s="378"/>
      <c r="N40" s="379"/>
      <c r="O40" s="379"/>
    </row>
    <row r="41" spans="1:15" ht="12.75" customHeight="1" x14ac:dyDescent="0.2">
      <c r="A41" s="166" t="s">
        <v>907</v>
      </c>
      <c r="B41" s="379">
        <f>'15W40'!G41</f>
        <v>161.5</v>
      </c>
      <c r="C41" s="379">
        <f>'15W40 Gallon'!G41</f>
        <v>217.35999999999999</v>
      </c>
      <c r="D41" s="442">
        <f>'10W30'!G41</f>
        <v>169.48</v>
      </c>
      <c r="E41" s="442">
        <f>'10W30 Gallon'!G41</f>
        <v>244.4767195767196</v>
      </c>
      <c r="F41" s="377">
        <f>'T5'!G41</f>
        <v>149.72</v>
      </c>
      <c r="G41" s="377">
        <f>'T5 Gallon'!G41</f>
        <v>250.06533333333329</v>
      </c>
      <c r="H41" s="379">
        <f>'Petro 10W30'!G41</f>
        <v>134.9</v>
      </c>
      <c r="I41" s="379">
        <f>'Petro 10W30Gallon'!G41</f>
        <v>155.79999999999998</v>
      </c>
      <c r="J41" s="449">
        <f>'T6'!E41</f>
        <v>326.02480000000003</v>
      </c>
      <c r="K41" s="450">
        <f>'T6 Gallon'!G41</f>
        <v>317.75600000000003</v>
      </c>
      <c r="L41" s="377">
        <f>'Delo 5W30'!G41</f>
        <v>261.82</v>
      </c>
      <c r="M41" s="377">
        <f>'Delo 5W30 Gallon'!G41</f>
        <v>325.5936507936508</v>
      </c>
      <c r="N41" s="380">
        <f>'Petro 5W30'!G41</f>
        <v>201.4</v>
      </c>
      <c r="O41" s="380">
        <f>'Petro 5W30 Gallon'!G41</f>
        <v>240.15999999999997</v>
      </c>
    </row>
    <row r="42" spans="1:15" ht="12.75" customHeight="1" x14ac:dyDescent="0.2">
      <c r="A42" s="48" t="s">
        <v>911</v>
      </c>
      <c r="B42" s="380">
        <f>'15W40'!G42</f>
        <v>161.5</v>
      </c>
      <c r="C42" s="380">
        <f>'15W40 Gallon'!G42</f>
        <v>217.35999999999999</v>
      </c>
      <c r="D42" s="443">
        <f>'10W30'!G42</f>
        <v>169.48</v>
      </c>
      <c r="E42" s="443">
        <f>'10W30 Gallon'!G42</f>
        <v>244.4767195767196</v>
      </c>
      <c r="F42" s="378">
        <f>'T5'!G42</f>
        <v>149.72</v>
      </c>
      <c r="G42" s="378">
        <f>'T5 Gallon'!G42</f>
        <v>250.06533333333329</v>
      </c>
      <c r="H42" s="379">
        <f>'Petro 10W30'!G42</f>
        <v>134.9</v>
      </c>
      <c r="I42" s="379">
        <f>'Petro 10W30Gallon'!G42</f>
        <v>155.79999999999998</v>
      </c>
      <c r="J42" s="449">
        <f>'T6'!E42</f>
        <v>412.91999999999996</v>
      </c>
      <c r="K42" s="451">
        <f>'T6 Gallon'!G42</f>
        <v>317.75600000000003</v>
      </c>
      <c r="L42" s="378">
        <f>'Delo 5W30'!G42</f>
        <v>261.82</v>
      </c>
      <c r="M42" s="378">
        <f>'Delo 5W30 Gallon'!G42</f>
        <v>325.5936507936508</v>
      </c>
      <c r="N42" s="379">
        <f>'Petro 5W30'!G42</f>
        <v>201.4</v>
      </c>
      <c r="O42" s="379">
        <f>'Petro 5W30 Gallon'!G42</f>
        <v>240.15999999999997</v>
      </c>
    </row>
    <row r="43" spans="1:15" ht="12.75" customHeight="1" x14ac:dyDescent="0.2">
      <c r="A43" s="166" t="s">
        <v>909</v>
      </c>
      <c r="B43" s="379">
        <f>'15W40'!G43</f>
        <v>233.75</v>
      </c>
      <c r="C43" s="379">
        <f>'15W40 Gallon'!G43</f>
        <v>314.59999999999997</v>
      </c>
      <c r="D43" s="442">
        <f>'10W30'!G43</f>
        <v>245.3</v>
      </c>
      <c r="E43" s="442">
        <f>'10W30 Gallon'!G43</f>
        <v>353.84788359788365</v>
      </c>
      <c r="F43" s="377">
        <f>'T5'!G43</f>
        <v>216.7</v>
      </c>
      <c r="G43" s="377">
        <f>'T5 Gallon'!G43</f>
        <v>361.93666666666661</v>
      </c>
      <c r="H43" s="379">
        <f>'Petro 10W30'!G43</f>
        <v>195.25</v>
      </c>
      <c r="I43" s="379">
        <f>'Petro 10W30Gallon'!G43</f>
        <v>225.49999999999997</v>
      </c>
      <c r="J43" s="449">
        <f>'T6'!E43</f>
        <v>429.5548</v>
      </c>
      <c r="K43" s="450">
        <f>'T6 Gallon'!G43</f>
        <v>459.91</v>
      </c>
      <c r="L43" s="377">
        <f>'Delo 5W30'!G43</f>
        <v>378.95</v>
      </c>
      <c r="M43" s="377">
        <f>'Delo 5W30 Gallon'!G43</f>
        <v>471.25396825396825</v>
      </c>
      <c r="N43" s="380">
        <f>'Petro 5W30'!G43</f>
        <v>291.5</v>
      </c>
      <c r="O43" s="380">
        <f>'Petro 5W30 Gallon'!G43</f>
        <v>347.59999999999997</v>
      </c>
    </row>
    <row r="44" spans="1:15" ht="12.75" customHeight="1" x14ac:dyDescent="0.2">
      <c r="A44" s="48" t="s">
        <v>910</v>
      </c>
      <c r="B44" s="380">
        <f>'15W40'!G44</f>
        <v>233.75</v>
      </c>
      <c r="C44" s="380">
        <f>'15W40 Gallon'!G44</f>
        <v>314.59999999999997</v>
      </c>
      <c r="D44" s="443">
        <f>'10W30'!G44</f>
        <v>245.3</v>
      </c>
      <c r="E44" s="443">
        <f>'10W30 Gallon'!G44</f>
        <v>353.84788359788365</v>
      </c>
      <c r="F44" s="378">
        <f>'T5'!G44</f>
        <v>216.7</v>
      </c>
      <c r="G44" s="378">
        <f>'T5 Gallon'!G44</f>
        <v>361.93666666666661</v>
      </c>
      <c r="H44" s="379">
        <f>'Petro 10W30'!G44</f>
        <v>195.25</v>
      </c>
      <c r="I44" s="379">
        <f>'Petro 10W30Gallon'!G44</f>
        <v>225.49999999999997</v>
      </c>
      <c r="J44" s="449">
        <f>'T6'!E44</f>
        <v>516.45000000000005</v>
      </c>
      <c r="K44" s="451">
        <f>'T6 Gallon'!G44</f>
        <v>459.91</v>
      </c>
      <c r="L44" s="378">
        <f>'Delo 5W30'!G44</f>
        <v>378.95</v>
      </c>
      <c r="M44" s="378">
        <f>'Delo 5W30 Gallon'!G44</f>
        <v>471.25396825396825</v>
      </c>
      <c r="N44" s="379">
        <f>'Petro 5W30'!G44</f>
        <v>291.5</v>
      </c>
      <c r="O44" s="379">
        <f>'Petro 5W30 Gallon'!G44</f>
        <v>347.59999999999997</v>
      </c>
    </row>
    <row r="45" spans="1:15" ht="12.75" customHeight="1" x14ac:dyDescent="0.2">
      <c r="A45" s="166" t="s">
        <v>656</v>
      </c>
      <c r="B45" s="379">
        <f>'15W40'!G45</f>
        <v>161.5</v>
      </c>
      <c r="C45" s="379">
        <f>'15W40 Gallon'!G45</f>
        <v>217.35999999999999</v>
      </c>
      <c r="D45" s="442">
        <f>'10W30'!G45</f>
        <v>169.48</v>
      </c>
      <c r="E45" s="442">
        <f>'10W30 Gallon'!G45</f>
        <v>244.4767195767196</v>
      </c>
      <c r="F45" s="377">
        <f>'T5'!G45</f>
        <v>149.72</v>
      </c>
      <c r="G45" s="377">
        <f>'T5 Gallon'!G45</f>
        <v>250.06533333333329</v>
      </c>
      <c r="H45" s="379">
        <f>'Petro 10W30'!G45</f>
        <v>134.9</v>
      </c>
      <c r="I45" s="379">
        <f>'Petro 10W30Gallon'!G45</f>
        <v>155.79999999999998</v>
      </c>
      <c r="J45" s="449">
        <f>'T6'!E45</f>
        <v>289.80399999999997</v>
      </c>
      <c r="K45" s="450">
        <f>'T6 Gallon'!G45</f>
        <v>317.75600000000003</v>
      </c>
      <c r="L45" s="377">
        <f>'Delo 5W30'!G45</f>
        <v>261.82</v>
      </c>
      <c r="M45" s="377">
        <f>'Delo 5W30 Gallon'!G45</f>
        <v>325.5936507936508</v>
      </c>
      <c r="N45" s="380">
        <f>'Petro 5W30'!G45</f>
        <v>201.4</v>
      </c>
      <c r="O45" s="380">
        <f>'Petro 5W30 Gallon'!G45</f>
        <v>240.15999999999997</v>
      </c>
    </row>
    <row r="46" spans="1:15" ht="12.75" customHeight="1" x14ac:dyDescent="0.2">
      <c r="A46" s="48" t="s">
        <v>657</v>
      </c>
      <c r="B46" s="380">
        <f>'15W40'!G46</f>
        <v>221</v>
      </c>
      <c r="C46" s="380">
        <f>'15W40 Gallon'!G46</f>
        <v>297.44</v>
      </c>
      <c r="D46" s="443">
        <f>'10W30'!G46</f>
        <v>231.92</v>
      </c>
      <c r="E46" s="443">
        <f>'10W30 Gallon'!G46</f>
        <v>334.54708994709</v>
      </c>
      <c r="F46" s="378">
        <f>'T5'!G46</f>
        <v>204.88</v>
      </c>
      <c r="G46" s="378">
        <f>'T5 Gallon'!G46</f>
        <v>342.19466666666665</v>
      </c>
      <c r="H46" s="379">
        <f>'Petro 10W30'!G46</f>
        <v>184.6</v>
      </c>
      <c r="I46" s="379">
        <f>'Petro 10W30Gallon'!G46</f>
        <v>213.2</v>
      </c>
      <c r="J46" s="449">
        <f>'T6'!E46</f>
        <v>375.06400000000002</v>
      </c>
      <c r="K46" s="451">
        <f>'T6 Gallon'!G46</f>
        <v>434.82400000000001</v>
      </c>
      <c r="L46" s="378">
        <f>'Delo 5W30'!G46</f>
        <v>358.28</v>
      </c>
      <c r="M46" s="378">
        <f>'Delo 5W30 Gallon'!G46</f>
        <v>445.54920634920632</v>
      </c>
      <c r="N46" s="379">
        <f>'Petro 5W30'!G46</f>
        <v>275.59999999999997</v>
      </c>
      <c r="O46" s="379">
        <f>'Petro 5W30 Gallon'!G46</f>
        <v>328.64</v>
      </c>
    </row>
    <row r="47" spans="1:15" x14ac:dyDescent="0.2">
      <c r="A47" s="166" t="s">
        <v>658</v>
      </c>
      <c r="B47" s="379">
        <f>'15W40'!G47</f>
        <v>161.5</v>
      </c>
      <c r="C47" s="379">
        <f>'15W40 Gallon'!G47</f>
        <v>217.35999999999999</v>
      </c>
      <c r="D47" s="442">
        <f>'10W30'!G47</f>
        <v>169.48</v>
      </c>
      <c r="E47" s="442">
        <f>'10W30 Gallon'!G47</f>
        <v>244.4767195767196</v>
      </c>
      <c r="F47" s="377">
        <f>'T5'!G47</f>
        <v>149.72</v>
      </c>
      <c r="G47" s="377">
        <f>'T5 Gallon'!G47</f>
        <v>250.06533333333329</v>
      </c>
      <c r="H47" s="379">
        <f>'Petro 10W30'!G47</f>
        <v>134.9</v>
      </c>
      <c r="I47" s="379">
        <f>'Petro 10W30Gallon'!G47</f>
        <v>155.79999999999998</v>
      </c>
      <c r="J47" s="449">
        <f>'T6'!E47</f>
        <v>400.80999999999995</v>
      </c>
      <c r="K47" s="450">
        <f>'T6 Gallon'!G47</f>
        <v>317.75600000000003</v>
      </c>
      <c r="L47" s="377">
        <f>'Delo 5W30'!G47</f>
        <v>261.82</v>
      </c>
      <c r="M47" s="377">
        <f>'Delo 5W30 Gallon'!G47</f>
        <v>325.5936507936508</v>
      </c>
      <c r="N47" s="380">
        <f>'Petro 5W30'!G47</f>
        <v>201.4</v>
      </c>
      <c r="O47" s="380">
        <f>'Petro 5W30 Gallon'!G47</f>
        <v>240.15999999999997</v>
      </c>
    </row>
    <row r="48" spans="1:15" x14ac:dyDescent="0.2">
      <c r="A48" s="166" t="s">
        <v>659</v>
      </c>
      <c r="B48" s="379">
        <f>'15W40'!G48</f>
        <v>221</v>
      </c>
      <c r="C48" s="379">
        <f>'15W40 Gallon'!G48</f>
        <v>297.44</v>
      </c>
      <c r="D48" s="442">
        <f>'10W30'!G48</f>
        <v>231.92</v>
      </c>
      <c r="E48" s="442">
        <f>'10W30 Gallon'!G48</f>
        <v>334.54708994709</v>
      </c>
      <c r="F48" s="377">
        <f>'T5'!G48</f>
        <v>204.88</v>
      </c>
      <c r="G48" s="377">
        <f>'T5 Gallon'!G48</f>
        <v>342.19466666666665</v>
      </c>
      <c r="H48" s="379">
        <f>'Petro 10W30'!G48</f>
        <v>184.6</v>
      </c>
      <c r="I48" s="379">
        <f>'Petro 10W30Gallon'!G48</f>
        <v>213.2</v>
      </c>
      <c r="J48" s="449">
        <f>'T6'!E48</f>
        <v>486.07</v>
      </c>
      <c r="K48" s="450">
        <f>'T6 Gallon'!G48</f>
        <v>434.82400000000001</v>
      </c>
      <c r="L48" s="377">
        <f>'Delo 5W30'!G48</f>
        <v>358.28</v>
      </c>
      <c r="M48" s="377">
        <f>'Delo 5W30 Gallon'!G48</f>
        <v>445.54920634920632</v>
      </c>
      <c r="N48" s="379">
        <f>'Petro 5W30'!G48</f>
        <v>275.59999999999997</v>
      </c>
      <c r="O48" s="379">
        <f>'Petro 5W30 Gallon'!G48</f>
        <v>328.64</v>
      </c>
    </row>
    <row r="49" spans="1:15" x14ac:dyDescent="0.2">
      <c r="A49" s="48"/>
      <c r="B49" s="380"/>
      <c r="C49" s="380"/>
      <c r="D49" s="443"/>
      <c r="E49" s="443"/>
      <c r="F49" s="378"/>
      <c r="G49" s="378"/>
      <c r="H49" s="379"/>
      <c r="I49" s="379"/>
      <c r="J49" s="449"/>
      <c r="K49" s="451"/>
      <c r="L49" s="378"/>
      <c r="M49" s="378"/>
      <c r="N49" s="380"/>
      <c r="O49" s="380"/>
    </row>
    <row r="50" spans="1:15" x14ac:dyDescent="0.2">
      <c r="A50" s="166" t="s">
        <v>660</v>
      </c>
      <c r="B50" s="379">
        <f>'15W40'!G50</f>
        <v>110.5</v>
      </c>
      <c r="C50" s="379">
        <f>'15W40 Gallon'!G50</f>
        <v>148.72</v>
      </c>
      <c r="D50" s="442">
        <f>'10W30'!G50</f>
        <v>115.96</v>
      </c>
      <c r="E50" s="442">
        <f>'10W30 Gallon'!G50</f>
        <v>167.273544973545</v>
      </c>
      <c r="F50" s="377">
        <f>'T5'!G50</f>
        <v>102.44</v>
      </c>
      <c r="G50" s="377">
        <f>'T5 Gallon'!G50</f>
        <v>171.09733333333332</v>
      </c>
      <c r="H50" s="379">
        <f>'Petro 10W30'!G50</f>
        <v>92.3</v>
      </c>
      <c r="I50" s="379">
        <f>'Petro 10W30Gallon'!G50</f>
        <v>106.6</v>
      </c>
      <c r="J50" s="449">
        <f>'T6'!E50</f>
        <v>389.02</v>
      </c>
      <c r="K50" s="450">
        <f>'T6 Gallon'!G50</f>
        <v>217.41200000000001</v>
      </c>
      <c r="L50" s="377">
        <f>'Delo 5W30'!G50</f>
        <v>179.14</v>
      </c>
      <c r="M50" s="377">
        <f>'Delo 5W30 Gallon'!G50</f>
        <v>222.77460317460316</v>
      </c>
      <c r="N50" s="379">
        <f>'Petro 5W30'!G50</f>
        <v>137.79999999999998</v>
      </c>
      <c r="O50" s="379">
        <f>'Petro 5W30 Gallon'!G50</f>
        <v>164.32</v>
      </c>
    </row>
    <row r="51" spans="1:15" x14ac:dyDescent="0.2">
      <c r="A51" s="166" t="s">
        <v>661</v>
      </c>
      <c r="B51" s="379">
        <f>'15W40'!G51</f>
        <v>110.5</v>
      </c>
      <c r="C51" s="379">
        <f>'15W40 Gallon'!G51</f>
        <v>148.72</v>
      </c>
      <c r="D51" s="442">
        <f>'10W30'!G51</f>
        <v>115.96</v>
      </c>
      <c r="E51" s="442">
        <f>'10W30 Gallon'!G51</f>
        <v>167.273544973545</v>
      </c>
      <c r="F51" s="377">
        <f>'T5'!G51</f>
        <v>102.44</v>
      </c>
      <c r="G51" s="377">
        <f>'T5 Gallon'!G51</f>
        <v>171.09733333333332</v>
      </c>
      <c r="H51" s="379">
        <f>'Petro 10W30'!G51</f>
        <v>92.3</v>
      </c>
      <c r="I51" s="379">
        <f>'Petro 10W30Gallon'!G51</f>
        <v>106.6</v>
      </c>
      <c r="J51" s="449">
        <f>'T6'!E51</f>
        <v>311.51599999999996</v>
      </c>
      <c r="K51" s="450">
        <f>'T6 Gallon'!G51</f>
        <v>217.41200000000001</v>
      </c>
      <c r="L51" s="377">
        <f>'Delo 5W30'!G51</f>
        <v>179.14</v>
      </c>
      <c r="M51" s="377">
        <f>'Delo 5W30 Gallon'!G51</f>
        <v>222.77460317460316</v>
      </c>
      <c r="N51" s="380">
        <f>'Petro 5W30'!G51</f>
        <v>137.79999999999998</v>
      </c>
      <c r="O51" s="380">
        <f>'Petro 5W30 Gallon'!G51</f>
        <v>164.32</v>
      </c>
    </row>
    <row r="52" spans="1:15" x14ac:dyDescent="0.2">
      <c r="A52" s="48" t="s">
        <v>662</v>
      </c>
      <c r="B52" s="380">
        <f>'15W40'!G52</f>
        <v>161.5</v>
      </c>
      <c r="C52" s="380">
        <f>'15W40 Gallon'!G52</f>
        <v>217.35999999999999</v>
      </c>
      <c r="D52" s="443">
        <f>'10W30'!G52</f>
        <v>169.48</v>
      </c>
      <c r="E52" s="443">
        <f>'10W30 Gallon'!G52</f>
        <v>244.4767195767196</v>
      </c>
      <c r="F52" s="378">
        <f>'T5'!G52</f>
        <v>149.72</v>
      </c>
      <c r="G52" s="378">
        <f>'T5 Gallon'!G52</f>
        <v>250.06533333333329</v>
      </c>
      <c r="H52" s="379">
        <f>'Petro 10W30'!G52</f>
        <v>134.9</v>
      </c>
      <c r="I52" s="379">
        <f>'Petro 10W30Gallon'!G52</f>
        <v>155.79999999999998</v>
      </c>
      <c r="J52" s="449">
        <f>'T6'!E52</f>
        <v>404.11</v>
      </c>
      <c r="K52" s="451">
        <f>'T6 Gallon'!G52</f>
        <v>317.75600000000003</v>
      </c>
      <c r="L52" s="378">
        <f>'Delo 5W30'!G52</f>
        <v>261.82</v>
      </c>
      <c r="M52" s="378">
        <f>'Delo 5W30 Gallon'!G52</f>
        <v>325.5936507936508</v>
      </c>
      <c r="N52" s="379">
        <f>'Petro 5W30'!G52</f>
        <v>201.4</v>
      </c>
      <c r="O52" s="379">
        <f>'Petro 5W30 Gallon'!G52</f>
        <v>240.15999999999997</v>
      </c>
    </row>
    <row r="53" spans="1:15" x14ac:dyDescent="0.2">
      <c r="A53" s="166" t="s">
        <v>663</v>
      </c>
      <c r="B53" s="379">
        <f>'15W40'!G53</f>
        <v>161.5</v>
      </c>
      <c r="C53" s="379">
        <f>'15W40 Gallon'!G53</f>
        <v>217.35999999999999</v>
      </c>
      <c r="D53" s="442">
        <f>'10W30'!G53</f>
        <v>169.48</v>
      </c>
      <c r="E53" s="442">
        <f>'10W30 Gallon'!G53</f>
        <v>244.4767195767196</v>
      </c>
      <c r="F53" s="377">
        <f>'T5'!G53</f>
        <v>149.72</v>
      </c>
      <c r="G53" s="377">
        <f>'T5 Gallon'!G53</f>
        <v>250.06533333333329</v>
      </c>
      <c r="H53" s="379">
        <f>'Petro 10W30'!G53</f>
        <v>134.9</v>
      </c>
      <c r="I53" s="379">
        <f>'Petro 10W30Gallon'!G53</f>
        <v>155.79999999999998</v>
      </c>
      <c r="J53" s="449">
        <f>'T6'!E53</f>
        <v>328.22319999999996</v>
      </c>
      <c r="K53" s="450">
        <f>'T6 Gallon'!G53</f>
        <v>317.75600000000003</v>
      </c>
      <c r="L53" s="377">
        <f>'Delo 5W30'!G53</f>
        <v>261.82</v>
      </c>
      <c r="M53" s="377">
        <f>'Delo 5W30 Gallon'!G53</f>
        <v>325.5936507936508</v>
      </c>
      <c r="N53" s="380">
        <f>'Petro 5W30'!G53</f>
        <v>201.4</v>
      </c>
      <c r="O53" s="380">
        <f>'Petro 5W30 Gallon'!G53</f>
        <v>240.15999999999997</v>
      </c>
    </row>
    <row r="54" spans="1:15" x14ac:dyDescent="0.2">
      <c r="A54" s="48"/>
      <c r="B54" s="380"/>
      <c r="C54" s="380"/>
      <c r="D54" s="443"/>
      <c r="E54" s="443"/>
      <c r="F54" s="378"/>
      <c r="G54" s="378"/>
      <c r="H54" s="379"/>
      <c r="I54" s="379"/>
      <c r="J54" s="449"/>
      <c r="K54" s="451"/>
      <c r="L54" s="378"/>
      <c r="M54" s="378"/>
      <c r="N54" s="379"/>
      <c r="O54" s="379"/>
    </row>
    <row r="55" spans="1:15" x14ac:dyDescent="0.2">
      <c r="A55" s="166" t="s">
        <v>665</v>
      </c>
      <c r="B55" s="379">
        <f>'15W40'!G55</f>
        <v>199.75</v>
      </c>
      <c r="C55" s="379">
        <f>'15W40 Gallon'!G55</f>
        <v>268.83999999999997</v>
      </c>
      <c r="D55" s="442">
        <f>'10W30'!G55</f>
        <v>209.62</v>
      </c>
      <c r="E55" s="442">
        <f>'10W30 Gallon'!G55</f>
        <v>302.37910052910058</v>
      </c>
      <c r="F55" s="377">
        <f>'T5'!G55</f>
        <v>185.18</v>
      </c>
      <c r="G55" s="377">
        <f>'T5 Gallon'!G55</f>
        <v>309.29133333333328</v>
      </c>
      <c r="H55" s="379">
        <f>'Petro 10W30'!G55</f>
        <v>166.85</v>
      </c>
      <c r="I55" s="379">
        <f>'Petro 10W30Gallon'!G55</f>
        <v>192.7</v>
      </c>
      <c r="J55" s="449">
        <f>'T6'!E55</f>
        <v>344.24</v>
      </c>
      <c r="K55" s="450">
        <f>'T6 Gallon'!G55</f>
        <v>393.01400000000001</v>
      </c>
      <c r="L55" s="377">
        <f>'Delo 5W30'!G55</f>
        <v>323.83</v>
      </c>
      <c r="M55" s="377">
        <f>'Delo 5W30 Gallon'!G55</f>
        <v>402.70793650793649</v>
      </c>
      <c r="N55" s="380">
        <f>'Petro 5W30'!G55</f>
        <v>249.1</v>
      </c>
      <c r="O55" s="380">
        <f>'Petro 5W30 Gallon'!G55</f>
        <v>297.03999999999996</v>
      </c>
    </row>
    <row r="56" spans="1:15" x14ac:dyDescent="0.2">
      <c r="A56" s="48" t="s">
        <v>666</v>
      </c>
      <c r="B56" s="380">
        <f>'15W40'!G56</f>
        <v>199.75</v>
      </c>
      <c r="C56" s="380">
        <f>'15W40 Gallon'!G56</f>
        <v>268.83999999999997</v>
      </c>
      <c r="D56" s="443">
        <f>'10W30'!G56</f>
        <v>209.62</v>
      </c>
      <c r="E56" s="443">
        <f>'10W30 Gallon'!G56</f>
        <v>302.37910052910058</v>
      </c>
      <c r="F56" s="378">
        <f>'T5'!G56</f>
        <v>185.18</v>
      </c>
      <c r="G56" s="378">
        <f>'T5 Gallon'!G56</f>
        <v>309.29133333333328</v>
      </c>
      <c r="H56" s="379">
        <f>'Petro 10W30'!G56</f>
        <v>166.85</v>
      </c>
      <c r="I56" s="379">
        <f>'Petro 10W30Gallon'!G56</f>
        <v>192.7</v>
      </c>
      <c r="J56" s="449">
        <f>'T6'!E56</f>
        <v>335.67160000000001</v>
      </c>
      <c r="K56" s="451">
        <f>'T6 Gallon'!G56</f>
        <v>393.01400000000001</v>
      </c>
      <c r="L56" s="378">
        <f>'Delo 5W30'!G56</f>
        <v>323.83</v>
      </c>
      <c r="M56" s="378">
        <f>'Delo 5W30 Gallon'!G56</f>
        <v>402.70793650793649</v>
      </c>
      <c r="N56" s="379">
        <f>'Petro 5W30'!G56</f>
        <v>249.1</v>
      </c>
      <c r="O56" s="379">
        <f>'Petro 5W30 Gallon'!G56</f>
        <v>297.03999999999996</v>
      </c>
    </row>
    <row r="57" spans="1:15" x14ac:dyDescent="0.2">
      <c r="A57" s="166" t="s">
        <v>667</v>
      </c>
      <c r="B57" s="379">
        <f>'15W40'!G57</f>
        <v>110.5</v>
      </c>
      <c r="C57" s="379">
        <f>'15W40 Gallon'!G57</f>
        <v>148.72</v>
      </c>
      <c r="D57" s="442">
        <f>'10W30'!G57</f>
        <v>115.96</v>
      </c>
      <c r="E57" s="442">
        <f>'10W30 Gallon'!G57</f>
        <v>167.273544973545</v>
      </c>
      <c r="F57" s="377">
        <f>'T5'!G57</f>
        <v>102.44</v>
      </c>
      <c r="G57" s="377">
        <f>'T5 Gallon'!G57</f>
        <v>171.09733333333332</v>
      </c>
      <c r="H57" s="379">
        <f>'Petro 10W30'!G57</f>
        <v>92.3</v>
      </c>
      <c r="I57" s="379">
        <f>'Petro 10W30Gallon'!G57</f>
        <v>106.6</v>
      </c>
      <c r="J57" s="449">
        <f>'T6'!E57</f>
        <v>213.89</v>
      </c>
      <c r="K57" s="450">
        <f>'T6 Gallon'!G57</f>
        <v>217.41200000000001</v>
      </c>
      <c r="L57" s="377">
        <f>'Delo 5W30'!G57</f>
        <v>179.14</v>
      </c>
      <c r="M57" s="377">
        <f>'Delo 5W30 Gallon'!G57</f>
        <v>222.77460317460316</v>
      </c>
      <c r="N57" s="380">
        <f>'Petro 5W30'!G57</f>
        <v>137.79999999999998</v>
      </c>
      <c r="O57" s="380">
        <f>'Petro 5W30 Gallon'!G57</f>
        <v>164.32</v>
      </c>
    </row>
    <row r="58" spans="1:15" x14ac:dyDescent="0.2">
      <c r="A58" s="48" t="s">
        <v>668</v>
      </c>
      <c r="B58" s="380">
        <f>'15W40'!G58</f>
        <v>110.5</v>
      </c>
      <c r="C58" s="380">
        <f>'15W40 Gallon'!G58</f>
        <v>148.72</v>
      </c>
      <c r="D58" s="443">
        <f>'10W30'!G58</f>
        <v>115.96</v>
      </c>
      <c r="E58" s="443">
        <f>'10W30 Gallon'!G58</f>
        <v>167.273544973545</v>
      </c>
      <c r="F58" s="378">
        <f>'T5'!G58</f>
        <v>102.44</v>
      </c>
      <c r="G58" s="378">
        <f>'T5 Gallon'!G58</f>
        <v>171.09733333333332</v>
      </c>
      <c r="H58" s="379">
        <f>'Petro 10W30'!G58</f>
        <v>92.3</v>
      </c>
      <c r="I58" s="379">
        <f>'Petro 10W30Gallon'!G58</f>
        <v>106.6</v>
      </c>
      <c r="J58" s="449">
        <f>'T6'!E58</f>
        <v>199.816</v>
      </c>
      <c r="K58" s="451">
        <f>'T6 Gallon'!G58</f>
        <v>217.41200000000001</v>
      </c>
      <c r="L58" s="378">
        <f>'Delo 5W30'!G58</f>
        <v>179.14</v>
      </c>
      <c r="M58" s="378">
        <f>'Delo 5W30 Gallon'!G58</f>
        <v>222.77460317460316</v>
      </c>
      <c r="N58" s="379">
        <f>'Petro 5W30'!G58</f>
        <v>137.79999999999998</v>
      </c>
      <c r="O58" s="379">
        <f>'Petro 5W30 Gallon'!G58</f>
        <v>164.32</v>
      </c>
    </row>
    <row r="59" spans="1:15" x14ac:dyDescent="0.2">
      <c r="A59" s="166" t="s">
        <v>669</v>
      </c>
      <c r="B59" s="379">
        <f>'15W40'!G59</f>
        <v>102</v>
      </c>
      <c r="C59" s="379">
        <f>'15W40 Gallon'!G59</f>
        <v>137.28</v>
      </c>
      <c r="D59" s="442">
        <f>'10W30'!G59</f>
        <v>107.03999999999999</v>
      </c>
      <c r="E59" s="442">
        <f>'10W30 Gallon'!G59</f>
        <v>154.40634920634923</v>
      </c>
      <c r="F59" s="377">
        <f>'T5'!G59</f>
        <v>94.56</v>
      </c>
      <c r="G59" s="377">
        <f>'T5 Gallon'!G59</f>
        <v>157.93599999999998</v>
      </c>
      <c r="H59" s="379">
        <f>'Petro 10W30'!G59</f>
        <v>85.199999999999989</v>
      </c>
      <c r="I59" s="379">
        <f>'Petro 10W30Gallon'!G59</f>
        <v>98.399999999999991</v>
      </c>
      <c r="J59" s="449">
        <f>'T6'!E59</f>
        <v>154.16</v>
      </c>
      <c r="K59" s="450">
        <f>'T6 Gallon'!G59</f>
        <v>133.792</v>
      </c>
      <c r="L59" s="377">
        <f>'Delo 5W30'!G59</f>
        <v>165.35999999999999</v>
      </c>
      <c r="M59" s="377">
        <f>'Delo 5W30 Gallon'!G59</f>
        <v>205.63809523809522</v>
      </c>
      <c r="N59" s="380">
        <f>'Petro 5W30'!G59</f>
        <v>127.19999999999999</v>
      </c>
      <c r="O59" s="380">
        <f>'Petro 5W30 Gallon'!G59</f>
        <v>151.67999999999998</v>
      </c>
    </row>
    <row r="60" spans="1:15" x14ac:dyDescent="0.2">
      <c r="A60" s="166" t="s">
        <v>691</v>
      </c>
      <c r="B60" s="379">
        <f>'15W40'!G60</f>
        <v>55.25</v>
      </c>
      <c r="C60" s="379">
        <f>'15W40 Gallon'!G60</f>
        <v>74.36</v>
      </c>
      <c r="D60" s="442">
        <f>'10W30'!G60</f>
        <v>57.98</v>
      </c>
      <c r="E60" s="442">
        <f>'10W30 Gallon'!G60</f>
        <v>83.6367724867725</v>
      </c>
      <c r="F60" s="377">
        <f>'T5'!G60</f>
        <v>51.22</v>
      </c>
      <c r="G60" s="377">
        <f>'T5 Gallon'!G60</f>
        <v>85.548666666666662</v>
      </c>
      <c r="H60" s="379">
        <f>'Petro 10W30'!G60</f>
        <v>46.15</v>
      </c>
      <c r="I60" s="379">
        <f>'Petro 10W30Gallon'!G60</f>
        <v>53.3</v>
      </c>
      <c r="J60" s="449">
        <f>'T6'!E60</f>
        <v>160.41000000000003</v>
      </c>
      <c r="K60" s="450">
        <f>'T6 Gallon'!G60</f>
        <v>108.706</v>
      </c>
      <c r="L60" s="377">
        <f>'Delo 5W30'!G60</f>
        <v>89.57</v>
      </c>
      <c r="M60" s="377">
        <f>'Delo 5W30 Gallon'!G60</f>
        <v>111.38730158730158</v>
      </c>
      <c r="N60" s="379">
        <f>'Petro 5W30'!G60</f>
        <v>68.899999999999991</v>
      </c>
      <c r="O60" s="379">
        <f>'Petro 5W30 Gallon'!G60</f>
        <v>82.16</v>
      </c>
    </row>
    <row r="61" spans="1:15" x14ac:dyDescent="0.2">
      <c r="A61" s="48"/>
      <c r="B61" s="380"/>
      <c r="C61" s="380"/>
      <c r="D61" s="443"/>
      <c r="E61" s="443"/>
      <c r="F61" s="378"/>
      <c r="G61" s="378"/>
      <c r="H61" s="445"/>
      <c r="I61" s="445"/>
      <c r="J61" s="453"/>
      <c r="K61" s="451"/>
      <c r="L61" s="378"/>
      <c r="M61" s="378"/>
      <c r="N61" s="380"/>
      <c r="O61" s="380"/>
    </row>
    <row r="62" spans="1:15" x14ac:dyDescent="0.2">
      <c r="A62" s="48"/>
      <c r="B62" s="380"/>
      <c r="C62" s="380"/>
      <c r="D62" s="443"/>
      <c r="E62" s="443"/>
      <c r="F62" s="378"/>
      <c r="G62" s="378"/>
      <c r="H62" s="380"/>
      <c r="I62" s="380"/>
      <c r="J62" s="454"/>
      <c r="K62" s="451"/>
      <c r="L62" s="378"/>
      <c r="M62" s="378"/>
      <c r="N62" s="380"/>
      <c r="O62" s="380"/>
    </row>
    <row r="63" spans="1:15" x14ac:dyDescent="0.2">
      <c r="A63" s="166" t="s">
        <v>673</v>
      </c>
      <c r="B63" s="379">
        <f>'15W40'!G63</f>
        <v>110.5</v>
      </c>
      <c r="C63" s="379">
        <f>'15W40 Gallon'!G63</f>
        <v>148.72</v>
      </c>
      <c r="D63" s="442">
        <f>'10W30'!G63</f>
        <v>115.96</v>
      </c>
      <c r="E63" s="442">
        <f>'10W30 Gallon'!G63</f>
        <v>167.273544973545</v>
      </c>
      <c r="F63" s="377">
        <f>'T5'!G63</f>
        <v>102.44</v>
      </c>
      <c r="G63" s="377">
        <f>'T5 Gallon'!G63</f>
        <v>171.09733333333332</v>
      </c>
      <c r="H63" s="379">
        <f>'Petro 10W30'!G63</f>
        <v>92.3</v>
      </c>
      <c r="I63" s="379">
        <f>'Petro 10W30Gallon'!G63</f>
        <v>106.6</v>
      </c>
      <c r="J63" s="449">
        <f>'T6'!E63</f>
        <v>204.3664</v>
      </c>
      <c r="K63" s="450">
        <f>'T6 Gallon'!G63</f>
        <v>217.41200000000001</v>
      </c>
      <c r="L63" s="377">
        <f>'Delo 5W30'!G63</f>
        <v>179.14</v>
      </c>
      <c r="M63" s="377">
        <f>'Delo 5W30 Gallon'!G63</f>
        <v>222.77460317460316</v>
      </c>
      <c r="N63" s="379">
        <f>'Petro 5W30'!G63</f>
        <v>137.79999999999998</v>
      </c>
      <c r="O63" s="379">
        <f>'Petro 5W30 Gallon'!G63</f>
        <v>164.32</v>
      </c>
    </row>
    <row r="64" spans="1:15" x14ac:dyDescent="0.2">
      <c r="A64" s="48"/>
      <c r="B64" s="380"/>
      <c r="C64" s="380"/>
      <c r="D64" s="443"/>
      <c r="E64" s="443"/>
      <c r="F64" s="378"/>
      <c r="G64" s="378"/>
      <c r="H64" s="379"/>
      <c r="I64" s="379"/>
      <c r="J64" s="449"/>
      <c r="K64" s="451"/>
      <c r="L64" s="378"/>
      <c r="M64" s="378"/>
      <c r="N64" s="380"/>
      <c r="O64" s="380"/>
    </row>
    <row r="65" spans="1:15" x14ac:dyDescent="0.2">
      <c r="A65" s="166" t="s">
        <v>674</v>
      </c>
      <c r="B65" s="379">
        <f>'15W40'!G65</f>
        <v>195.5</v>
      </c>
      <c r="C65" s="379">
        <f>'15W40 Gallon'!G65</f>
        <v>263.12</v>
      </c>
      <c r="D65" s="442">
        <f>'10W30'!G65</f>
        <v>205.16</v>
      </c>
      <c r="E65" s="442">
        <f>'10W30 Gallon'!G65</f>
        <v>295.9455026455027</v>
      </c>
      <c r="F65" s="377">
        <f>'T5'!G65</f>
        <v>181.24</v>
      </c>
      <c r="G65" s="377">
        <f>'T5 Gallon'!G65</f>
        <v>302.71066666666661</v>
      </c>
      <c r="H65" s="379">
        <f>'Petro 10W30'!G65</f>
        <v>163.29999999999998</v>
      </c>
      <c r="I65" s="379">
        <f>'Petro 10W30Gallon'!G65</f>
        <v>188.6</v>
      </c>
      <c r="J65" s="449">
        <f>'T6'!E65</f>
        <v>450.19</v>
      </c>
      <c r="K65" s="450">
        <f>'T6 Gallon'!G65</f>
        <v>384.65199999999999</v>
      </c>
      <c r="L65" s="377">
        <f>'Delo 5W30'!G65</f>
        <v>316.94</v>
      </c>
      <c r="M65" s="377">
        <f>'Delo 5W30 Gallon'!G65</f>
        <v>394.13968253968255</v>
      </c>
      <c r="N65" s="379">
        <f>'Petro 5W30'!G65</f>
        <v>243.79999999999998</v>
      </c>
      <c r="O65" s="379">
        <f>'Petro 5W30 Gallon'!G65</f>
        <v>290.71999999999997</v>
      </c>
    </row>
    <row r="66" spans="1:15" x14ac:dyDescent="0.2">
      <c r="A66" s="48" t="s">
        <v>675</v>
      </c>
      <c r="B66" s="380">
        <f>'15W40'!G66</f>
        <v>195.5</v>
      </c>
      <c r="C66" s="380">
        <f>'15W40 Gallon'!G66</f>
        <v>263.12</v>
      </c>
      <c r="D66" s="443">
        <f>'10W30'!G66</f>
        <v>205.16</v>
      </c>
      <c r="E66" s="443">
        <f>'10W30 Gallon'!G66</f>
        <v>295.9455026455027</v>
      </c>
      <c r="F66" s="378">
        <f>'T5'!G66</f>
        <v>181.24</v>
      </c>
      <c r="G66" s="378">
        <f>'T5 Gallon'!G66</f>
        <v>302.71066666666661</v>
      </c>
      <c r="H66" s="379">
        <f>'Petro 10W30'!G66</f>
        <v>163.29999999999998</v>
      </c>
      <c r="I66" s="379">
        <f>'Petro 10W30Gallon'!G66</f>
        <v>188.6</v>
      </c>
      <c r="J66" s="449">
        <f>'T6'!E66</f>
        <v>367.98719999999997</v>
      </c>
      <c r="K66" s="451">
        <f>'T6 Gallon'!G66</f>
        <v>384.65199999999999</v>
      </c>
      <c r="L66" s="378">
        <f>'Delo 5W30'!G66</f>
        <v>316.94</v>
      </c>
      <c r="M66" s="378">
        <f>'Delo 5W30 Gallon'!G66</f>
        <v>394.13968253968255</v>
      </c>
      <c r="N66" s="380">
        <f>'Petro 5W30'!G66</f>
        <v>243.79999999999998</v>
      </c>
      <c r="O66" s="380">
        <f>'Petro 5W30 Gallon'!G66</f>
        <v>290.71999999999997</v>
      </c>
    </row>
    <row r="67" spans="1:15" x14ac:dyDescent="0.2">
      <c r="A67" s="166" t="s">
        <v>676</v>
      </c>
      <c r="B67" s="379">
        <f>'15W40'!G67</f>
        <v>102</v>
      </c>
      <c r="C67" s="379">
        <f>'15W40 Gallon'!G67</f>
        <v>137.28</v>
      </c>
      <c r="D67" s="442">
        <f>'10W30'!G67</f>
        <v>107.03999999999999</v>
      </c>
      <c r="E67" s="442">
        <f>'10W30 Gallon'!G67</f>
        <v>154.40634920634923</v>
      </c>
      <c r="F67" s="377">
        <f>'T5'!G67</f>
        <v>94.56</v>
      </c>
      <c r="G67" s="377">
        <f>'T5 Gallon'!G67</f>
        <v>157.93599999999998</v>
      </c>
      <c r="H67" s="379">
        <f>'Petro 10W30'!G67</f>
        <v>85.199999999999989</v>
      </c>
      <c r="I67" s="379">
        <f>'Petro 10W30Gallon'!G67</f>
        <v>98.399999999999991</v>
      </c>
      <c r="J67" s="449">
        <f>'T6'!E67</f>
        <v>180.84800000000001</v>
      </c>
      <c r="K67" s="450">
        <f>'T6 Gallon'!G67</f>
        <v>200.68799999999999</v>
      </c>
      <c r="L67" s="377">
        <f>'Delo 5W30'!G67</f>
        <v>165.35999999999999</v>
      </c>
      <c r="M67" s="377">
        <f>'Delo 5W30 Gallon'!G67</f>
        <v>205.63809523809522</v>
      </c>
      <c r="N67" s="379">
        <f>'Petro 5W30'!G67</f>
        <v>127.19999999999999</v>
      </c>
      <c r="O67" s="379">
        <f>'Petro 5W30 Gallon'!G67</f>
        <v>151.67999999999998</v>
      </c>
    </row>
    <row r="68" spans="1:15" x14ac:dyDescent="0.2">
      <c r="B68" s="380"/>
      <c r="C68" s="380"/>
      <c r="D68" s="443"/>
      <c r="E68" s="443"/>
      <c r="F68" s="378"/>
      <c r="G68" s="378"/>
      <c r="H68" s="379"/>
      <c r="I68" s="379"/>
      <c r="J68" s="449"/>
      <c r="K68" s="451"/>
      <c r="L68" s="378"/>
      <c r="M68" s="378"/>
      <c r="N68" s="380"/>
      <c r="O68" s="380"/>
    </row>
    <row r="69" spans="1:15" x14ac:dyDescent="0.2">
      <c r="A69" s="166" t="s">
        <v>677</v>
      </c>
      <c r="B69" s="379">
        <f>'15W40'!G69</f>
        <v>144.5</v>
      </c>
      <c r="C69" s="379">
        <f>'15W40 Gallon'!G69</f>
        <v>194.48</v>
      </c>
      <c r="D69" s="442">
        <f>'10W30'!G69</f>
        <v>151.63999999999999</v>
      </c>
      <c r="E69" s="442">
        <f>'10W30 Gallon'!G69</f>
        <v>218.74232804232807</v>
      </c>
      <c r="F69" s="377">
        <f>'T5'!G69</f>
        <v>133.96</v>
      </c>
      <c r="G69" s="377">
        <f>'T5 Gallon'!G69</f>
        <v>223.74266666666665</v>
      </c>
      <c r="H69" s="379">
        <f>'Petro 10W30'!G69</f>
        <v>120.69999999999999</v>
      </c>
      <c r="I69" s="379">
        <f>'Petro 10W30Gallon'!G69</f>
        <v>139.39999999999998</v>
      </c>
      <c r="J69" s="449">
        <f>'T6'!E69</f>
        <v>301.66480000000001</v>
      </c>
      <c r="K69" s="450">
        <f>'T6 Gallon'!G69</f>
        <v>284.30799999999999</v>
      </c>
      <c r="L69" s="377">
        <f>'Delo 5W30'!G69</f>
        <v>234.26</v>
      </c>
      <c r="M69" s="377">
        <f>'Delo 5W30 Gallon'!G69</f>
        <v>291.32063492063492</v>
      </c>
      <c r="N69" s="379">
        <f>'Petro 5W30'!G69</f>
        <v>180.2</v>
      </c>
      <c r="O69" s="379">
        <f>'Petro 5W30 Gallon'!G69</f>
        <v>214.87999999999997</v>
      </c>
    </row>
    <row r="70" spans="1:15" x14ac:dyDescent="0.2">
      <c r="A70" s="48" t="s">
        <v>678</v>
      </c>
      <c r="B70" s="380">
        <f>'15W40'!G70</f>
        <v>178.5</v>
      </c>
      <c r="C70" s="380">
        <f>'15W40 Gallon'!G70</f>
        <v>240.23999999999998</v>
      </c>
      <c r="D70" s="443">
        <f>'10W30'!G70</f>
        <v>187.32</v>
      </c>
      <c r="E70" s="443">
        <f>'10W30 Gallon'!G70</f>
        <v>270.21111111111117</v>
      </c>
      <c r="F70" s="378">
        <f>'T5'!G70</f>
        <v>165.48</v>
      </c>
      <c r="G70" s="378">
        <f>'T5 Gallon'!G70</f>
        <v>276.38799999999998</v>
      </c>
      <c r="H70" s="379">
        <f>'Petro 10W30'!G70</f>
        <v>149.1</v>
      </c>
      <c r="I70" s="379">
        <f>'Petro 10W30Gallon'!G70</f>
        <v>172.2</v>
      </c>
      <c r="J70" s="449">
        <f>'T6'!E70</f>
        <v>350.38480000000004</v>
      </c>
      <c r="K70" s="451">
        <f>'T6 Gallon'!G70</f>
        <v>351.20400000000001</v>
      </c>
      <c r="L70" s="378">
        <f>'Delo 5W30'!G70</f>
        <v>289.38</v>
      </c>
      <c r="M70" s="378">
        <f>'Delo 5W30 Gallon'!G70</f>
        <v>359.86666666666667</v>
      </c>
      <c r="N70" s="380">
        <f>'Petro 5W30'!G70</f>
        <v>222.6</v>
      </c>
      <c r="O70" s="380">
        <f>'Petro 5W30 Gallon'!G70</f>
        <v>265.44</v>
      </c>
    </row>
    <row r="71" spans="1:15" x14ac:dyDescent="0.2">
      <c r="A71" s="166" t="s">
        <v>679</v>
      </c>
      <c r="B71" s="379">
        <f>'15W40'!G71</f>
        <v>221</v>
      </c>
      <c r="C71" s="379">
        <f>'15W40 Gallon'!G71</f>
        <v>297.44</v>
      </c>
      <c r="D71" s="442">
        <f>'10W30'!G71</f>
        <v>231.92</v>
      </c>
      <c r="E71" s="442">
        <f>'10W30 Gallon'!G71</f>
        <v>334.54708994709</v>
      </c>
      <c r="F71" s="377">
        <f>'T5'!G71</f>
        <v>204.88</v>
      </c>
      <c r="G71" s="377">
        <f>'T5 Gallon'!G71</f>
        <v>342.19466666666665</v>
      </c>
      <c r="H71" s="379">
        <f>'Petro 10W30'!G71</f>
        <v>184.6</v>
      </c>
      <c r="I71" s="379">
        <f>'Petro 10W30Gallon'!G71</f>
        <v>213.2</v>
      </c>
      <c r="J71" s="449">
        <f>'T6'!E71</f>
        <v>411.28480000000002</v>
      </c>
      <c r="K71" s="450">
        <f>'T6 Gallon'!G71</f>
        <v>434.82400000000001</v>
      </c>
      <c r="L71" s="377">
        <f>'Delo 5W30'!G71</f>
        <v>358.28</v>
      </c>
      <c r="M71" s="377">
        <f>'Delo 5W30 Gallon'!G71</f>
        <v>445.54920634920632</v>
      </c>
      <c r="N71" s="379">
        <f>'Petro 5W30'!G71</f>
        <v>275.59999999999997</v>
      </c>
      <c r="O71" s="379">
        <f>'Petro 5W30 Gallon'!G71</f>
        <v>328.64</v>
      </c>
    </row>
    <row r="72" spans="1:15" x14ac:dyDescent="0.2">
      <c r="A72" s="48" t="s">
        <v>680</v>
      </c>
      <c r="B72" s="380">
        <f>'15W40'!G72</f>
        <v>144.5</v>
      </c>
      <c r="C72" s="380">
        <f>'15W40 Gallon'!G72</f>
        <v>194.48</v>
      </c>
      <c r="D72" s="443">
        <f>'10W30'!G72</f>
        <v>151.63999999999999</v>
      </c>
      <c r="E72" s="443">
        <f>'10W30 Gallon'!G72</f>
        <v>218.74232804232807</v>
      </c>
      <c r="F72" s="378">
        <f>'T5'!G72</f>
        <v>133.96</v>
      </c>
      <c r="G72" s="378">
        <f>'T5 Gallon'!G72</f>
        <v>223.74266666666665</v>
      </c>
      <c r="H72" s="379">
        <f>'Petro 10W30'!G72</f>
        <v>120.69999999999999</v>
      </c>
      <c r="I72" s="379">
        <f>'Petro 10W30Gallon'!G72</f>
        <v>139.39999999999998</v>
      </c>
      <c r="J72" s="449">
        <f>'T6'!E72</f>
        <v>381.35</v>
      </c>
      <c r="K72" s="451">
        <f>'T6 Gallon'!G72</f>
        <v>284.30799999999999</v>
      </c>
      <c r="L72" s="378">
        <f>'Delo 5W30'!G72</f>
        <v>234.26</v>
      </c>
      <c r="M72" s="378">
        <f>'Delo 5W30 Gallon'!G72</f>
        <v>291.32063492063492</v>
      </c>
      <c r="N72" s="380">
        <f>'Petro 5W30'!G72</f>
        <v>180.2</v>
      </c>
      <c r="O72" s="380">
        <f>'Petro 5W30 Gallon'!G72</f>
        <v>214.87999999999997</v>
      </c>
    </row>
    <row r="73" spans="1:15" x14ac:dyDescent="0.2">
      <c r="A73" s="166" t="s">
        <v>681</v>
      </c>
      <c r="B73" s="379">
        <f>'15W40'!G73</f>
        <v>178.5</v>
      </c>
      <c r="C73" s="379">
        <f>'15W40 Gallon'!G73</f>
        <v>240.23999999999998</v>
      </c>
      <c r="D73" s="442">
        <f>'10W30'!G73</f>
        <v>187.32</v>
      </c>
      <c r="E73" s="442">
        <f>'10W30 Gallon'!G73</f>
        <v>270.21111111111117</v>
      </c>
      <c r="F73" s="377">
        <f>'T5'!G73</f>
        <v>165.48</v>
      </c>
      <c r="G73" s="377">
        <f>'T5 Gallon'!G73</f>
        <v>276.38799999999998</v>
      </c>
      <c r="H73" s="379">
        <f>'Petro 10W30'!G73</f>
        <v>149.1</v>
      </c>
      <c r="I73" s="379">
        <f>'Petro 10W30Gallon'!G73</f>
        <v>172.2</v>
      </c>
      <c r="J73" s="449">
        <f>'T6'!E73</f>
        <v>430.07</v>
      </c>
      <c r="K73" s="450">
        <f>'T6 Gallon'!G73</f>
        <v>351.20400000000001</v>
      </c>
      <c r="L73" s="377">
        <f>'Delo 5W30'!G73</f>
        <v>289.38</v>
      </c>
      <c r="M73" s="377">
        <f>'Delo 5W30 Gallon'!G73</f>
        <v>359.86666666666667</v>
      </c>
      <c r="N73" s="379">
        <f>'Petro 5W30'!G73</f>
        <v>222.6</v>
      </c>
      <c r="O73" s="379">
        <f>'Petro 5W30 Gallon'!G73</f>
        <v>265.44</v>
      </c>
    </row>
    <row r="74" spans="1:15" x14ac:dyDescent="0.2">
      <c r="A74" s="166" t="s">
        <v>682</v>
      </c>
      <c r="B74" s="379">
        <f>'15W40'!G74</f>
        <v>221</v>
      </c>
      <c r="C74" s="379">
        <f>'15W40 Gallon'!G74</f>
        <v>297.44</v>
      </c>
      <c r="D74" s="442">
        <f>'10W30'!G74</f>
        <v>231.92</v>
      </c>
      <c r="E74" s="442">
        <f>'10W30 Gallon'!G74</f>
        <v>334.54708994709</v>
      </c>
      <c r="F74" s="377">
        <f>'T5'!G74</f>
        <v>204.88</v>
      </c>
      <c r="G74" s="377">
        <f>'T5 Gallon'!G74</f>
        <v>342.19466666666665</v>
      </c>
      <c r="H74" s="379">
        <f>'Petro 10W30'!G74</f>
        <v>184.6</v>
      </c>
      <c r="I74" s="379">
        <f>'Petro 10W30Gallon'!G74</f>
        <v>213.2</v>
      </c>
      <c r="J74" s="449">
        <f>'T6'!E74</f>
        <v>490.97</v>
      </c>
      <c r="K74" s="450">
        <f>'T6 Gallon'!G74</f>
        <v>434.82400000000001</v>
      </c>
      <c r="L74" s="377">
        <f>'Delo 5W30'!G74</f>
        <v>358.28</v>
      </c>
      <c r="M74" s="377">
        <f>'Delo 5W30 Gallon'!G74</f>
        <v>445.54920634920632</v>
      </c>
      <c r="N74" s="379">
        <f>'Petro 5W30'!G74</f>
        <v>275.59999999999997</v>
      </c>
      <c r="O74" s="379">
        <f>'Petro 5W30 Gallon'!G74</f>
        <v>328.64</v>
      </c>
    </row>
  </sheetData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85"/>
  <sheetViews>
    <sheetView zoomScale="120" zoomScaleNormal="120" workbookViewId="0">
      <pane ySplit="4" topLeftCell="A5" activePane="bottomLeft" state="frozen"/>
      <selection pane="bottomLeft" activeCell="K64" sqref="K64"/>
    </sheetView>
  </sheetViews>
  <sheetFormatPr defaultColWidth="9.140625" defaultRowHeight="12.75" customHeight="1" x14ac:dyDescent="0.2"/>
  <cols>
    <col min="1" max="1" width="32.85546875" style="46" customWidth="1"/>
    <col min="2" max="2" width="6.7109375" style="46" customWidth="1"/>
    <col min="3" max="3" width="7.42578125" style="46" customWidth="1"/>
    <col min="4" max="4" width="6.85546875" style="46" customWidth="1"/>
    <col min="5" max="5" width="7.5703125" style="46" customWidth="1"/>
    <col min="6" max="6" width="6.85546875" style="46" customWidth="1"/>
    <col min="7" max="11" width="7.42578125" style="46" customWidth="1"/>
    <col min="12" max="12" width="8.42578125" style="46" customWidth="1"/>
    <col min="13" max="13" width="8.5703125" style="46" customWidth="1"/>
    <col min="14" max="14" width="9.140625" style="46" customWidth="1"/>
    <col min="15" max="16384" width="9.140625" style="46"/>
  </cols>
  <sheetData>
    <row r="1" spans="1:15" ht="12.75" customHeight="1" x14ac:dyDescent="0.2">
      <c r="A1" s="46" t="s">
        <v>625</v>
      </c>
      <c r="B1" s="298"/>
      <c r="C1" s="298"/>
      <c r="F1" s="455"/>
      <c r="G1" s="455"/>
      <c r="J1" s="315"/>
      <c r="K1" s="315"/>
      <c r="N1" s="300"/>
      <c r="O1" s="300"/>
    </row>
    <row r="2" spans="1:15" ht="12.75" customHeight="1" x14ac:dyDescent="0.2">
      <c r="B2" s="416" t="s">
        <v>683</v>
      </c>
      <c r="C2" s="416" t="s">
        <v>683</v>
      </c>
      <c r="D2" s="62" t="s">
        <v>692</v>
      </c>
      <c r="E2" s="62" t="s">
        <v>692</v>
      </c>
      <c r="F2" s="456" t="s">
        <v>697</v>
      </c>
      <c r="G2" s="456" t="s">
        <v>697</v>
      </c>
      <c r="H2" s="62" t="s">
        <v>1256</v>
      </c>
      <c r="I2" s="62" t="s">
        <v>1269</v>
      </c>
      <c r="J2" s="420" t="s">
        <v>698</v>
      </c>
      <c r="K2" s="420" t="s">
        <v>698</v>
      </c>
      <c r="L2" s="62" t="s">
        <v>700</v>
      </c>
      <c r="M2" s="62" t="s">
        <v>700</v>
      </c>
      <c r="N2" s="441" t="s">
        <v>1256</v>
      </c>
      <c r="O2" s="441" t="s">
        <v>1256</v>
      </c>
    </row>
    <row r="3" spans="1:15" ht="12.75" customHeight="1" x14ac:dyDescent="0.2">
      <c r="B3" s="416"/>
      <c r="C3" s="416" t="s">
        <v>701</v>
      </c>
      <c r="D3" s="62"/>
      <c r="E3" s="62" t="s">
        <v>701</v>
      </c>
      <c r="F3" s="456"/>
      <c r="G3" s="456" t="s">
        <v>701</v>
      </c>
      <c r="H3" s="62" t="s">
        <v>692</v>
      </c>
      <c r="I3" s="62" t="s">
        <v>692</v>
      </c>
      <c r="J3" s="420" t="s">
        <v>702</v>
      </c>
      <c r="K3" s="420" t="s">
        <v>702</v>
      </c>
      <c r="L3" s="62" t="s">
        <v>702</v>
      </c>
      <c r="M3" s="62" t="s">
        <v>702</v>
      </c>
      <c r="N3" s="441" t="s">
        <v>702</v>
      </c>
      <c r="O3" s="441" t="s">
        <v>702</v>
      </c>
    </row>
    <row r="4" spans="1:15" ht="12.75" customHeight="1" x14ac:dyDescent="0.2">
      <c r="B4" s="416"/>
      <c r="C4" s="416"/>
      <c r="D4" s="62"/>
      <c r="E4" s="62"/>
      <c r="F4" s="456"/>
      <c r="G4" s="456"/>
      <c r="H4" s="62"/>
      <c r="I4" s="62" t="s">
        <v>701</v>
      </c>
      <c r="J4" s="420"/>
      <c r="K4" s="420" t="s">
        <v>701</v>
      </c>
      <c r="L4" s="62"/>
      <c r="M4" s="62" t="s">
        <v>701</v>
      </c>
      <c r="N4" s="441"/>
      <c r="O4" s="441" t="s">
        <v>701</v>
      </c>
    </row>
    <row r="5" spans="1:15" s="59" customFormat="1" ht="12.75" customHeight="1" x14ac:dyDescent="0.2">
      <c r="B5" s="298"/>
      <c r="C5" s="298"/>
      <c r="D5" s="46"/>
      <c r="E5" s="46"/>
      <c r="F5" s="455"/>
      <c r="G5" s="455"/>
      <c r="H5" s="46"/>
      <c r="I5" s="46"/>
      <c r="J5" s="315"/>
      <c r="K5" s="315"/>
      <c r="L5" s="46"/>
      <c r="M5" s="46"/>
      <c r="N5" s="300"/>
      <c r="O5" s="300"/>
    </row>
    <row r="6" spans="1:15" ht="12.75" customHeight="1" x14ac:dyDescent="0.2">
      <c r="A6" s="166" t="s">
        <v>632</v>
      </c>
      <c r="B6" s="379">
        <f>'15W40'!I6</f>
        <v>98.449999999999989</v>
      </c>
      <c r="C6" s="379">
        <f>'15W40 Gallon'!I6</f>
        <v>113.44999999999999</v>
      </c>
      <c r="D6" s="212">
        <f>'10W30'!I6</f>
        <v>118.19999999999999</v>
      </c>
      <c r="E6" s="212">
        <f>'10W30 Gallon'!I6</f>
        <v>133.19999999999999</v>
      </c>
      <c r="F6" s="457">
        <f>'T5'!I6</f>
        <v>131.19999999999999</v>
      </c>
      <c r="G6" s="457">
        <f>'T5 Gallon'!I6</f>
        <v>146.19999999999999</v>
      </c>
      <c r="H6" s="212">
        <f>'Petro 10W30'!I6</f>
        <v>140.94999999999999</v>
      </c>
      <c r="I6" s="212">
        <f>'Petro 10W30Gallon'!I6</f>
        <v>155.95000000000002</v>
      </c>
      <c r="J6" s="377">
        <f>'T6'!L6</f>
        <v>148.44999999999999</v>
      </c>
      <c r="K6" s="377">
        <f>'T6 Gallon'!I6</f>
        <v>163.44999999999999</v>
      </c>
      <c r="L6" s="212">
        <f>'Delo 5W30'!I6</f>
        <v>148.44999999999999</v>
      </c>
      <c r="M6" s="212">
        <f>'Delo 5W30 Gallon'!I6</f>
        <v>163.45000000000005</v>
      </c>
      <c r="N6" s="442">
        <f>'Petro 5W30'!I6</f>
        <v>148.44999999999999</v>
      </c>
      <c r="O6" s="442">
        <f>'Petro 5W30 Gallon'!I6</f>
        <v>163.45000000000005</v>
      </c>
    </row>
    <row r="7" spans="1:15" ht="12.75" customHeight="1" x14ac:dyDescent="0.2">
      <c r="A7" s="48" t="s">
        <v>633</v>
      </c>
      <c r="B7" s="380">
        <f>'15W40'!I7</f>
        <v>107.94080000000002</v>
      </c>
      <c r="C7" s="380">
        <f>'15W40 Gallon'!I7</f>
        <v>122.94080000000002</v>
      </c>
      <c r="D7" s="49">
        <f>'10W30'!I7</f>
        <v>127.69080000000002</v>
      </c>
      <c r="E7" s="49">
        <f>'10W30 Gallon'!I7</f>
        <v>142.69079999999997</v>
      </c>
      <c r="F7" s="458">
        <f>'T5'!I7</f>
        <v>140.69080000000002</v>
      </c>
      <c r="G7" s="458">
        <f>'T5 Gallon'!I7</f>
        <v>155.69080000000002</v>
      </c>
      <c r="H7" s="212">
        <f>'Petro 10W30'!I7</f>
        <v>150.44080000000002</v>
      </c>
      <c r="I7" s="212">
        <f>'Petro 10W30Gallon'!I7</f>
        <v>165.44080000000002</v>
      </c>
      <c r="J7" s="377">
        <f>'T6'!L7</f>
        <v>157.94080000000002</v>
      </c>
      <c r="K7" s="378">
        <f>'T6 Gallon'!I7</f>
        <v>172.94080000000002</v>
      </c>
      <c r="L7" s="49">
        <f>'Delo 5W30'!I7</f>
        <v>157.94080000000002</v>
      </c>
      <c r="M7" s="49">
        <f>'Delo 5W30 Gallon'!I7</f>
        <v>172.94080000000002</v>
      </c>
      <c r="N7" s="443">
        <f>'Petro 5W30'!I7</f>
        <v>157.94080000000002</v>
      </c>
      <c r="O7" s="443">
        <f>'Petro 5W30 Gallon'!I7</f>
        <v>172.94080000000002</v>
      </c>
    </row>
    <row r="8" spans="1:15" s="59" customFormat="1" ht="12.75" customHeight="1" x14ac:dyDescent="0.2">
      <c r="A8" s="344"/>
      <c r="B8" s="379"/>
      <c r="C8" s="379"/>
      <c r="D8" s="212"/>
      <c r="E8" s="212"/>
      <c r="F8" s="457"/>
      <c r="G8" s="457"/>
      <c r="H8" s="212"/>
      <c r="I8" s="212"/>
      <c r="J8" s="377"/>
      <c r="K8" s="377"/>
      <c r="L8" s="212"/>
      <c r="M8" s="212"/>
      <c r="N8" s="442"/>
      <c r="O8" s="442"/>
    </row>
    <row r="9" spans="1:15" ht="12.75" customHeight="1" x14ac:dyDescent="0.2">
      <c r="A9" s="48" t="s">
        <v>634</v>
      </c>
      <c r="B9" s="380">
        <f>'15W40'!I9</f>
        <v>94.910000000000025</v>
      </c>
      <c r="C9" s="380">
        <f>'15W40 Gallon'!I9</f>
        <v>109.91000000000003</v>
      </c>
      <c r="D9" s="49">
        <f>'10W30'!I9</f>
        <v>111.93</v>
      </c>
      <c r="E9" s="49">
        <f>'10W30 Gallon'!I9</f>
        <v>126.93</v>
      </c>
      <c r="F9" s="458">
        <f>'T5'!I9</f>
        <v>131.69</v>
      </c>
      <c r="G9" s="458">
        <f>'T5 Gallon'!I9</f>
        <v>146.69000000000005</v>
      </c>
      <c r="H9" s="212">
        <f>'Petro 10W30'!I9</f>
        <v>146.51</v>
      </c>
      <c r="I9" s="212">
        <f>'Petro 10W30Gallon'!I9</f>
        <v>161.51</v>
      </c>
      <c r="J9" s="377">
        <f>'T6'!L9</f>
        <v>144.90999999999997</v>
      </c>
      <c r="K9" s="378">
        <f>'T6 Gallon'!I9</f>
        <v>159.90999999999997</v>
      </c>
      <c r="L9" s="49">
        <f>'Delo 5W30'!I9</f>
        <v>144.91000000000003</v>
      </c>
      <c r="M9" s="49">
        <f>'Delo 5W30 Gallon'!I9</f>
        <v>159.91000000000003</v>
      </c>
      <c r="N9" s="443">
        <f>'Petro 5W30'!I9</f>
        <v>144.90999999999997</v>
      </c>
      <c r="O9" s="443">
        <f>'Petro 5W30 Gallon'!I9</f>
        <v>159.91000000000003</v>
      </c>
    </row>
    <row r="10" spans="1:15" ht="12.75" customHeight="1" x14ac:dyDescent="0.2">
      <c r="A10" s="166" t="s">
        <v>635</v>
      </c>
      <c r="B10" s="379">
        <f>'15W40'!I10</f>
        <v>93.4452</v>
      </c>
      <c r="C10" s="379">
        <f>'15W40 Gallon'!I10</f>
        <v>108.4452</v>
      </c>
      <c r="D10" s="212">
        <f>'10W30'!I10</f>
        <v>110.46520000000001</v>
      </c>
      <c r="E10" s="212">
        <f>'10W30 Gallon'!I10</f>
        <v>125.46520000000004</v>
      </c>
      <c r="F10" s="457">
        <f>'T5'!I10</f>
        <v>130.2252</v>
      </c>
      <c r="G10" s="457">
        <f>'T5 Gallon'!I10</f>
        <v>145.22520000000003</v>
      </c>
      <c r="H10" s="212">
        <f>'Petro 10W30'!I10</f>
        <v>145.04519999999999</v>
      </c>
      <c r="I10" s="212">
        <f>'Petro 10W30Gallon'!I10</f>
        <v>160.04519999999999</v>
      </c>
      <c r="J10" s="377">
        <f>'T6'!L10</f>
        <v>143.4452</v>
      </c>
      <c r="K10" s="377">
        <f>'T6 Gallon'!I10</f>
        <v>158.44519999999994</v>
      </c>
      <c r="L10" s="212">
        <f>'Delo 5W30'!I10</f>
        <v>143.4452</v>
      </c>
      <c r="M10" s="212">
        <f>'Delo 5W30 Gallon'!I10</f>
        <v>158.4452</v>
      </c>
      <c r="N10" s="442">
        <f>'Petro 5W30'!I10</f>
        <v>143.44519999999997</v>
      </c>
      <c r="O10" s="442">
        <f>'Petro 5W30 Gallon'!I10</f>
        <v>158.4452</v>
      </c>
    </row>
    <row r="11" spans="1:15" s="59" customFormat="1" ht="12.75" customHeight="1" x14ac:dyDescent="0.2">
      <c r="A11" s="60"/>
      <c r="B11" s="380"/>
      <c r="C11" s="380"/>
      <c r="D11" s="49"/>
      <c r="E11" s="49"/>
      <c r="F11" s="458"/>
      <c r="G11" s="458"/>
      <c r="H11" s="212"/>
      <c r="I11" s="212"/>
      <c r="J11" s="377"/>
      <c r="K11" s="378"/>
      <c r="L11" s="49"/>
      <c r="M11" s="49"/>
      <c r="N11" s="443"/>
      <c r="O11" s="443"/>
    </row>
    <row r="12" spans="1:15" ht="12.75" customHeight="1" x14ac:dyDescent="0.2">
      <c r="A12" s="166" t="s">
        <v>637</v>
      </c>
      <c r="B12" s="379">
        <f>'15W40'!I12</f>
        <v>93.660000000000025</v>
      </c>
      <c r="C12" s="379">
        <f>'15W40 Gallon'!I12</f>
        <v>113.66000000000003</v>
      </c>
      <c r="D12" s="212">
        <f>'10W30'!I12</f>
        <v>114.63</v>
      </c>
      <c r="E12" s="212">
        <f>'10W30 Gallon'!I12</f>
        <v>134.63</v>
      </c>
      <c r="F12" s="457">
        <f>'T5'!I12</f>
        <v>136.99</v>
      </c>
      <c r="G12" s="457">
        <f>'T5 Gallon'!I12</f>
        <v>156.98999999999995</v>
      </c>
      <c r="H12" s="212">
        <f>'Petro 10W30'!I12</f>
        <v>153.76</v>
      </c>
      <c r="I12" s="212">
        <f>'Petro 10W30Gallon'!I12</f>
        <v>173.76</v>
      </c>
      <c r="J12" s="377">
        <f>'T6'!L12</f>
        <v>153.66000000000003</v>
      </c>
      <c r="K12" s="377">
        <f>'T6 Gallon'!I12</f>
        <v>173.66000000000003</v>
      </c>
      <c r="L12" s="212">
        <f>'Delo 5W30'!I12</f>
        <v>153.66000000000003</v>
      </c>
      <c r="M12" s="212">
        <f>'Delo 5W30 Gallon'!I12</f>
        <v>173.66000000000008</v>
      </c>
      <c r="N12" s="442">
        <f>'Petro 5W30'!I12</f>
        <v>153.65999999999997</v>
      </c>
      <c r="O12" s="442">
        <f>'Petro 5W30 Gallon'!I12</f>
        <v>173.66000000000003</v>
      </c>
    </row>
    <row r="13" spans="1:15" ht="12.75" customHeight="1" x14ac:dyDescent="0.2">
      <c r="A13" s="48" t="s">
        <v>638</v>
      </c>
      <c r="B13" s="380">
        <f>'15W40'!I13</f>
        <v>92.1952</v>
      </c>
      <c r="C13" s="380">
        <f>'15W40 Gallon'!I13</f>
        <v>112.1952</v>
      </c>
      <c r="D13" s="49">
        <f>'10W30'!I13</f>
        <v>113.1652</v>
      </c>
      <c r="E13" s="49">
        <f>'10W30 Gallon'!I13</f>
        <v>133.16519999999997</v>
      </c>
      <c r="F13" s="458">
        <f>'T5'!I13</f>
        <v>135.52520000000001</v>
      </c>
      <c r="G13" s="458">
        <f>'T5 Gallon'!I13</f>
        <v>155.52519999999998</v>
      </c>
      <c r="H13" s="212">
        <f>'Petro 10W30'!I13</f>
        <v>152.29519999999999</v>
      </c>
      <c r="I13" s="212">
        <f>'Petro 10W30Gallon'!I13</f>
        <v>172.29519999999999</v>
      </c>
      <c r="J13" s="377">
        <f>'T6'!L13</f>
        <v>152.1952</v>
      </c>
      <c r="K13" s="378">
        <f>'T6 Gallon'!I13</f>
        <v>172.1952</v>
      </c>
      <c r="L13" s="49">
        <f>'Delo 5W30'!I13</f>
        <v>152.1952</v>
      </c>
      <c r="M13" s="49">
        <f>'Delo 5W30 Gallon'!I13</f>
        <v>172.19520000000006</v>
      </c>
      <c r="N13" s="443">
        <f>'Petro 5W30'!I13</f>
        <v>152.1952</v>
      </c>
      <c r="O13" s="443">
        <f>'Petro 5W30 Gallon'!I13</f>
        <v>172.1952</v>
      </c>
    </row>
    <row r="14" spans="1:15" s="59" customFormat="1" ht="12.75" customHeight="1" x14ac:dyDescent="0.2">
      <c r="A14" s="344"/>
      <c r="B14" s="379"/>
      <c r="C14" s="379"/>
      <c r="D14" s="212"/>
      <c r="E14" s="212"/>
      <c r="F14" s="457"/>
      <c r="G14" s="457"/>
      <c r="H14" s="212"/>
      <c r="I14" s="212"/>
      <c r="J14" s="377"/>
      <c r="K14" s="377"/>
      <c r="L14" s="212"/>
      <c r="M14" s="212"/>
      <c r="N14" s="442"/>
      <c r="O14" s="442"/>
    </row>
    <row r="15" spans="1:15" ht="12.75" customHeight="1" x14ac:dyDescent="0.2">
      <c r="A15" s="48" t="s">
        <v>639</v>
      </c>
      <c r="B15" s="380">
        <f>'15W40'!I15</f>
        <v>92.558800000000019</v>
      </c>
      <c r="C15" s="380">
        <f>'15W40 Gallon'!I15</f>
        <v>112.55880000000002</v>
      </c>
      <c r="D15" s="49">
        <f>'10W30'!I15</f>
        <v>114.15880000000001</v>
      </c>
      <c r="E15" s="49">
        <f>'10W30 Gallon'!I15</f>
        <v>134.15879999999999</v>
      </c>
      <c r="F15" s="458">
        <f>'T5'!I15</f>
        <v>134.95880000000002</v>
      </c>
      <c r="G15" s="458">
        <f>'T5 Gallon'!I15</f>
        <v>154.95880000000005</v>
      </c>
      <c r="H15" s="212">
        <f>'Petro 10W30'!I15</f>
        <v>150.55880000000002</v>
      </c>
      <c r="I15" s="212">
        <f>'Petro 10W30Gallon'!I15</f>
        <v>170.55880000000002</v>
      </c>
      <c r="J15" s="377">
        <f>'T6'!L15</f>
        <v>152.55880000000002</v>
      </c>
      <c r="K15" s="378">
        <f>'T6 Gallon'!I15</f>
        <v>172.55880000000002</v>
      </c>
      <c r="L15" s="49">
        <f>'Delo 5W30'!I15</f>
        <v>152.55880000000008</v>
      </c>
      <c r="M15" s="49">
        <f>'Delo 5W30 Gallon'!I15</f>
        <v>172.55880000000008</v>
      </c>
      <c r="N15" s="443">
        <f>'Petro 5W30'!I15</f>
        <v>152.55880000000002</v>
      </c>
      <c r="O15" s="443">
        <f>'Petro 5W30 Gallon'!I15</f>
        <v>172.55879999999996</v>
      </c>
    </row>
    <row r="16" spans="1:15" ht="12.75" customHeight="1" x14ac:dyDescent="0.2">
      <c r="A16" s="166" t="s">
        <v>640</v>
      </c>
      <c r="B16" s="379">
        <f>'15W40'!I16</f>
        <v>96.77000000000001</v>
      </c>
      <c r="C16" s="379">
        <f>'15W40 Gallon'!I16</f>
        <v>106.77</v>
      </c>
      <c r="D16" s="212">
        <f>'10W30'!I16</f>
        <v>108.83000000000001</v>
      </c>
      <c r="E16" s="212">
        <f>'10W30 Gallon'!I16</f>
        <v>118.83</v>
      </c>
      <c r="F16" s="457">
        <f>'T5'!I16</f>
        <v>116.11000000000001</v>
      </c>
      <c r="G16" s="457">
        <f>'T5 Gallon'!I16</f>
        <v>126.11000000000003</v>
      </c>
      <c r="H16" s="212">
        <f>'Petro 10W30'!I16</f>
        <v>121.57000000000002</v>
      </c>
      <c r="I16" s="212">
        <f>'Petro 10W30Gallon'!I16</f>
        <v>131.57</v>
      </c>
      <c r="J16" s="377">
        <f>'T6'!L16</f>
        <v>126.77000000000001</v>
      </c>
      <c r="K16" s="377">
        <f>'T6 Gallon'!I16</f>
        <v>136.76999999999998</v>
      </c>
      <c r="L16" s="212">
        <f>'Delo 5W30'!I16</f>
        <v>126.77</v>
      </c>
      <c r="M16" s="212">
        <f>'Delo 5W30 Gallon'!I16</f>
        <v>136.76999999999998</v>
      </c>
      <c r="N16" s="442">
        <f>'Petro 5W30'!I16</f>
        <v>126.77</v>
      </c>
      <c r="O16" s="442">
        <f>'Petro 5W30 Gallon'!I16</f>
        <v>136.77000000000001</v>
      </c>
    </row>
    <row r="17" spans="1:15" ht="12.75" customHeight="1" x14ac:dyDescent="0.2">
      <c r="A17" s="48" t="s">
        <v>641</v>
      </c>
      <c r="B17" s="380">
        <f>'15W40'!I17</f>
        <v>92.929599999999994</v>
      </c>
      <c r="C17" s="380">
        <f>'15W40 Gallon'!I17</f>
        <v>107.92959999999999</v>
      </c>
      <c r="D17" s="49">
        <f>'10W30'!I17</f>
        <v>112.67959999999999</v>
      </c>
      <c r="E17" s="49">
        <f>'10W30 Gallon'!I17</f>
        <v>127.67959999999999</v>
      </c>
      <c r="F17" s="458">
        <f>'T5'!I17</f>
        <v>125.67959999999999</v>
      </c>
      <c r="G17" s="458">
        <f>'T5 Gallon'!I17</f>
        <v>140.67959999999999</v>
      </c>
      <c r="H17" s="212">
        <f>'Petro 10W30'!I17</f>
        <v>135.42959999999999</v>
      </c>
      <c r="I17" s="212">
        <f>'Petro 10W30Gallon'!I17</f>
        <v>150.42960000000002</v>
      </c>
      <c r="J17" s="377">
        <f>'T6'!L17</f>
        <v>142.92959999999999</v>
      </c>
      <c r="K17" s="378">
        <f>'T6 Gallon'!I17</f>
        <v>157.92959999999999</v>
      </c>
      <c r="L17" s="49">
        <f>'Delo 5W30'!I17</f>
        <v>142.92959999999999</v>
      </c>
      <c r="M17" s="49">
        <f>'Delo 5W30 Gallon'!I17</f>
        <v>157.92960000000005</v>
      </c>
      <c r="N17" s="443">
        <f>'Petro 5W30'!I17</f>
        <v>142.92959999999999</v>
      </c>
      <c r="O17" s="443">
        <f>'Petro 5W30 Gallon'!I17</f>
        <v>157.92960000000005</v>
      </c>
    </row>
    <row r="18" spans="1:15" ht="12.75" customHeight="1" x14ac:dyDescent="0.2">
      <c r="A18" s="166" t="s">
        <v>642</v>
      </c>
      <c r="B18" s="379">
        <f>'15W40'!I18</f>
        <v>115.05200000000002</v>
      </c>
      <c r="C18" s="379">
        <f>'15W40 Gallon'!I18</f>
        <v>130.05200000000002</v>
      </c>
      <c r="D18" s="212">
        <f>'10W30'!I18</f>
        <v>134.80200000000002</v>
      </c>
      <c r="E18" s="212">
        <f>'10W30 Gallon'!I18</f>
        <v>149.80199999999996</v>
      </c>
      <c r="F18" s="457">
        <f>'T5'!I18</f>
        <v>147.80200000000002</v>
      </c>
      <c r="G18" s="457">
        <f>'T5 Gallon'!I18</f>
        <v>162.80200000000002</v>
      </c>
      <c r="H18" s="212">
        <f>'Petro 10W30'!I18</f>
        <v>157.55200000000002</v>
      </c>
      <c r="I18" s="212">
        <f>'Petro 10W30Gallon'!I18</f>
        <v>172.55200000000002</v>
      </c>
      <c r="J18" s="377">
        <f>'T6'!L18</f>
        <v>165.05200000000002</v>
      </c>
      <c r="K18" s="377">
        <f>'T6 Gallon'!I18</f>
        <v>180.05200000000002</v>
      </c>
      <c r="L18" s="212">
        <f>'Delo 5W30'!I18</f>
        <v>165.05200000000002</v>
      </c>
      <c r="M18" s="212">
        <f>'Delo 5W30 Gallon'!I18</f>
        <v>180.05200000000002</v>
      </c>
      <c r="N18" s="442">
        <f>'Petro 5W30'!I18</f>
        <v>165.05200000000002</v>
      </c>
      <c r="O18" s="442">
        <f>'Petro 5W30 Gallon'!I18</f>
        <v>180.05200000000002</v>
      </c>
    </row>
    <row r="19" spans="1:15" ht="12.75" customHeight="1" x14ac:dyDescent="0.2">
      <c r="A19" s="48" t="s">
        <v>643</v>
      </c>
      <c r="B19" s="380">
        <f>'15W40'!I19</f>
        <v>92.155599999999993</v>
      </c>
      <c r="C19" s="380">
        <f>'15W40 Gallon'!I19</f>
        <v>107.15559999999999</v>
      </c>
      <c r="D19" s="49">
        <f>'10W30'!I19</f>
        <v>109.59559999999999</v>
      </c>
      <c r="E19" s="49">
        <f>'10W30 Gallon'!I19</f>
        <v>124.59560000000005</v>
      </c>
      <c r="F19" s="458">
        <f>'T5'!I19</f>
        <v>128.31560000000002</v>
      </c>
      <c r="G19" s="458">
        <f>'T5 Gallon'!I19</f>
        <v>143.31560000000002</v>
      </c>
      <c r="H19" s="212">
        <f>'Petro 10W30'!I19</f>
        <v>142.35560000000001</v>
      </c>
      <c r="I19" s="212">
        <f>'Petro 10W30Gallon'!I19</f>
        <v>157.35560000000004</v>
      </c>
      <c r="J19" s="377">
        <f>'T6'!L19</f>
        <v>142.15559999999999</v>
      </c>
      <c r="K19" s="378">
        <f>'T6 Gallon'!I19</f>
        <v>162.15560000000005</v>
      </c>
      <c r="L19" s="49">
        <f>'Delo 5W30'!I19</f>
        <v>142.15559999999999</v>
      </c>
      <c r="M19" s="49">
        <f>'Delo 5W30 Gallon'!I19</f>
        <v>157.15559999999994</v>
      </c>
      <c r="N19" s="443">
        <f>'Petro 5W30'!I19</f>
        <v>142.15560000000005</v>
      </c>
      <c r="O19" s="443">
        <f>'Petro 5W30 Gallon'!I19</f>
        <v>157.15559999999999</v>
      </c>
    </row>
    <row r="20" spans="1:15" ht="12.75" customHeight="1" x14ac:dyDescent="0.2">
      <c r="A20" s="344" t="s">
        <v>645</v>
      </c>
      <c r="B20" s="379">
        <f>'15W40'!I20</f>
        <v>98.340399999999988</v>
      </c>
      <c r="C20" s="379">
        <f>'15W40 Gallon'!I20</f>
        <v>118.34040000000005</v>
      </c>
      <c r="D20" s="212">
        <f>'10W30'!I20</f>
        <v>119.10039999999998</v>
      </c>
      <c r="E20" s="212">
        <f>'10W30 Gallon'!I20</f>
        <v>139.10039999999992</v>
      </c>
      <c r="F20" s="457">
        <f>'T5'!I20</f>
        <v>141.98040000000003</v>
      </c>
      <c r="G20" s="457">
        <f>'T5 Gallon'!I20</f>
        <v>161.98039999999997</v>
      </c>
      <c r="H20" s="212">
        <f>'Petro 10W30'!I20</f>
        <v>159.1404</v>
      </c>
      <c r="I20" s="212">
        <f>'Petro 10W30Gallon'!I20</f>
        <v>179.1404</v>
      </c>
      <c r="J20" s="377">
        <f>'T6'!L20</f>
        <v>158.34040000000005</v>
      </c>
      <c r="K20" s="377">
        <f>'T6 Gallon'!I20</f>
        <v>178.3404000000001</v>
      </c>
      <c r="L20" s="212">
        <f>'Delo 5W30'!I20</f>
        <v>158.34039999999999</v>
      </c>
      <c r="M20" s="212">
        <f>'Delo 5W30 Gallon'!I20</f>
        <v>178.34039999999993</v>
      </c>
      <c r="N20" s="442">
        <f>'Petro 5W30'!I20</f>
        <v>158.34039999999999</v>
      </c>
      <c r="O20" s="442">
        <f>'Petro 5W30 Gallon'!I20</f>
        <v>178.34039999999993</v>
      </c>
    </row>
    <row r="21" spans="1:15" ht="12.75" customHeight="1" x14ac:dyDescent="0.2">
      <c r="A21" s="48" t="s">
        <v>646</v>
      </c>
      <c r="B21" s="380">
        <f>'15W40'!I21</f>
        <v>92.058800000000019</v>
      </c>
      <c r="C21" s="380">
        <f>'15W40 Gallon'!I21</f>
        <v>107.05880000000005</v>
      </c>
      <c r="D21" s="49">
        <f>'10W30'!I21</f>
        <v>109.91880000000003</v>
      </c>
      <c r="E21" s="49">
        <f>'10W30 Gallon'!I21</f>
        <v>124.91880000000003</v>
      </c>
      <c r="F21" s="458">
        <f>'T5'!I21</f>
        <v>127.59880000000001</v>
      </c>
      <c r="G21" s="458">
        <f>'T5 Gallon'!I21</f>
        <v>142.59879999999998</v>
      </c>
      <c r="H21" s="212">
        <f>'Petro 10W30'!I21</f>
        <v>140.85880000000003</v>
      </c>
      <c r="I21" s="212">
        <f>'Petro 10W30Gallon'!I21</f>
        <v>155.85880000000003</v>
      </c>
      <c r="J21" s="377">
        <f>'T6'!L21</f>
        <v>142.05880000000002</v>
      </c>
      <c r="K21" s="378">
        <f>'T6 Gallon'!I21</f>
        <v>157.05880000000002</v>
      </c>
      <c r="L21" s="49">
        <f>'Delo 5W30'!I21</f>
        <v>142.05880000000002</v>
      </c>
      <c r="M21" s="49">
        <f>'Delo 5W30 Gallon'!I21</f>
        <v>157.05880000000002</v>
      </c>
      <c r="N21" s="443">
        <f>'Petro 5W30'!I21</f>
        <v>142.05880000000002</v>
      </c>
      <c r="O21" s="443">
        <f>'Petro 5W30 Gallon'!I21</f>
        <v>157.05880000000005</v>
      </c>
    </row>
    <row r="22" spans="1:15" s="59" customFormat="1" ht="12.75" customHeight="1" x14ac:dyDescent="0.2">
      <c r="A22" s="344"/>
      <c r="B22" s="379"/>
      <c r="C22" s="379"/>
      <c r="D22" s="212"/>
      <c r="E22" s="212"/>
      <c r="F22" s="457"/>
      <c r="G22" s="457"/>
      <c r="H22" s="212"/>
      <c r="I22" s="212"/>
      <c r="J22" s="377"/>
      <c r="K22" s="377"/>
      <c r="L22" s="212"/>
      <c r="M22" s="212"/>
      <c r="N22" s="442"/>
      <c r="O22" s="442"/>
    </row>
    <row r="23" spans="1:15" ht="12.75" customHeight="1" x14ac:dyDescent="0.2">
      <c r="A23" s="48" t="s">
        <v>647</v>
      </c>
      <c r="B23" s="380">
        <f>'15W40'!I23</f>
        <v>102.87</v>
      </c>
      <c r="C23" s="380">
        <f>'15W40 Gallon'!I23</f>
        <v>117.87</v>
      </c>
      <c r="D23" s="49">
        <f>'10W30'!I23</f>
        <v>119.89000000000001</v>
      </c>
      <c r="E23" s="49">
        <f>'10W30 Gallon'!I23</f>
        <v>134.89000000000004</v>
      </c>
      <c r="F23" s="458">
        <f>'T5'!I23</f>
        <v>139.65</v>
      </c>
      <c r="G23" s="458">
        <f>'T5 Gallon'!I23</f>
        <v>154.65000000000003</v>
      </c>
      <c r="H23" s="212">
        <f>'Petro 10W30'!I23</f>
        <v>154.47</v>
      </c>
      <c r="I23" s="212">
        <f>'Petro 10W30Gallon'!I23</f>
        <v>169.47</v>
      </c>
      <c r="J23" s="377">
        <f>'T6'!L23</f>
        <v>152.87</v>
      </c>
      <c r="K23" s="378">
        <f>'T6 Gallon'!I23</f>
        <v>167.86999999999995</v>
      </c>
      <c r="L23" s="49">
        <f>'Delo 5W30'!I23</f>
        <v>152.87</v>
      </c>
      <c r="M23" s="49">
        <f>'Delo 5W30 Gallon'!I23</f>
        <v>167.87</v>
      </c>
      <c r="N23" s="443">
        <f>'Petro 5W30'!I23</f>
        <v>152.87</v>
      </c>
      <c r="O23" s="443">
        <f>'Petro 5W30 Gallon'!I23</f>
        <v>167.87</v>
      </c>
    </row>
    <row r="24" spans="1:15" ht="12.75" customHeight="1" x14ac:dyDescent="0.2">
      <c r="A24" s="166" t="s">
        <v>648</v>
      </c>
      <c r="B24" s="379">
        <f>'15W40'!I24</f>
        <v>97.139999999999986</v>
      </c>
      <c r="C24" s="379">
        <f>'15W40 Gallon'!I24</f>
        <v>112.13999999999999</v>
      </c>
      <c r="D24" s="212">
        <f>'10W30'!I24</f>
        <v>115.41999999999996</v>
      </c>
      <c r="E24" s="212">
        <f>'10W30 Gallon'!I24</f>
        <v>130.41999999999996</v>
      </c>
      <c r="F24" s="457">
        <f>'T5'!I24</f>
        <v>132.06</v>
      </c>
      <c r="G24" s="457">
        <f>'T5 Gallon'!I24</f>
        <v>147.05999999999995</v>
      </c>
      <c r="H24" s="212">
        <f>'Petro 10W30'!I24</f>
        <v>144.53999999999996</v>
      </c>
      <c r="I24" s="212">
        <f>'Petro 10W30Gallon'!I24</f>
        <v>159.54000000000002</v>
      </c>
      <c r="J24" s="377">
        <f>'T6'!L24</f>
        <v>147.13999999999999</v>
      </c>
      <c r="K24" s="377">
        <f>'T6 Gallon'!I24</f>
        <v>162.14000000000004</v>
      </c>
      <c r="L24" s="212">
        <f>'Delo 5W30'!I24</f>
        <v>147.13999999999999</v>
      </c>
      <c r="M24" s="212">
        <f>'Delo 5W30 Gallon'!I24</f>
        <v>162.14000000000004</v>
      </c>
      <c r="N24" s="442">
        <f>'Petro 5W30'!I24</f>
        <v>147.13999999999999</v>
      </c>
      <c r="O24" s="442">
        <f>'Petro 5W30 Gallon'!I24</f>
        <v>162.13999999999999</v>
      </c>
    </row>
    <row r="25" spans="1:15" ht="12.75" customHeight="1" x14ac:dyDescent="0.2">
      <c r="A25" s="48" t="s">
        <v>649</v>
      </c>
      <c r="B25" s="380">
        <f>'15W40'!I25</f>
        <v>91.699999999999989</v>
      </c>
      <c r="C25" s="380">
        <f>'15W40 Gallon'!I25</f>
        <v>111.70000000000005</v>
      </c>
      <c r="D25" s="49">
        <f>'10W30'!I25</f>
        <v>112.88</v>
      </c>
      <c r="E25" s="49">
        <f>'10W30 Gallon'!I25</f>
        <v>132.88</v>
      </c>
      <c r="F25" s="458">
        <f>'T5'!I25</f>
        <v>134.72000000000003</v>
      </c>
      <c r="G25" s="458">
        <f>'T5 Gallon'!I25</f>
        <v>154.71999999999991</v>
      </c>
      <c r="H25" s="212">
        <f>'Petro 10W30'!I25</f>
        <v>151.10000000000002</v>
      </c>
      <c r="I25" s="212">
        <f>'Petro 10W30Gallon'!I25</f>
        <v>171.10000000000002</v>
      </c>
      <c r="J25" s="377">
        <f>'T6'!L25</f>
        <v>151.69999999999993</v>
      </c>
      <c r="K25" s="378">
        <f>'T6 Gallon'!I25</f>
        <v>171.69999999999993</v>
      </c>
      <c r="L25" s="49">
        <f>'Delo 5W30'!I25</f>
        <v>151.69999999999999</v>
      </c>
      <c r="M25" s="49">
        <f>'Delo 5W30 Gallon'!I25</f>
        <v>171.7</v>
      </c>
      <c r="N25" s="443">
        <f>'Petro 5W30'!I25</f>
        <v>151.70000000000005</v>
      </c>
      <c r="O25" s="443">
        <f>'Petro 5W30 Gallon'!I25</f>
        <v>171.70000000000005</v>
      </c>
    </row>
    <row r="26" spans="1:15" ht="12.75" customHeight="1" x14ac:dyDescent="0.2">
      <c r="A26" s="166" t="s">
        <v>650</v>
      </c>
      <c r="B26" s="379">
        <f>'15W40'!I26</f>
        <v>93.437199999999962</v>
      </c>
      <c r="C26" s="379">
        <f>'15W40 Gallon'!I26</f>
        <v>113.43720000000002</v>
      </c>
      <c r="D26" s="212">
        <f>'10W30'!I26</f>
        <v>114.61720000000003</v>
      </c>
      <c r="E26" s="212">
        <f>'10W30 Gallon'!I26</f>
        <v>134.61720000000003</v>
      </c>
      <c r="F26" s="457">
        <f>'T5'!I26</f>
        <v>136.4572</v>
      </c>
      <c r="G26" s="457">
        <f>'T5 Gallon'!I26</f>
        <v>156.45719999999994</v>
      </c>
      <c r="H26" s="212">
        <f>'Petro 10W30'!I26</f>
        <v>152.8372</v>
      </c>
      <c r="I26" s="212">
        <f>'Petro 10W30Gallon'!I26</f>
        <v>172.83720000000005</v>
      </c>
      <c r="J26" s="377">
        <f>'T6'!L26</f>
        <v>153.43719999999996</v>
      </c>
      <c r="K26" s="377">
        <f>'T6 Gallon'!I26</f>
        <v>173.43719999999996</v>
      </c>
      <c r="L26" s="212">
        <f>'Delo 5W30'!I26</f>
        <v>153.43719999999996</v>
      </c>
      <c r="M26" s="212">
        <f>'Delo 5W30 Gallon'!I26</f>
        <v>173.43719999999996</v>
      </c>
      <c r="N26" s="442">
        <f>'Petro 5W30'!I26</f>
        <v>153.43720000000002</v>
      </c>
      <c r="O26" s="442">
        <f>'Petro 5W30 Gallon'!I26</f>
        <v>173.43720000000008</v>
      </c>
    </row>
    <row r="27" spans="1:15" ht="12.75" customHeight="1" x14ac:dyDescent="0.2">
      <c r="A27" s="48" t="s">
        <v>651</v>
      </c>
      <c r="B27" s="380">
        <f>'15W40'!I27</f>
        <v>88.098800000000011</v>
      </c>
      <c r="C27" s="380">
        <f>'15W40 Gallon'!I27</f>
        <v>103.09880000000004</v>
      </c>
      <c r="D27" s="49">
        <f>'10W30'!I27</f>
        <v>105.11880000000002</v>
      </c>
      <c r="E27" s="49">
        <f>'10W30 Gallon'!I27</f>
        <v>120.11880000000002</v>
      </c>
      <c r="F27" s="458">
        <f>'T5'!I27</f>
        <v>124.87880000000001</v>
      </c>
      <c r="G27" s="458">
        <f>'T5 Gallon'!I27</f>
        <v>139.87880000000007</v>
      </c>
      <c r="H27" s="212">
        <f>'Petro 10W30'!I27</f>
        <v>139.69880000000001</v>
      </c>
      <c r="I27" s="212">
        <f>'Petro 10W30Gallon'!I27</f>
        <v>154.69880000000001</v>
      </c>
      <c r="J27" s="377">
        <f>'T6'!L27</f>
        <v>138.09879999999998</v>
      </c>
      <c r="K27" s="378">
        <f>'T6 Gallon'!I27</f>
        <v>153.09879999999998</v>
      </c>
      <c r="L27" s="49">
        <f>'Delo 5W30'!I27</f>
        <v>138.09880000000004</v>
      </c>
      <c r="M27" s="49">
        <f>'Delo 5W30 Gallon'!I27</f>
        <v>153.09879999999998</v>
      </c>
      <c r="N27" s="443">
        <f>'Petro 5W30'!I27</f>
        <v>138.09879999999998</v>
      </c>
      <c r="O27" s="443">
        <f>'Petro 5W30 Gallon'!I27</f>
        <v>153.09879999999998</v>
      </c>
    </row>
    <row r="28" spans="1:15" ht="12.75" customHeight="1" x14ac:dyDescent="0.2">
      <c r="A28" s="166" t="s">
        <v>652</v>
      </c>
      <c r="B28" s="379">
        <f>'15W40'!I28</f>
        <v>93.387600000000006</v>
      </c>
      <c r="C28" s="379">
        <f>'15W40 Gallon'!I28</f>
        <v>103.38759999999999</v>
      </c>
      <c r="D28" s="212">
        <f>'10W30'!I28</f>
        <v>105.44760000000001</v>
      </c>
      <c r="E28" s="212">
        <f>'10W30 Gallon'!I28</f>
        <v>115.44759999999999</v>
      </c>
      <c r="F28" s="457">
        <f>'T5'!I28</f>
        <v>112.72760000000001</v>
      </c>
      <c r="G28" s="457">
        <f>'T5 Gallon'!I28</f>
        <v>122.72760000000002</v>
      </c>
      <c r="H28" s="212">
        <f>'Petro 10W30'!I28</f>
        <v>118.1876</v>
      </c>
      <c r="I28" s="212">
        <f>'Petro 10W30Gallon'!I28</f>
        <v>128.1876</v>
      </c>
      <c r="J28" s="377">
        <f>'T6'!L28</f>
        <v>123.38760000000001</v>
      </c>
      <c r="K28" s="377">
        <f>'T6 Gallon'!I28</f>
        <v>133.38759999999999</v>
      </c>
      <c r="L28" s="212">
        <f>'Delo 5W30'!I28</f>
        <v>123.38759999999999</v>
      </c>
      <c r="M28" s="212">
        <f>'Delo 5W30 Gallon'!I28</f>
        <v>133.38759999999999</v>
      </c>
      <c r="N28" s="442">
        <f>'Petro 5W30'!I28</f>
        <v>123.38759999999999</v>
      </c>
      <c r="O28" s="442">
        <f>'Petro 5W30 Gallon'!I28</f>
        <v>133.38760000000002</v>
      </c>
    </row>
    <row r="29" spans="1:15" s="59" customFormat="1" ht="12.75" customHeight="1" x14ac:dyDescent="0.2">
      <c r="A29" s="60"/>
      <c r="B29" s="380"/>
      <c r="C29" s="380"/>
      <c r="D29" s="49"/>
      <c r="E29" s="49"/>
      <c r="F29" s="458"/>
      <c r="G29" s="458"/>
      <c r="H29" s="212"/>
      <c r="I29" s="212"/>
      <c r="J29" s="377"/>
      <c r="K29" s="378"/>
      <c r="L29" s="49"/>
      <c r="M29" s="49"/>
      <c r="N29" s="443"/>
      <c r="O29" s="443"/>
    </row>
    <row r="30" spans="1:15" ht="12.75" customHeight="1" x14ac:dyDescent="0.2">
      <c r="A30" s="166" t="s">
        <v>653</v>
      </c>
      <c r="B30" s="379">
        <f>'15W40'!I30</f>
        <v>89.073200000000014</v>
      </c>
      <c r="C30" s="379">
        <f>'15W40 Gallon'!I30</f>
        <v>99.073199999999986</v>
      </c>
      <c r="D30" s="212">
        <f>'10W30'!I30</f>
        <v>101.13320000000002</v>
      </c>
      <c r="E30" s="212">
        <f>'10W30 Gallon'!I30</f>
        <v>111.13319999999999</v>
      </c>
      <c r="F30" s="457">
        <f>'T5'!I30</f>
        <v>108.41320000000002</v>
      </c>
      <c r="G30" s="457">
        <f>'T5 Gallon'!I30</f>
        <v>118.41320000000002</v>
      </c>
      <c r="H30" s="212">
        <f>'Petro 10W30'!I30</f>
        <v>113.87320000000001</v>
      </c>
      <c r="I30" s="212">
        <f>'Petro 10W30Gallon'!I30</f>
        <v>123.8732</v>
      </c>
      <c r="J30" s="377">
        <f>'T6'!L30</f>
        <v>119.07320000000001</v>
      </c>
      <c r="K30" s="377">
        <f>'T6 Gallon'!I30</f>
        <v>129.07319999999999</v>
      </c>
      <c r="L30" s="212">
        <f>'Delo 5W30'!I30</f>
        <v>119.07319999999999</v>
      </c>
      <c r="M30" s="212">
        <f>'Delo 5W30 Gallon'!I30</f>
        <v>129.07319999999999</v>
      </c>
      <c r="N30" s="442">
        <f>'Petro 5W30'!I30</f>
        <v>119.07319999999999</v>
      </c>
      <c r="O30" s="442">
        <f>'Petro 5W30 Gallon'!I30</f>
        <v>129.07320000000001</v>
      </c>
    </row>
    <row r="31" spans="1:15" s="59" customFormat="1" ht="12.75" customHeight="1" x14ac:dyDescent="0.2">
      <c r="A31" s="60"/>
      <c r="B31" s="380"/>
      <c r="C31" s="380"/>
      <c r="D31" s="49"/>
      <c r="E31" s="49"/>
      <c r="F31" s="458"/>
      <c r="G31" s="458"/>
      <c r="H31" s="212"/>
      <c r="I31" s="212"/>
      <c r="J31" s="377"/>
      <c r="K31" s="378"/>
      <c r="L31" s="49"/>
      <c r="M31" s="49"/>
      <c r="N31" s="443"/>
      <c r="O31" s="443"/>
    </row>
    <row r="32" spans="1:15" ht="12.75" customHeight="1" x14ac:dyDescent="0.2">
      <c r="A32" s="166" t="s">
        <v>423</v>
      </c>
      <c r="B32" s="379">
        <f>'15W40'!I32</f>
        <v>106.49000000000001</v>
      </c>
      <c r="C32" s="379">
        <f>'15W40 Gallon'!I32</f>
        <v>116.49000000000001</v>
      </c>
      <c r="D32" s="212">
        <f>'10W30'!I32</f>
        <v>118.55000000000001</v>
      </c>
      <c r="E32" s="212">
        <f>'10W30 Gallon'!I32</f>
        <v>128.55000000000001</v>
      </c>
      <c r="F32" s="457">
        <f>'T5'!I32</f>
        <v>125.83000000000001</v>
      </c>
      <c r="G32" s="457">
        <f>'T5 Gallon'!I32</f>
        <v>135.83000000000004</v>
      </c>
      <c r="H32" s="212">
        <f>'Petro 10W30'!I32</f>
        <v>131.29000000000002</v>
      </c>
      <c r="I32" s="212">
        <f>'Petro 10W30Gallon'!I32</f>
        <v>141.29000000000002</v>
      </c>
      <c r="J32" s="377">
        <f>'T6'!L32</f>
        <v>136.49</v>
      </c>
      <c r="K32" s="377">
        <f>'T6 Gallon'!I32</f>
        <v>146.49</v>
      </c>
      <c r="L32" s="212">
        <f>'Delo 5W30'!I32</f>
        <v>136.49</v>
      </c>
      <c r="M32" s="212">
        <f>'Delo 5W30 Gallon'!I32</f>
        <v>146.48999999999998</v>
      </c>
      <c r="N32" s="442">
        <f>'Petro 5W30'!I32</f>
        <v>136.49</v>
      </c>
      <c r="O32" s="442">
        <f>'Petro 5W30 Gallon'!I32</f>
        <v>146.48999999999998</v>
      </c>
    </row>
    <row r="33" spans="1:15" ht="12.75" customHeight="1" x14ac:dyDescent="0.2">
      <c r="A33" s="48" t="s">
        <v>654</v>
      </c>
      <c r="B33" s="380">
        <f>'15W40'!I33</f>
        <v>105.06840000000001</v>
      </c>
      <c r="C33" s="380">
        <f>'15W40 Gallon'!I33</f>
        <v>115.0684</v>
      </c>
      <c r="D33" s="49">
        <f>'10W30'!I33</f>
        <v>117.12840000000001</v>
      </c>
      <c r="E33" s="49">
        <f>'10W30 Gallon'!I33</f>
        <v>127.1284</v>
      </c>
      <c r="F33" s="458">
        <f>'T5'!I33</f>
        <v>124.40840000000001</v>
      </c>
      <c r="G33" s="458">
        <f>'T5 Gallon'!I33</f>
        <v>134.40840000000003</v>
      </c>
      <c r="H33" s="212">
        <f>'Petro 10W30'!I33</f>
        <v>129.86840000000001</v>
      </c>
      <c r="I33" s="212">
        <f>'Petro 10W30Gallon'!I33</f>
        <v>139.86840000000001</v>
      </c>
      <c r="J33" s="377">
        <f>'T6'!L33</f>
        <v>135.0684</v>
      </c>
      <c r="K33" s="378">
        <f>'T6 Gallon'!I33</f>
        <v>145.0684</v>
      </c>
      <c r="L33" s="49">
        <f>'Delo 5W30'!I33</f>
        <v>135.0684</v>
      </c>
      <c r="M33" s="49">
        <f>'Delo 5W30 Gallon'!I33</f>
        <v>145.0684</v>
      </c>
      <c r="N33" s="443">
        <f>'Petro 5W30'!I33</f>
        <v>135.0684</v>
      </c>
      <c r="O33" s="443">
        <f>'Petro 5W30 Gallon'!I33</f>
        <v>145.0684</v>
      </c>
    </row>
    <row r="34" spans="1:15" s="59" customFormat="1" ht="12.75" customHeight="1" x14ac:dyDescent="0.2">
      <c r="A34" s="344"/>
      <c r="B34" s="379"/>
      <c r="C34" s="379"/>
      <c r="D34" s="212"/>
      <c r="E34" s="212"/>
      <c r="F34" s="457"/>
      <c r="G34" s="457"/>
      <c r="H34" s="212"/>
      <c r="I34" s="212"/>
      <c r="J34" s="377"/>
      <c r="K34" s="377"/>
      <c r="L34" s="212"/>
      <c r="M34" s="212"/>
      <c r="N34" s="442"/>
      <c r="O34" s="442"/>
    </row>
    <row r="35" spans="1:15" ht="12.75" customHeight="1" x14ac:dyDescent="0.2">
      <c r="A35" s="48" t="s">
        <v>655</v>
      </c>
      <c r="B35" s="380">
        <f>'15W40'!I35</f>
        <v>93.921199999999999</v>
      </c>
      <c r="C35" s="380">
        <f>'15W40 Gallon'!I35</f>
        <v>108.92119999999997</v>
      </c>
      <c r="D35" s="49">
        <f>'10W30'!I35</f>
        <v>113.46120000000002</v>
      </c>
      <c r="E35" s="49">
        <f>'10W30 Gallon'!I35</f>
        <v>128.46119999999999</v>
      </c>
      <c r="F35" s="458">
        <f>'T5'!I35</f>
        <v>126.9812</v>
      </c>
      <c r="G35" s="458">
        <f>'T5 Gallon'!I35</f>
        <v>141.9812</v>
      </c>
      <c r="H35" s="438">
        <f>'Petro 10W30'!I35</f>
        <v>137.12119999999999</v>
      </c>
      <c r="I35" s="438">
        <f>'Petro 10W30Gallon'!I35</f>
        <v>152.12120000000002</v>
      </c>
      <c r="J35" s="459">
        <f>'T6'!L35</f>
        <v>143.92119999999997</v>
      </c>
      <c r="K35" s="378">
        <f>'T6 Gallon'!I35</f>
        <v>158.92119999999994</v>
      </c>
      <c r="L35" s="49">
        <f>'Delo 5W30'!I35</f>
        <v>143.9212</v>
      </c>
      <c r="M35" s="49">
        <f>'Delo 5W30 Gallon'!I35</f>
        <v>158.9212</v>
      </c>
      <c r="N35" s="443">
        <f>'Petro 5W30'!I35</f>
        <v>143.92120000000003</v>
      </c>
      <c r="O35" s="443">
        <f>'Petro 5W30 Gallon'!I35</f>
        <v>158.9212</v>
      </c>
    </row>
    <row r="36" spans="1:15" ht="12.75" customHeight="1" x14ac:dyDescent="0.2">
      <c r="A36" s="166" t="s">
        <v>1245</v>
      </c>
      <c r="B36" s="379">
        <f>'15W40'!I36</f>
        <v>117.69</v>
      </c>
      <c r="C36" s="379">
        <f>'15W40 Gallon'!I36</f>
        <v>137.69</v>
      </c>
      <c r="D36" s="212">
        <f>'10W30'!I36</f>
        <v>138.02999999999997</v>
      </c>
      <c r="E36" s="212">
        <f>'10W30 Gallon'!I36</f>
        <v>158.02999999999997</v>
      </c>
      <c r="F36" s="457">
        <f>'T5'!I36</f>
        <v>161.94999999999999</v>
      </c>
      <c r="G36" s="457">
        <f>'T5 Gallon'!I36</f>
        <v>181.95</v>
      </c>
      <c r="H36" s="212">
        <f>'Petro 10W30'!I36</f>
        <v>179.89</v>
      </c>
      <c r="I36" s="212">
        <f>'Petro 10W30Gallon'!I36</f>
        <v>199.89</v>
      </c>
      <c r="J36" s="377">
        <f>'T6'!L36</f>
        <v>177.69</v>
      </c>
      <c r="K36" s="377">
        <f>'T6 Gallon'!I36</f>
        <v>197.69000000000005</v>
      </c>
      <c r="L36" s="212">
        <f>'Delo 5W30'!I36</f>
        <v>177.68999999999994</v>
      </c>
      <c r="M36" s="212">
        <f>'Delo 5W30 Gallon'!I36</f>
        <v>197.68999999999994</v>
      </c>
      <c r="N36" s="442">
        <f>'Petro 5W30'!I36</f>
        <v>177.68999999999994</v>
      </c>
      <c r="O36" s="442">
        <f>'Petro 5W30 Gallon'!I36</f>
        <v>197.68999999999994</v>
      </c>
    </row>
    <row r="37" spans="1:15" ht="12.75" customHeight="1" x14ac:dyDescent="0.2">
      <c r="A37" s="48" t="s">
        <v>1249</v>
      </c>
      <c r="B37" s="380">
        <f>'15W40'!I37</f>
        <v>124.61720000000001</v>
      </c>
      <c r="C37" s="380">
        <f>'15W40 Gallon'!I37</f>
        <v>149.6172</v>
      </c>
      <c r="D37" s="49">
        <f>'10W30'!I37</f>
        <v>136.67720000000003</v>
      </c>
      <c r="E37" s="49">
        <f>'10W30 Gallon'!I37</f>
        <v>146.6772</v>
      </c>
      <c r="F37" s="458">
        <f>'T5'!I37</f>
        <v>143.9572</v>
      </c>
      <c r="G37" s="458">
        <f>'T5 Gallon'!I37</f>
        <v>153.95720000000003</v>
      </c>
      <c r="H37" s="439">
        <f>'Petro 10W30'!I37</f>
        <v>149.41720000000001</v>
      </c>
      <c r="I37" s="439">
        <f>'Petro 10W30Gallon'!I37</f>
        <v>159.41720000000001</v>
      </c>
      <c r="J37" s="460">
        <f>'T6'!L37</f>
        <v>247.85720000000003</v>
      </c>
      <c r="K37" s="378">
        <f>'T6 Gallon'!I37</f>
        <v>257.85720000000003</v>
      </c>
      <c r="L37" s="49">
        <f>'Delo 5W30'!I37</f>
        <v>117.65720000000002</v>
      </c>
      <c r="M37" s="49">
        <f>'Delo 5W30 Gallon'!I37</f>
        <v>127.65719999999999</v>
      </c>
      <c r="N37" s="443">
        <f>'Petro 5W30'!I37</f>
        <v>154.6172</v>
      </c>
      <c r="O37" s="443">
        <f>'Petro 5W30 Gallon'!I37</f>
        <v>164.61719999999997</v>
      </c>
    </row>
    <row r="38" spans="1:15" ht="12.75" customHeight="1" x14ac:dyDescent="0.2">
      <c r="A38" s="166" t="s">
        <v>1125</v>
      </c>
      <c r="B38" s="379">
        <f>'15W40'!I38</f>
        <v>104.34920000000001</v>
      </c>
      <c r="C38" s="379">
        <f>'15W40 Gallon'!I38</f>
        <v>114.3492</v>
      </c>
      <c r="D38" s="212">
        <f>'10W30'!I38</f>
        <v>116.40920000000001</v>
      </c>
      <c r="E38" s="212">
        <f>'10W30 Gallon'!I38</f>
        <v>126.4092</v>
      </c>
      <c r="F38" s="457">
        <f>'T5'!I38</f>
        <v>123.68920000000001</v>
      </c>
      <c r="G38" s="457">
        <f>'T5 Gallon'!I38</f>
        <v>133.68920000000003</v>
      </c>
      <c r="H38" s="212">
        <f>'Petro 10W30'!I38</f>
        <v>129.14920000000001</v>
      </c>
      <c r="I38" s="212">
        <f>'Petro 10W30Gallon'!I38</f>
        <v>139.14920000000001</v>
      </c>
      <c r="J38" s="377">
        <f>'T6'!L38</f>
        <v>154.3492</v>
      </c>
      <c r="K38" s="377">
        <f>'T6 Gallon'!I38</f>
        <v>164.3492</v>
      </c>
      <c r="L38" s="212">
        <f>'Delo 5W30'!I38</f>
        <v>154.3492</v>
      </c>
      <c r="M38" s="212">
        <f>'Delo 5W30 Gallon'!I38</f>
        <v>169.3492</v>
      </c>
      <c r="N38" s="442">
        <f>'Petro 5W30'!I38</f>
        <v>154.3492</v>
      </c>
      <c r="O38" s="442">
        <f>'Petro 5W30 Gallon'!I38</f>
        <v>169.3492</v>
      </c>
    </row>
    <row r="39" spans="1:15" ht="12.75" customHeight="1" x14ac:dyDescent="0.2">
      <c r="A39" s="48" t="s">
        <v>425</v>
      </c>
      <c r="B39" s="380">
        <f>'15W40'!I39</f>
        <v>139.52000000000001</v>
      </c>
      <c r="C39" s="380">
        <f>'15W40 Gallon'!I39</f>
        <v>149.51999999999998</v>
      </c>
      <c r="D39" s="49">
        <f>'10W30'!I39</f>
        <v>151.58000000000001</v>
      </c>
      <c r="E39" s="49">
        <f>'10W30 Gallon'!I39</f>
        <v>161.57999999999998</v>
      </c>
      <c r="F39" s="458">
        <f>'T5'!I39</f>
        <v>158.86000000000001</v>
      </c>
      <c r="G39" s="458">
        <f>'T5 Gallon'!I39</f>
        <v>168.86</v>
      </c>
      <c r="H39" s="212">
        <f>'Petro 10W30'!I39</f>
        <v>164.32000000000002</v>
      </c>
      <c r="I39" s="212">
        <f>'Petro 10W30Gallon'!I39</f>
        <v>174.32</v>
      </c>
      <c r="J39" s="377">
        <f>'T6'!L39</f>
        <v>199.52</v>
      </c>
      <c r="K39" s="378">
        <f>'T6 Gallon'!I39</f>
        <v>209.51999999999998</v>
      </c>
      <c r="L39" s="49">
        <f>'Delo 5W30'!I39</f>
        <v>199.51999999999998</v>
      </c>
      <c r="M39" s="49">
        <f>'Delo 5W30 Gallon'!I39</f>
        <v>219.51999999999998</v>
      </c>
      <c r="N39" s="443">
        <f>'Petro 5W30'!I39</f>
        <v>199.51999999999998</v>
      </c>
      <c r="O39" s="443">
        <f>'Petro 5W30 Gallon'!I39</f>
        <v>219.51999999999998</v>
      </c>
    </row>
    <row r="40" spans="1:15" s="59" customFormat="1" ht="12.75" customHeight="1" x14ac:dyDescent="0.2">
      <c r="A40" s="344"/>
      <c r="B40" s="379"/>
      <c r="C40" s="379"/>
      <c r="D40" s="212"/>
      <c r="E40" s="212"/>
      <c r="F40" s="457"/>
      <c r="G40" s="457"/>
      <c r="H40" s="212"/>
      <c r="I40" s="212"/>
      <c r="J40" s="377"/>
      <c r="K40" s="377"/>
      <c r="L40" s="212"/>
      <c r="M40" s="212"/>
      <c r="N40" s="442"/>
      <c r="O40" s="442"/>
    </row>
    <row r="41" spans="1:15" ht="12.75" customHeight="1" x14ac:dyDescent="0.2">
      <c r="A41" s="48" t="s">
        <v>907</v>
      </c>
      <c r="B41" s="380">
        <f>'15W40'!I41</f>
        <v>107.8852</v>
      </c>
      <c r="C41" s="380">
        <f>'15W40 Gallon'!I41</f>
        <v>122.88520000000005</v>
      </c>
      <c r="D41" s="49">
        <f>'10W30'!I41</f>
        <v>124.90520000000004</v>
      </c>
      <c r="E41" s="49">
        <f>'10W30 Gallon'!I41</f>
        <v>139.90519999999998</v>
      </c>
      <c r="F41" s="458">
        <f>'T5'!I41</f>
        <v>144.6652</v>
      </c>
      <c r="G41" s="458">
        <f>'T5 Gallon'!I41</f>
        <v>159.66520000000003</v>
      </c>
      <c r="H41" s="212">
        <f>'Petro 10W30'!I41</f>
        <v>159.48519999999999</v>
      </c>
      <c r="I41" s="212">
        <f>'Petro 10W30Gallon'!I41</f>
        <v>174.48519999999999</v>
      </c>
      <c r="J41" s="377">
        <f>'T6'!L41</f>
        <v>157.88519999999994</v>
      </c>
      <c r="K41" s="378">
        <f>'T6 Gallon'!I41</f>
        <v>172.88519999999994</v>
      </c>
      <c r="L41" s="49">
        <f>'Delo 5W30'!I41</f>
        <v>157.88519999999994</v>
      </c>
      <c r="M41" s="49">
        <f>'Delo 5W30 Gallon'!I41</f>
        <v>172.88519999999988</v>
      </c>
      <c r="N41" s="443">
        <f>'Petro 5W30'!I41</f>
        <v>157.88519999999994</v>
      </c>
      <c r="O41" s="443">
        <f>'Petro 5W30 Gallon'!I41</f>
        <v>172.8852</v>
      </c>
    </row>
    <row r="42" spans="1:15" ht="12.75" customHeight="1" x14ac:dyDescent="0.2">
      <c r="A42" s="166" t="s">
        <v>911</v>
      </c>
      <c r="B42" s="379">
        <f>'15W40'!I42</f>
        <v>91.990000000000009</v>
      </c>
      <c r="C42" s="379">
        <f>'15W40 Gallon'!I42</f>
        <v>106.99000000000001</v>
      </c>
      <c r="D42" s="212">
        <f>'10W30'!I42</f>
        <v>109.00999999999999</v>
      </c>
      <c r="E42" s="212">
        <f>'10W30 Gallon'!I42</f>
        <v>124.0100000000001</v>
      </c>
      <c r="F42" s="457">
        <f>'T5'!I42</f>
        <v>128.76999999999998</v>
      </c>
      <c r="G42" s="457">
        <f>'T5 Gallon'!I42</f>
        <v>143.77000000000004</v>
      </c>
      <c r="H42" s="212">
        <f>'Petro 10W30'!I42</f>
        <v>143.59000000000003</v>
      </c>
      <c r="I42" s="212">
        <f>'Petro 10W30Gallon'!I42</f>
        <v>158.59000000000003</v>
      </c>
      <c r="J42" s="377">
        <f>'T6'!L42</f>
        <v>141.99</v>
      </c>
      <c r="K42" s="377">
        <f>'T6 Gallon'!I42</f>
        <v>156.98999999999995</v>
      </c>
      <c r="L42" s="212">
        <f>'Delo 5W30'!I42</f>
        <v>141.98999999999995</v>
      </c>
      <c r="M42" s="212">
        <f>'Delo 5W30 Gallon'!I42</f>
        <v>156.9899999999999</v>
      </c>
      <c r="N42" s="442">
        <f>'Petro 5W30'!I42</f>
        <v>141.99</v>
      </c>
      <c r="O42" s="442">
        <f>'Petro 5W30 Gallon'!I42</f>
        <v>156.99</v>
      </c>
    </row>
    <row r="43" spans="1:15" ht="12.75" customHeight="1" x14ac:dyDescent="0.2">
      <c r="A43" s="48" t="s">
        <v>909</v>
      </c>
      <c r="B43" s="380">
        <f>'15W40'!I43</f>
        <v>108.6352</v>
      </c>
      <c r="C43" s="380">
        <f>'15W40 Gallon'!I43</f>
        <v>133.63520000000005</v>
      </c>
      <c r="D43" s="49">
        <f>'10W30'!I43</f>
        <v>132.08519999999999</v>
      </c>
      <c r="E43" s="49">
        <f>'10W30 Gallon'!I43</f>
        <v>152.08519999999993</v>
      </c>
      <c r="F43" s="458">
        <f>'T5'!I43</f>
        <v>160.68520000000001</v>
      </c>
      <c r="G43" s="458">
        <f>'T5 Gallon'!I43</f>
        <v>180.68520000000007</v>
      </c>
      <c r="H43" s="212">
        <f>'Petro 10W30'!I43</f>
        <v>182.1352</v>
      </c>
      <c r="I43" s="212">
        <f>'Petro 10W30Gallon'!I43</f>
        <v>207.13520000000005</v>
      </c>
      <c r="J43" s="377">
        <f>'T6'!L43</f>
        <v>178.63520000000005</v>
      </c>
      <c r="K43" s="378">
        <f>'T6 Gallon'!I43</f>
        <v>203.63520000000005</v>
      </c>
      <c r="L43" s="49">
        <f>'Delo 5W30'!I43</f>
        <v>178.63520000000005</v>
      </c>
      <c r="M43" s="49">
        <f>'Delo 5W30 Gallon'!I43</f>
        <v>198.63520000000005</v>
      </c>
      <c r="N43" s="443">
        <f>'Petro 5W30'!I43</f>
        <v>178.6352</v>
      </c>
      <c r="O43" s="443">
        <f>'Petro 5W30 Gallon'!I43</f>
        <v>198.63520000000005</v>
      </c>
    </row>
    <row r="44" spans="1:15" ht="12.75" customHeight="1" x14ac:dyDescent="0.2">
      <c r="A44" s="166" t="s">
        <v>910</v>
      </c>
      <c r="B44" s="379">
        <f>'15W40'!I44</f>
        <v>94.740000000000009</v>
      </c>
      <c r="C44" s="379">
        <f>'15W40 Gallon'!I44</f>
        <v>119.74000000000007</v>
      </c>
      <c r="D44" s="212">
        <f>'10W30'!I44</f>
        <v>118.19</v>
      </c>
      <c r="E44" s="212">
        <f>'10W30 Gallon'!I44</f>
        <v>138.18999999999994</v>
      </c>
      <c r="F44" s="457">
        <f>'T5'!I44</f>
        <v>146.79000000000002</v>
      </c>
      <c r="G44" s="457">
        <f>'T5 Gallon'!I44</f>
        <v>166.79000000000008</v>
      </c>
      <c r="H44" s="212">
        <f>'Petro 10W30'!I44</f>
        <v>168.24</v>
      </c>
      <c r="I44" s="212">
        <f>'Petro 10W30Gallon'!I44</f>
        <v>193.24</v>
      </c>
      <c r="J44" s="377">
        <f>'T6'!L44</f>
        <v>164.74</v>
      </c>
      <c r="K44" s="377">
        <f>'T6 Gallon'!I44</f>
        <v>189.74</v>
      </c>
      <c r="L44" s="212">
        <f>'Delo 5W30'!I44</f>
        <v>164.74</v>
      </c>
      <c r="M44" s="212">
        <f>'Delo 5W30 Gallon'!I44</f>
        <v>184.74000000000012</v>
      </c>
      <c r="N44" s="442">
        <f>'Petro 5W30'!I44</f>
        <v>164.74</v>
      </c>
      <c r="O44" s="442">
        <f>'Petro 5W30 Gallon'!I44</f>
        <v>184.74000000000012</v>
      </c>
    </row>
    <row r="45" spans="1:15" ht="12.75" customHeight="1" x14ac:dyDescent="0.2">
      <c r="A45" s="48" t="s">
        <v>656</v>
      </c>
      <c r="B45" s="380">
        <f>'15W40'!I45</f>
        <v>98.105999999999995</v>
      </c>
      <c r="C45" s="380">
        <f>'15W40 Gallon'!I45</f>
        <v>113.10600000000005</v>
      </c>
      <c r="D45" s="49">
        <f>'10W30'!I45</f>
        <v>115.12600000000003</v>
      </c>
      <c r="E45" s="49">
        <f>'10W30 Gallon'!I45</f>
        <v>135.12600000000003</v>
      </c>
      <c r="F45" s="458">
        <f>'T5'!I45</f>
        <v>134.88600000000002</v>
      </c>
      <c r="G45" s="458">
        <f>'T5 Gallon'!I45</f>
        <v>149.88600000000002</v>
      </c>
      <c r="H45" s="212">
        <f>'Petro 10W30'!I45</f>
        <v>149.70600000000002</v>
      </c>
      <c r="I45" s="212">
        <f>'Petro 10W30Gallon'!I45</f>
        <v>164.70600000000002</v>
      </c>
      <c r="J45" s="377">
        <f>'T6'!L45</f>
        <v>148.10599999999999</v>
      </c>
      <c r="K45" s="378">
        <f>'T6 Gallon'!I45</f>
        <v>163.10599999999994</v>
      </c>
      <c r="L45" s="49">
        <f>'Delo 5W30'!I45</f>
        <v>148.10599999999999</v>
      </c>
      <c r="M45" s="49">
        <f>'Delo 5W30 Gallon'!I45</f>
        <v>163.10599999999999</v>
      </c>
      <c r="N45" s="443">
        <f>'Petro 5W30'!I45</f>
        <v>148.10599999999999</v>
      </c>
      <c r="O45" s="443">
        <f>'Petro 5W30 Gallon'!I45</f>
        <v>163.10599999999999</v>
      </c>
    </row>
    <row r="46" spans="1:15" ht="12.75" customHeight="1" x14ac:dyDescent="0.2">
      <c r="A46" s="166" t="s">
        <v>657</v>
      </c>
      <c r="B46" s="379">
        <f>'15W40'!I46</f>
        <v>98.605999999999995</v>
      </c>
      <c r="C46" s="379">
        <f>'15W40 Gallon'!I46</f>
        <v>123.60599999999999</v>
      </c>
      <c r="D46" s="212">
        <f>'10W30'!I46</f>
        <v>122.68600000000004</v>
      </c>
      <c r="E46" s="212">
        <f>'10W30 Gallon'!I46</f>
        <v>147.68599999999998</v>
      </c>
      <c r="F46" s="457">
        <f>'T5'!I46</f>
        <v>149.726</v>
      </c>
      <c r="G46" s="457">
        <f>'T5 Gallon'!I46</f>
        <v>174.726</v>
      </c>
      <c r="H46" s="212">
        <f>'Petro 10W30'!I46</f>
        <v>170.00600000000003</v>
      </c>
      <c r="I46" s="212">
        <f>'Petro 10W30Gallon'!I46</f>
        <v>195.00599999999997</v>
      </c>
      <c r="J46" s="377">
        <f>'T6'!L46</f>
        <v>168.60600000000005</v>
      </c>
      <c r="K46" s="377">
        <f>'T6 Gallon'!I46</f>
        <v>193.60600000000005</v>
      </c>
      <c r="L46" s="212">
        <f>'Delo 5W30'!I46</f>
        <v>168.60599999999999</v>
      </c>
      <c r="M46" s="212">
        <f>'Delo 5W30 Gallon'!I46</f>
        <v>193.60599999999999</v>
      </c>
      <c r="N46" s="442">
        <f>'Petro 5W30'!I46</f>
        <v>168.60600000000005</v>
      </c>
      <c r="O46" s="442">
        <f>'Petro 5W30 Gallon'!I46</f>
        <v>193.60599999999999</v>
      </c>
    </row>
    <row r="47" spans="1:15" x14ac:dyDescent="0.2">
      <c r="A47" s="48" t="s">
        <v>658</v>
      </c>
      <c r="B47" s="380">
        <f>'15W40'!I47</f>
        <v>96.100000000000023</v>
      </c>
      <c r="C47" s="380">
        <f>'15W40 Gallon'!I47</f>
        <v>111.10000000000002</v>
      </c>
      <c r="D47" s="49">
        <f>'10W30'!I47</f>
        <v>113.12</v>
      </c>
      <c r="E47" s="49">
        <f>'10W30 Gallon'!I47</f>
        <v>128.12000000000012</v>
      </c>
      <c r="F47" s="458">
        <f>'T5'!I47</f>
        <v>132.88</v>
      </c>
      <c r="G47" s="458">
        <f>'T5 Gallon'!I47</f>
        <v>147.88000000000005</v>
      </c>
      <c r="H47" s="212">
        <f>'Petro 10W30'!I47</f>
        <v>147.70000000000005</v>
      </c>
      <c r="I47" s="212">
        <f>'Petro 10W30Gallon'!I47</f>
        <v>162.70000000000005</v>
      </c>
      <c r="J47" s="377">
        <f>'T6'!L47</f>
        <v>146.10000000000002</v>
      </c>
      <c r="K47" s="378">
        <f>'T6 Gallon'!I47</f>
        <v>161.09999999999997</v>
      </c>
      <c r="L47" s="49">
        <f>'Delo 5W30'!I47</f>
        <v>146.09999999999997</v>
      </c>
      <c r="M47" s="49">
        <f>'Delo 5W30 Gallon'!I47</f>
        <v>161.09999999999991</v>
      </c>
      <c r="N47" s="443">
        <f>'Petro 5W30'!I47</f>
        <v>146.10000000000002</v>
      </c>
      <c r="O47" s="443">
        <f>'Petro 5W30 Gallon'!I47</f>
        <v>161.10000000000002</v>
      </c>
    </row>
    <row r="48" spans="1:15" x14ac:dyDescent="0.2">
      <c r="A48" s="166" t="s">
        <v>659</v>
      </c>
      <c r="B48" s="379">
        <f>'15W40'!I48</f>
        <v>99.600000000000023</v>
      </c>
      <c r="C48" s="379">
        <f>'15W40 Gallon'!I48</f>
        <v>124.59999999999997</v>
      </c>
      <c r="D48" s="212">
        <f>'10W30'!I48</f>
        <v>123.68000000000006</v>
      </c>
      <c r="E48" s="212">
        <f>'10W30 Gallon'!I48</f>
        <v>148.68</v>
      </c>
      <c r="F48" s="457">
        <f>'T5'!I48</f>
        <v>150.72000000000003</v>
      </c>
      <c r="G48" s="457">
        <f>'T5 Gallon'!I48</f>
        <v>175.72000000000003</v>
      </c>
      <c r="H48" s="212">
        <f>'Petro 10W30'!I48</f>
        <v>171</v>
      </c>
      <c r="I48" s="212">
        <f>'Petro 10W30Gallon'!I48</f>
        <v>196.00000000000006</v>
      </c>
      <c r="J48" s="377">
        <f>'T6'!L48</f>
        <v>169.59999999999997</v>
      </c>
      <c r="K48" s="377">
        <f>'T6 Gallon'!I48</f>
        <v>194.60000000000002</v>
      </c>
      <c r="L48" s="212">
        <f>'Delo 5W30'!I48</f>
        <v>169.60000000000002</v>
      </c>
      <c r="M48" s="212">
        <f>'Delo 5W30 Gallon'!I48</f>
        <v>194.60000000000002</v>
      </c>
      <c r="N48" s="442">
        <f>'Petro 5W30'!I48</f>
        <v>169.60000000000008</v>
      </c>
      <c r="O48" s="442">
        <f>'Petro 5W30 Gallon'!I48</f>
        <v>194.60000000000002</v>
      </c>
    </row>
    <row r="49" spans="1:15" s="59" customFormat="1" x14ac:dyDescent="0.2">
      <c r="A49" s="60"/>
      <c r="B49" s="380"/>
      <c r="C49" s="380"/>
      <c r="D49" s="49"/>
      <c r="E49" s="49"/>
      <c r="F49" s="458"/>
      <c r="G49" s="458"/>
      <c r="H49" s="212"/>
      <c r="I49" s="212"/>
      <c r="J49" s="377"/>
      <c r="K49" s="378"/>
      <c r="L49" s="49"/>
      <c r="M49" s="49"/>
      <c r="N49" s="443"/>
      <c r="O49" s="443"/>
    </row>
    <row r="50" spans="1:15" x14ac:dyDescent="0.2">
      <c r="A50" s="166" t="s">
        <v>660</v>
      </c>
      <c r="B50" s="379">
        <f>'15W40'!I50</f>
        <v>94.81</v>
      </c>
      <c r="C50" s="379">
        <f>'15W40 Gallon'!I50</f>
        <v>109.81</v>
      </c>
      <c r="D50" s="212">
        <f>'10W30'!I50</f>
        <v>114.35000000000002</v>
      </c>
      <c r="E50" s="212">
        <f>'10W30 Gallon'!I50</f>
        <v>129.35000000000002</v>
      </c>
      <c r="F50" s="457">
        <f>'T5'!I50</f>
        <v>127.87</v>
      </c>
      <c r="G50" s="457">
        <f>'T5 Gallon'!I50</f>
        <v>142.87</v>
      </c>
      <c r="H50" s="212">
        <f>'Petro 10W30'!I50</f>
        <v>138.01</v>
      </c>
      <c r="I50" s="212">
        <f>'Petro 10W30Gallon'!I50</f>
        <v>153.01000000000005</v>
      </c>
      <c r="J50" s="377">
        <f>'T6'!L50</f>
        <v>144.80999999999995</v>
      </c>
      <c r="K50" s="377">
        <f>'T6 Gallon'!I50</f>
        <v>159.80999999999995</v>
      </c>
      <c r="L50" s="212">
        <f>'Delo 5W30'!I50</f>
        <v>144.81</v>
      </c>
      <c r="M50" s="212">
        <f>'Delo 5W30 Gallon'!I50</f>
        <v>159.81</v>
      </c>
      <c r="N50" s="442">
        <f>'Petro 5W30'!I50</f>
        <v>144.80999999999995</v>
      </c>
      <c r="O50" s="442">
        <f>'Petro 5W30 Gallon'!I50</f>
        <v>159.80999999999995</v>
      </c>
    </row>
    <row r="51" spans="1:15" x14ac:dyDescent="0.2">
      <c r="A51" s="48" t="s">
        <v>661</v>
      </c>
      <c r="B51" s="380">
        <f>'15W40'!I51</f>
        <v>93.314000000000021</v>
      </c>
      <c r="C51" s="380">
        <f>'15W40 Gallon'!I51</f>
        <v>108.31400000000002</v>
      </c>
      <c r="D51" s="49">
        <f>'10W30'!I51</f>
        <v>112.85400000000004</v>
      </c>
      <c r="E51" s="49">
        <f>'10W30 Gallon'!I51</f>
        <v>127.85399999999998</v>
      </c>
      <c r="F51" s="458">
        <f>'T5'!I51</f>
        <v>126.37400000000002</v>
      </c>
      <c r="G51" s="458">
        <f>'T5 Gallon'!I51</f>
        <v>141.37400000000002</v>
      </c>
      <c r="H51" s="212">
        <f>'Petro 10W30'!I51</f>
        <v>136.51400000000001</v>
      </c>
      <c r="I51" s="212">
        <f>'Petro 10W30Gallon'!I51</f>
        <v>151.51400000000007</v>
      </c>
      <c r="J51" s="377">
        <f>'T6'!L51</f>
        <v>143.31400000000002</v>
      </c>
      <c r="K51" s="378">
        <f>'T6 Gallon'!I51</f>
        <v>158.31400000000008</v>
      </c>
      <c r="L51" s="49">
        <f>'Delo 5W30'!I51</f>
        <v>143.31400000000002</v>
      </c>
      <c r="M51" s="49">
        <f>'Delo 5W30 Gallon'!I51</f>
        <v>158.31400000000002</v>
      </c>
      <c r="N51" s="443">
        <f>'Petro 5W30'!I51</f>
        <v>143.31400000000002</v>
      </c>
      <c r="O51" s="443">
        <f>'Petro 5W30 Gallon'!I51</f>
        <v>158.31400000000002</v>
      </c>
    </row>
    <row r="52" spans="1:15" x14ac:dyDescent="0.2">
      <c r="A52" s="166" t="s">
        <v>662</v>
      </c>
      <c r="B52" s="379">
        <f>'15W40'!I52</f>
        <v>100.80000000000001</v>
      </c>
      <c r="C52" s="379">
        <f>'15W40 Gallon'!I52</f>
        <v>115.80000000000007</v>
      </c>
      <c r="D52" s="212">
        <f>'10W30'!I52</f>
        <v>117.82000000000005</v>
      </c>
      <c r="E52" s="212">
        <f>'10W30 Gallon'!I52</f>
        <v>132.82000000000005</v>
      </c>
      <c r="F52" s="457">
        <f>'T5'!I52</f>
        <v>137.58000000000004</v>
      </c>
      <c r="G52" s="457">
        <f>'T5 Gallon'!I52</f>
        <v>152.58000000000004</v>
      </c>
      <c r="H52" s="212">
        <f>'Petro 10W30'!I52</f>
        <v>152.39999999999998</v>
      </c>
      <c r="I52" s="212">
        <f>'Petro 10W30Gallon'!I52</f>
        <v>167.39999999999998</v>
      </c>
      <c r="J52" s="377">
        <f>'T6'!L52</f>
        <v>150.79999999999995</v>
      </c>
      <c r="K52" s="377">
        <f>'T6 Gallon'!I52</f>
        <v>165.79999999999995</v>
      </c>
      <c r="L52" s="212">
        <f>'Delo 5W30'!I52</f>
        <v>150.79999999999995</v>
      </c>
      <c r="M52" s="212">
        <f>'Delo 5W30 Gallon'!I52</f>
        <v>165.7999999999999</v>
      </c>
      <c r="N52" s="442">
        <f>'Petro 5W30'!I52</f>
        <v>150.79999999999995</v>
      </c>
      <c r="O52" s="442">
        <f>'Petro 5W30 Gallon'!I52</f>
        <v>165.8</v>
      </c>
    </row>
    <row r="53" spans="1:15" x14ac:dyDescent="0.2">
      <c r="A53" s="48" t="s">
        <v>663</v>
      </c>
      <c r="B53" s="380">
        <f>'15W40'!I53</f>
        <v>98.686800000000005</v>
      </c>
      <c r="C53" s="380">
        <f>'15W40 Gallon'!I53</f>
        <v>113.68680000000006</v>
      </c>
      <c r="D53" s="49">
        <f>'10W30'!I53</f>
        <v>115.70680000000004</v>
      </c>
      <c r="E53" s="49">
        <f>'10W30 Gallon'!I53</f>
        <v>130.70680000000004</v>
      </c>
      <c r="F53" s="458">
        <f>'T5'!I53</f>
        <v>135.46680000000003</v>
      </c>
      <c r="G53" s="458">
        <f>'T5 Gallon'!I53</f>
        <v>150.46680000000003</v>
      </c>
      <c r="H53" s="212">
        <f>'Petro 10W30'!I53</f>
        <v>150.28680000000003</v>
      </c>
      <c r="I53" s="212">
        <f>'Petro 10W30Gallon'!I53</f>
        <v>165.28680000000003</v>
      </c>
      <c r="J53" s="377">
        <f>'T6'!L53</f>
        <v>148.68680000000001</v>
      </c>
      <c r="K53" s="378">
        <f>'T6 Gallon'!I53</f>
        <v>163.68679999999995</v>
      </c>
      <c r="L53" s="49">
        <f>'Delo 5W30'!I53</f>
        <v>148.68680000000001</v>
      </c>
      <c r="M53" s="49">
        <f>'Delo 5W30 Gallon'!I53</f>
        <v>163.68680000000001</v>
      </c>
      <c r="N53" s="443">
        <f>'Petro 5W30'!I53</f>
        <v>148.68680000000001</v>
      </c>
      <c r="O53" s="443">
        <f>'Petro 5W30 Gallon'!I53</f>
        <v>163.68680000000001</v>
      </c>
    </row>
    <row r="54" spans="1:15" s="59" customFormat="1" x14ac:dyDescent="0.2">
      <c r="A54" s="344"/>
      <c r="B54" s="379"/>
      <c r="C54" s="379"/>
      <c r="D54" s="212"/>
      <c r="E54" s="212"/>
      <c r="F54" s="457"/>
      <c r="G54" s="457"/>
      <c r="H54" s="212"/>
      <c r="I54" s="212"/>
      <c r="J54" s="377"/>
      <c r="K54" s="377"/>
      <c r="L54" s="212"/>
      <c r="M54" s="212"/>
      <c r="N54" s="442"/>
      <c r="O54" s="442"/>
    </row>
    <row r="55" spans="1:15" x14ac:dyDescent="0.2">
      <c r="A55" s="48" t="s">
        <v>665</v>
      </c>
      <c r="B55" s="380">
        <f>'15W40'!I55</f>
        <v>107.23000000000002</v>
      </c>
      <c r="C55" s="380">
        <f>'15W40 Gallon'!I55</f>
        <v>127.23000000000002</v>
      </c>
      <c r="D55" s="49">
        <f>'10W30'!I55</f>
        <v>127.36000000000001</v>
      </c>
      <c r="E55" s="49">
        <f>'10W30 Gallon'!I55</f>
        <v>147.36000000000001</v>
      </c>
      <c r="F55" s="458">
        <f>'T5'!I55</f>
        <v>151.80000000000001</v>
      </c>
      <c r="G55" s="458">
        <f>'T5 Gallon'!I55</f>
        <v>171.8</v>
      </c>
      <c r="H55" s="212">
        <f>'Petro 10W30'!I55</f>
        <v>170.13</v>
      </c>
      <c r="I55" s="212">
        <f>'Petro 10W30Gallon'!I55</f>
        <v>190.13</v>
      </c>
      <c r="J55" s="377">
        <f>'T6'!L55</f>
        <v>167.23000000000002</v>
      </c>
      <c r="K55" s="378">
        <f>'T6 Gallon'!I55</f>
        <v>192.23000000000002</v>
      </c>
      <c r="L55" s="49">
        <f>'Delo 5W30'!I55</f>
        <v>167.22999999999996</v>
      </c>
      <c r="M55" s="49">
        <f>'Delo 5W30 Gallon'!I55</f>
        <v>187.22999999999996</v>
      </c>
      <c r="N55" s="443">
        <f>'Petro 5W30'!I55</f>
        <v>167.23000000000002</v>
      </c>
      <c r="O55" s="443">
        <f>'Petro 5W30 Gallon'!I55</f>
        <v>187.23000000000002</v>
      </c>
    </row>
    <row r="56" spans="1:15" x14ac:dyDescent="0.2">
      <c r="A56" s="166" t="s">
        <v>666</v>
      </c>
      <c r="B56" s="379">
        <f>'15W40'!I56</f>
        <v>93.798400000000015</v>
      </c>
      <c r="C56" s="379">
        <f>'15W40 Gallon'!I56</f>
        <v>113.79840000000002</v>
      </c>
      <c r="D56" s="212">
        <f>'10W30'!I56</f>
        <v>113.92840000000001</v>
      </c>
      <c r="E56" s="212">
        <f>'10W30 Gallon'!I56</f>
        <v>133.92840000000001</v>
      </c>
      <c r="F56" s="457">
        <f>'T5'!I56</f>
        <v>138.36840000000001</v>
      </c>
      <c r="G56" s="457">
        <f>'T5 Gallon'!I56</f>
        <v>158.36840000000001</v>
      </c>
      <c r="H56" s="212">
        <f>'Petro 10W30'!I56</f>
        <v>156.69840000000002</v>
      </c>
      <c r="I56" s="212">
        <f>'Petro 10W30Gallon'!I56</f>
        <v>176.69839999999999</v>
      </c>
      <c r="J56" s="377">
        <f>'T6'!L56</f>
        <v>153.79840000000002</v>
      </c>
      <c r="K56" s="377">
        <f>'T6 Gallon'!I56</f>
        <v>178.79840000000002</v>
      </c>
      <c r="L56" s="212">
        <f>'Delo 5W30'!I56</f>
        <v>153.79839999999996</v>
      </c>
      <c r="M56" s="212">
        <f>'Delo 5W30 Gallon'!I56</f>
        <v>173.79839999999996</v>
      </c>
      <c r="N56" s="443">
        <f>'Petro 5W30'!I56</f>
        <v>153.79840000000002</v>
      </c>
      <c r="O56" s="443">
        <f>'Petro 5W30 Gallon'!I56</f>
        <v>173.79840000000002</v>
      </c>
    </row>
    <row r="57" spans="1:15" x14ac:dyDescent="0.2">
      <c r="A57" s="48" t="s">
        <v>667</v>
      </c>
      <c r="B57" s="380">
        <f>'15W40'!I57</f>
        <v>113.94</v>
      </c>
      <c r="C57" s="380">
        <f>'15W40 Gallon'!I57</f>
        <v>128.94</v>
      </c>
      <c r="D57" s="49">
        <f>'10W30'!I57</f>
        <v>133.48000000000002</v>
      </c>
      <c r="E57" s="49">
        <f>'10W30 Gallon'!I57</f>
        <v>148.48000000000002</v>
      </c>
      <c r="F57" s="458">
        <f>'T5'!I57</f>
        <v>147</v>
      </c>
      <c r="G57" s="458">
        <f>'T5 Gallon'!I57</f>
        <v>162</v>
      </c>
      <c r="H57" s="212">
        <f>'Petro 10W30'!I57</f>
        <v>157.14000000000001</v>
      </c>
      <c r="I57" s="212">
        <f>'Petro 10W30Gallon'!I57</f>
        <v>172.14000000000004</v>
      </c>
      <c r="J57" s="377">
        <f>'T6'!L57</f>
        <v>163.94</v>
      </c>
      <c r="K57" s="378">
        <f>'T6 Gallon'!I57</f>
        <v>178.94</v>
      </c>
      <c r="L57" s="49">
        <f>'Delo 5W30'!I57</f>
        <v>163.94</v>
      </c>
      <c r="M57" s="49">
        <f>'Delo 5W30 Gallon'!I57</f>
        <v>178.94</v>
      </c>
      <c r="N57" s="443">
        <f>'Petro 5W30'!I57</f>
        <v>163.94000000000005</v>
      </c>
      <c r="O57" s="443">
        <f>'Petro 5W30 Gallon'!I57</f>
        <v>178.94</v>
      </c>
    </row>
    <row r="58" spans="1:15" x14ac:dyDescent="0.2">
      <c r="A58" s="166" t="s">
        <v>668</v>
      </c>
      <c r="B58" s="379">
        <f>'15W40'!I58</f>
        <v>90.01400000000001</v>
      </c>
      <c r="C58" s="379">
        <f>'15W40 Gallon'!I58</f>
        <v>105.01399999999998</v>
      </c>
      <c r="D58" s="212">
        <f>'10W30'!I58</f>
        <v>109.55400000000003</v>
      </c>
      <c r="E58" s="212">
        <f>'10W30 Gallon'!I58</f>
        <v>124.554</v>
      </c>
      <c r="F58" s="457">
        <f>'T5'!I58</f>
        <v>123.07400000000001</v>
      </c>
      <c r="G58" s="457">
        <f>'T5 Gallon'!I58</f>
        <v>138.07400000000001</v>
      </c>
      <c r="H58" s="212">
        <f>'Petro 10W30'!I58</f>
        <v>133.214</v>
      </c>
      <c r="I58" s="212">
        <f>'Petro 10W30Gallon'!I58</f>
        <v>148.21400000000003</v>
      </c>
      <c r="J58" s="377">
        <f>'T6'!L58</f>
        <v>140.01399999999998</v>
      </c>
      <c r="K58" s="377">
        <f>'T6 Gallon'!I58</f>
        <v>155.01399999999995</v>
      </c>
      <c r="L58" s="212">
        <f>'Delo 5W30'!I58</f>
        <v>140.01400000000001</v>
      </c>
      <c r="M58" s="212">
        <f>'Delo 5W30 Gallon'!I58</f>
        <v>155.01400000000001</v>
      </c>
      <c r="N58" s="442">
        <f>'Petro 5W30'!I58</f>
        <v>140.01400000000004</v>
      </c>
      <c r="O58" s="442">
        <f>'Petro 5W30 Gallon'!I58</f>
        <v>155.01400000000001</v>
      </c>
    </row>
    <row r="59" spans="1:15" x14ac:dyDescent="0.2">
      <c r="A59" s="48" t="s">
        <v>669</v>
      </c>
      <c r="B59" s="380">
        <f>'15W40'!I59</f>
        <v>109.99000000000001</v>
      </c>
      <c r="C59" s="380">
        <f>'15W40 Gallon'!I59</f>
        <v>124.98999999999998</v>
      </c>
      <c r="D59" s="49">
        <f>'10W30'!I59</f>
        <v>129.95000000000002</v>
      </c>
      <c r="E59" s="49">
        <f>'10W30 Gallon'!I59</f>
        <v>139.95000000000002</v>
      </c>
      <c r="F59" s="458">
        <f>'T5'!I59</f>
        <v>142.43</v>
      </c>
      <c r="G59" s="458">
        <f>'T5 Gallon'!I59</f>
        <v>152.43</v>
      </c>
      <c r="H59" s="212">
        <f>'Petro 10W30'!I59</f>
        <v>151.79000000000002</v>
      </c>
      <c r="I59" s="212">
        <f>'Petro 10W30Gallon'!I59</f>
        <v>166.79000000000002</v>
      </c>
      <c r="J59" s="377">
        <f>'T6'!L59</f>
        <v>159.98999999999998</v>
      </c>
      <c r="K59" s="378">
        <f>'T6 Gallon'!I59</f>
        <v>218.70999999999995</v>
      </c>
      <c r="L59" s="49">
        <f>'Delo 5W30'!I59</f>
        <v>159.99000000000004</v>
      </c>
      <c r="M59" s="49">
        <f>'Delo 5W30 Gallon'!I59</f>
        <v>169.99000000000007</v>
      </c>
      <c r="N59" s="443">
        <f>'Petro 5W30'!I59</f>
        <v>159.99</v>
      </c>
      <c r="O59" s="443">
        <f>'Petro 5W30 Gallon'!I59</f>
        <v>169.98999999999998</v>
      </c>
    </row>
    <row r="60" spans="1:15" x14ac:dyDescent="0.2">
      <c r="A60" s="166" t="s">
        <v>691</v>
      </c>
      <c r="B60" s="379">
        <f>'15W40'!I60</f>
        <v>93.5</v>
      </c>
      <c r="C60" s="379">
        <f>'15W40 Gallon'!I60</f>
        <v>103.5</v>
      </c>
      <c r="D60" s="212">
        <f>'10W30'!I60</f>
        <v>105.77000000000001</v>
      </c>
      <c r="E60" s="212">
        <f>'10W30 Gallon'!I60</f>
        <v>115.77000000000004</v>
      </c>
      <c r="F60" s="457">
        <f>'T5'!I60</f>
        <v>112.53</v>
      </c>
      <c r="G60" s="457">
        <f>'T5 Gallon'!I60</f>
        <v>122.53</v>
      </c>
      <c r="H60" s="212">
        <f>'Petro 10W30'!I60</f>
        <v>117.6</v>
      </c>
      <c r="I60" s="212">
        <f>'Petro 10W30Gallon'!I60</f>
        <v>127.59999999999997</v>
      </c>
      <c r="J60" s="377">
        <f>'T6'!L60</f>
        <v>123.49999999999994</v>
      </c>
      <c r="K60" s="377">
        <f>'T6 Gallon'!I60</f>
        <v>133.49999999999994</v>
      </c>
      <c r="L60" s="212">
        <f>'Delo 5W30'!I60</f>
        <v>123.5</v>
      </c>
      <c r="M60" s="212">
        <f>'Delo 5W30 Gallon'!I60</f>
        <v>133.5</v>
      </c>
      <c r="N60" s="442">
        <f>'Petro 5W30'!I60</f>
        <v>123.5</v>
      </c>
      <c r="O60" s="442">
        <f>'Petro 5W30 Gallon'!I60</f>
        <v>133.49999999999997</v>
      </c>
    </row>
    <row r="61" spans="1:15" s="59" customFormat="1" x14ac:dyDescent="0.2">
      <c r="A61" s="60"/>
      <c r="B61" s="380"/>
      <c r="C61" s="380"/>
      <c r="D61" s="49"/>
      <c r="E61" s="49"/>
      <c r="F61" s="458"/>
      <c r="G61" s="458"/>
      <c r="H61" s="438"/>
      <c r="I61" s="438"/>
      <c r="J61" s="459"/>
      <c r="K61" s="378"/>
      <c r="L61" s="49"/>
      <c r="M61" s="49"/>
      <c r="N61" s="443"/>
      <c r="O61" s="443"/>
    </row>
    <row r="62" spans="1:15" s="59" customFormat="1" x14ac:dyDescent="0.2">
      <c r="A62" s="60"/>
      <c r="B62" s="380"/>
      <c r="C62" s="380"/>
      <c r="D62" s="49"/>
      <c r="E62" s="49"/>
      <c r="F62" s="458"/>
      <c r="G62" s="458"/>
      <c r="H62" s="49"/>
      <c r="I62" s="49"/>
      <c r="J62" s="378"/>
      <c r="K62" s="378"/>
      <c r="L62" s="49"/>
      <c r="M62" s="49"/>
      <c r="N62" s="443"/>
      <c r="O62" s="443"/>
    </row>
    <row r="63" spans="1:15" x14ac:dyDescent="0.2">
      <c r="A63" s="166" t="s">
        <v>673</v>
      </c>
      <c r="B63" s="379">
        <f>'15W40'!I63</f>
        <v>90.463600000000014</v>
      </c>
      <c r="C63" s="379">
        <f>'15W40 Gallon'!I63</f>
        <v>105.46359999999999</v>
      </c>
      <c r="D63" s="212">
        <f>'10W30'!I63</f>
        <v>110.00360000000001</v>
      </c>
      <c r="E63" s="212">
        <f>'10W30 Gallon'!I63</f>
        <v>125.00360000000001</v>
      </c>
      <c r="F63" s="457">
        <f>'T5'!I63</f>
        <v>123.52360000000002</v>
      </c>
      <c r="G63" s="457">
        <f>'T5 Gallon'!I63</f>
        <v>138.52360000000002</v>
      </c>
      <c r="H63" s="212">
        <f>'Petro 10W30'!I63</f>
        <v>133.6636</v>
      </c>
      <c r="I63" s="212">
        <f>'Petro 10W30Gallon'!I63</f>
        <v>148.66360000000003</v>
      </c>
      <c r="J63" s="377">
        <f>'T6'!L63</f>
        <v>140.46359999999999</v>
      </c>
      <c r="K63" s="377">
        <f>'T6 Gallon'!I63</f>
        <v>155.46359999999999</v>
      </c>
      <c r="L63" s="212">
        <f>'Delo 5W30'!I63</f>
        <v>140.46360000000001</v>
      </c>
      <c r="M63" s="212">
        <f>'Delo 5W30 Gallon'!I63</f>
        <v>155.46359999999999</v>
      </c>
      <c r="N63" s="442">
        <f>'Petro 5W30'!I63</f>
        <v>140.46360000000004</v>
      </c>
      <c r="O63" s="442">
        <f>'Petro 5W30 Gallon'!I63</f>
        <v>155.46360000000001</v>
      </c>
    </row>
    <row r="64" spans="1:15" s="59" customFormat="1" x14ac:dyDescent="0.2">
      <c r="A64" s="344"/>
      <c r="B64" s="379"/>
      <c r="C64" s="379"/>
      <c r="D64" s="212"/>
      <c r="E64" s="212"/>
      <c r="F64" s="457"/>
      <c r="G64" s="457"/>
      <c r="H64" s="212"/>
      <c r="I64" s="212"/>
      <c r="J64" s="377"/>
      <c r="K64" s="377"/>
      <c r="L64" s="212"/>
      <c r="M64" s="212"/>
      <c r="N64" s="443"/>
      <c r="O64" s="443"/>
    </row>
    <row r="65" spans="1:15" x14ac:dyDescent="0.2">
      <c r="A65" s="48" t="s">
        <v>674</v>
      </c>
      <c r="B65" s="380">
        <f>'15W40'!I65</f>
        <v>93.44</v>
      </c>
      <c r="C65" s="380">
        <f>'15W40 Gallon'!I65</f>
        <v>113.44</v>
      </c>
      <c r="D65" s="49">
        <f>'10W30'!I65</f>
        <v>113.77999999999997</v>
      </c>
      <c r="E65" s="49">
        <f>'10W30 Gallon'!I65</f>
        <v>133.77999999999997</v>
      </c>
      <c r="F65" s="458">
        <f>'T5'!I65</f>
        <v>137.69999999999999</v>
      </c>
      <c r="G65" s="458">
        <f>'T5 Gallon'!I65</f>
        <v>157.69999999999999</v>
      </c>
      <c r="H65" s="212">
        <f>'Petro 10W30'!I65</f>
        <v>155.63999999999999</v>
      </c>
      <c r="I65" s="212">
        <f>'Petro 10W30Gallon'!I65</f>
        <v>175.64</v>
      </c>
      <c r="J65" s="377">
        <f>'T6'!L65</f>
        <v>153.44</v>
      </c>
      <c r="K65" s="378">
        <f>'T6 Gallon'!I65</f>
        <v>173.44000000000005</v>
      </c>
      <c r="L65" s="49">
        <f>'Delo 5W30'!I65</f>
        <v>153.43999999999994</v>
      </c>
      <c r="M65" s="49">
        <f>'Delo 5W30 Gallon'!I65</f>
        <v>173.43999999999994</v>
      </c>
      <c r="N65" s="442">
        <f>'Petro 5W30'!I65</f>
        <v>153.43999999999994</v>
      </c>
      <c r="O65" s="442">
        <f>'Petro 5W30 Gallon'!I65</f>
        <v>173.43999999999994</v>
      </c>
    </row>
    <row r="66" spans="1:15" x14ac:dyDescent="0.2">
      <c r="A66" s="166" t="s">
        <v>675</v>
      </c>
      <c r="B66" s="379">
        <f>'15W40'!I66</f>
        <v>96.642800000000022</v>
      </c>
      <c r="C66" s="379">
        <f>'15W40 Gallon'!I66</f>
        <v>116.64280000000002</v>
      </c>
      <c r="D66" s="212">
        <f>'10W30'!I66</f>
        <v>116.9828</v>
      </c>
      <c r="E66" s="212">
        <f>'10W30 Gallon'!I66</f>
        <v>136.9828</v>
      </c>
      <c r="F66" s="457">
        <f>'T5'!I66</f>
        <v>140.90280000000001</v>
      </c>
      <c r="G66" s="457">
        <f>'T5 Gallon'!I66</f>
        <v>160.90280000000001</v>
      </c>
      <c r="H66" s="212">
        <f>'Petro 10W30'!I66</f>
        <v>158.84280000000001</v>
      </c>
      <c r="I66" s="212">
        <f>'Petro 10W30Gallon'!I66</f>
        <v>178.84280000000001</v>
      </c>
      <c r="J66" s="377">
        <f>'T6'!L66</f>
        <v>156.64280000000002</v>
      </c>
      <c r="K66" s="377">
        <f>'T6 Gallon'!I66</f>
        <v>176.64280000000008</v>
      </c>
      <c r="L66" s="212">
        <f>'Delo 5W30'!I66</f>
        <v>156.64280000000008</v>
      </c>
      <c r="M66" s="212">
        <f>'Delo 5W30 Gallon'!I66</f>
        <v>176.64280000000002</v>
      </c>
      <c r="N66" s="443">
        <f>'Petro 5W30'!I66</f>
        <v>156.64280000000002</v>
      </c>
      <c r="O66" s="443">
        <f>'Petro 5W30 Gallon'!I66</f>
        <v>176.64280000000008</v>
      </c>
    </row>
    <row r="67" spans="1:15" x14ac:dyDescent="0.2">
      <c r="A67" s="48" t="s">
        <v>676</v>
      </c>
      <c r="B67" s="380">
        <f>'15W40'!I67</f>
        <v>93.302000000000021</v>
      </c>
      <c r="C67" s="380">
        <f>'15W40 Gallon'!I67</f>
        <v>108.30199999999996</v>
      </c>
      <c r="D67" s="49">
        <f>'10W30'!I67</f>
        <v>113.262</v>
      </c>
      <c r="E67" s="49">
        <f>'10W30 Gallon'!I67</f>
        <v>128.262</v>
      </c>
      <c r="F67" s="458">
        <f>'T5'!I67</f>
        <v>125.74200000000002</v>
      </c>
      <c r="G67" s="458">
        <f>'T5 Gallon'!I67</f>
        <v>140.74200000000002</v>
      </c>
      <c r="H67" s="212">
        <f>'Petro 10W30'!I67</f>
        <v>135.10200000000003</v>
      </c>
      <c r="I67" s="212">
        <f>'Petro 10W30Gallon'!I67</f>
        <v>150.102</v>
      </c>
      <c r="J67" s="377">
        <f>'T6'!L67</f>
        <v>143.30199999999996</v>
      </c>
      <c r="K67" s="378">
        <f>'T6 Gallon'!I67</f>
        <v>158.30200000000002</v>
      </c>
      <c r="L67" s="49">
        <f>'Delo 5W30'!I67</f>
        <v>143.30200000000002</v>
      </c>
      <c r="M67" s="49">
        <f>'Delo 5W30 Gallon'!I67</f>
        <v>158.30200000000008</v>
      </c>
      <c r="N67" s="442">
        <f>'Petro 5W30'!I67</f>
        <v>143.30200000000002</v>
      </c>
      <c r="O67" s="442">
        <f>'Petro 5W30 Gallon'!I67</f>
        <v>158.30199999999996</v>
      </c>
    </row>
    <row r="68" spans="1:15" s="59" customFormat="1" x14ac:dyDescent="0.2">
      <c r="A68" s="345"/>
      <c r="B68" s="379"/>
      <c r="C68" s="379"/>
      <c r="D68" s="212"/>
      <c r="E68" s="212"/>
      <c r="F68" s="457"/>
      <c r="G68" s="457"/>
      <c r="H68" s="212"/>
      <c r="I68" s="212"/>
      <c r="J68" s="377"/>
      <c r="K68" s="377"/>
      <c r="L68" s="212"/>
      <c r="M68" s="212"/>
      <c r="N68" s="443"/>
      <c r="O68" s="443"/>
    </row>
    <row r="69" spans="1:15" x14ac:dyDescent="0.2">
      <c r="A69" s="48" t="s">
        <v>677</v>
      </c>
      <c r="B69" s="380">
        <f>'15W40'!I69</f>
        <v>106.8852</v>
      </c>
      <c r="C69" s="380">
        <f>'15W40 Gallon'!I69</f>
        <v>121.88520000000005</v>
      </c>
      <c r="D69" s="49">
        <f>'10W30'!I69</f>
        <v>124.74520000000001</v>
      </c>
      <c r="E69" s="49">
        <f>'10W30 Gallon'!I69</f>
        <v>139.74519999999995</v>
      </c>
      <c r="F69" s="458">
        <f>'T5'!I69</f>
        <v>142.42519999999999</v>
      </c>
      <c r="G69" s="458">
        <f>'T5 Gallon'!I69</f>
        <v>157.42519999999996</v>
      </c>
      <c r="H69" s="212">
        <f>'Petro 10W30'!I69</f>
        <v>155.68520000000001</v>
      </c>
      <c r="I69" s="212">
        <f>'Petro 10W30Gallon'!I69</f>
        <v>170.68520000000001</v>
      </c>
      <c r="J69" s="377">
        <f>'T6'!L69</f>
        <v>156.8852</v>
      </c>
      <c r="K69" s="378">
        <f>'T6 Gallon'!I69</f>
        <v>171.8852</v>
      </c>
      <c r="L69" s="49">
        <f>'Delo 5W30'!I69</f>
        <v>156.8852</v>
      </c>
      <c r="M69" s="49">
        <f>'Delo 5W30 Gallon'!I69</f>
        <v>171.8852</v>
      </c>
      <c r="N69" s="442">
        <f>'Petro 5W30'!I69</f>
        <v>156.8852</v>
      </c>
      <c r="O69" s="442">
        <f>'Petro 5W30 Gallon'!I69</f>
        <v>171.88520000000005</v>
      </c>
    </row>
    <row r="70" spans="1:15" x14ac:dyDescent="0.2">
      <c r="A70" s="166" t="s">
        <v>678</v>
      </c>
      <c r="B70" s="379">
        <f>'15W40'!I70</f>
        <v>106.8852</v>
      </c>
      <c r="C70" s="379">
        <f>'15W40 Gallon'!I70</f>
        <v>126.88520000000005</v>
      </c>
      <c r="D70" s="212">
        <f>'10W30'!I70</f>
        <v>128.0652</v>
      </c>
      <c r="E70" s="212">
        <f>'10W30 Gallon'!I70</f>
        <v>148.0652</v>
      </c>
      <c r="F70" s="457">
        <f>'T5'!I70</f>
        <v>149.90520000000004</v>
      </c>
      <c r="G70" s="457">
        <f>'T5 Gallon'!I70</f>
        <v>169.90519999999992</v>
      </c>
      <c r="H70" s="212">
        <f>'Petro 10W30'!I70</f>
        <v>166.2852</v>
      </c>
      <c r="I70" s="212">
        <f>'Petro 10W30Gallon'!I70</f>
        <v>186.28520000000003</v>
      </c>
      <c r="J70" s="377">
        <f>'T6'!L70</f>
        <v>166.88519999999994</v>
      </c>
      <c r="K70" s="377">
        <f>'T6 Gallon'!I70</f>
        <v>186.88519999999994</v>
      </c>
      <c r="L70" s="212">
        <f>'Delo 5W30'!I70</f>
        <v>166.8852</v>
      </c>
      <c r="M70" s="212">
        <f>'Delo 5W30 Gallon'!I70</f>
        <v>186.8852</v>
      </c>
      <c r="N70" s="443">
        <f>'Petro 5W30'!I70</f>
        <v>166.88520000000005</v>
      </c>
      <c r="O70" s="443">
        <f>'Petro 5W30 Gallon'!I70</f>
        <v>186.88520000000005</v>
      </c>
    </row>
    <row r="71" spans="1:15" x14ac:dyDescent="0.2">
      <c r="A71" s="48" t="s">
        <v>679</v>
      </c>
      <c r="B71" s="380">
        <f>'15W40'!I71</f>
        <v>109.3852</v>
      </c>
      <c r="C71" s="380">
        <f>'15W40 Gallon'!I71</f>
        <v>134.38520000000005</v>
      </c>
      <c r="D71" s="49">
        <f>'10W30'!I71</f>
        <v>133.46519999999998</v>
      </c>
      <c r="E71" s="49">
        <f>'10W30 Gallon'!I71</f>
        <v>158.46519999999998</v>
      </c>
      <c r="F71" s="458">
        <f>'T5'!I71</f>
        <v>160.5052</v>
      </c>
      <c r="G71" s="458">
        <f>'T5 Gallon'!I71</f>
        <v>185.5052</v>
      </c>
      <c r="H71" s="212">
        <f>'Petro 10W30'!I71</f>
        <v>180.78520000000003</v>
      </c>
      <c r="I71" s="212">
        <f>'Petro 10W30Gallon'!I71</f>
        <v>205.78519999999992</v>
      </c>
      <c r="J71" s="377">
        <f>'T6'!L71</f>
        <v>179.38519999999994</v>
      </c>
      <c r="K71" s="378">
        <f>'T6 Gallon'!I71</f>
        <v>204.38519999999994</v>
      </c>
      <c r="L71" s="49">
        <f>'Delo 5W30'!I71</f>
        <v>179.3852</v>
      </c>
      <c r="M71" s="49">
        <f>'Delo 5W30 Gallon'!I71</f>
        <v>204.38519999999994</v>
      </c>
      <c r="N71" s="442">
        <f>'Petro 5W30'!I71</f>
        <v>179.38520000000005</v>
      </c>
      <c r="O71" s="442">
        <f>'Petro 5W30 Gallon'!I71</f>
        <v>204.3852</v>
      </c>
    </row>
    <row r="72" spans="1:15" x14ac:dyDescent="0.2">
      <c r="A72" s="344" t="s">
        <v>680</v>
      </c>
      <c r="B72" s="379">
        <f>'15W40'!I72</f>
        <v>96.200000000000045</v>
      </c>
      <c r="C72" s="379">
        <f>'15W40 Gallon'!I72</f>
        <v>111.20000000000005</v>
      </c>
      <c r="D72" s="212">
        <f>'10W30'!I72</f>
        <v>114.06000000000006</v>
      </c>
      <c r="E72" s="212">
        <f>'10W30 Gallon'!I72</f>
        <v>129.06</v>
      </c>
      <c r="F72" s="457">
        <f>'T5'!I72</f>
        <v>131.74</v>
      </c>
      <c r="G72" s="457">
        <f>'T5 Gallon'!I72</f>
        <v>146.74</v>
      </c>
      <c r="H72" s="212">
        <f>'Petro 10W30'!I72</f>
        <v>145</v>
      </c>
      <c r="I72" s="212">
        <f>'Petro 10W30Gallon'!I72</f>
        <v>160.00000000000006</v>
      </c>
      <c r="J72" s="377">
        <f>'T6'!L72</f>
        <v>146.19999999999993</v>
      </c>
      <c r="K72" s="377">
        <f>'T6 Gallon'!I72</f>
        <v>161.20000000000005</v>
      </c>
      <c r="L72" s="212">
        <f>'Delo 5W30'!I72</f>
        <v>146.20000000000005</v>
      </c>
      <c r="M72" s="212">
        <f>'Delo 5W30 Gallon'!I72</f>
        <v>161.20000000000005</v>
      </c>
      <c r="N72" s="443">
        <f>'Petro 5W30'!I72</f>
        <v>146.19999999999999</v>
      </c>
      <c r="O72" s="443">
        <f>'Petro 5W30 Gallon'!I72</f>
        <v>161.20000000000005</v>
      </c>
    </row>
    <row r="73" spans="1:15" x14ac:dyDescent="0.2">
      <c r="A73" s="48" t="s">
        <v>681</v>
      </c>
      <c r="B73" s="380">
        <f>'15W40'!I73</f>
        <v>97.200000000000045</v>
      </c>
      <c r="C73" s="380">
        <f>'15W40 Gallon'!I73</f>
        <v>117.20000000000005</v>
      </c>
      <c r="D73" s="49">
        <f>'10W30'!I73</f>
        <v>118.38</v>
      </c>
      <c r="E73" s="49">
        <f>'10W30 Gallon'!I73</f>
        <v>138.38</v>
      </c>
      <c r="F73" s="458">
        <f>'T5'!I73</f>
        <v>140.22000000000003</v>
      </c>
      <c r="G73" s="458">
        <f>'T5 Gallon'!I73</f>
        <v>160.21999999999991</v>
      </c>
      <c r="H73" s="212">
        <f>'Petro 10W30'!I73</f>
        <v>156.60000000000002</v>
      </c>
      <c r="I73" s="212">
        <f>'Petro 10W30Gallon'!I73</f>
        <v>176.60000000000002</v>
      </c>
      <c r="J73" s="377">
        <f>'T6'!L73</f>
        <v>157.19999999999999</v>
      </c>
      <c r="K73" s="378">
        <f>'T6 Gallon'!I73</f>
        <v>177.19999999999993</v>
      </c>
      <c r="L73" s="49">
        <f>'Delo 5W30'!I73</f>
        <v>157.20000000000005</v>
      </c>
      <c r="M73" s="49">
        <f>'Delo 5W30 Gallon'!I73</f>
        <v>177.20000000000005</v>
      </c>
      <c r="N73" s="442">
        <f>'Petro 5W30'!I73</f>
        <v>157.20000000000005</v>
      </c>
      <c r="O73" s="442">
        <f>'Petro 5W30 Gallon'!I73</f>
        <v>177.20000000000005</v>
      </c>
    </row>
    <row r="74" spans="1:15" x14ac:dyDescent="0.2">
      <c r="A74" s="166" t="s">
        <v>682</v>
      </c>
      <c r="B74" s="379">
        <f>'15W40'!I74</f>
        <v>97.700000000000045</v>
      </c>
      <c r="C74" s="379">
        <f>'15W40 Gallon'!I74</f>
        <v>122.69999999999993</v>
      </c>
      <c r="D74" s="212">
        <f>'10W30'!I74</f>
        <v>121.78000000000003</v>
      </c>
      <c r="E74" s="212">
        <f>'10W30 Gallon'!I74</f>
        <v>146.77999999999997</v>
      </c>
      <c r="F74" s="457">
        <f>'T5'!I74</f>
        <v>148.82000000000005</v>
      </c>
      <c r="G74" s="457">
        <f>'T5 Gallon'!I74</f>
        <v>173.82000000000005</v>
      </c>
      <c r="H74" s="212">
        <f>'Petro 10W30'!I74</f>
        <v>169.10000000000002</v>
      </c>
      <c r="I74" s="212">
        <f>'Petro 10W30Gallon'!I74</f>
        <v>169.10000000000002</v>
      </c>
      <c r="J74" s="377">
        <f>'T6'!L74</f>
        <v>167.69999999999993</v>
      </c>
      <c r="K74" s="377">
        <f>'T6 Gallon'!I74</f>
        <v>192.69999999999993</v>
      </c>
      <c r="L74" s="212">
        <f>'Delo 5W30'!I74</f>
        <v>167.70000000000005</v>
      </c>
      <c r="M74" s="212">
        <f>'Delo 5W30 Gallon'!I74</f>
        <v>192.70000000000005</v>
      </c>
      <c r="N74" s="442">
        <f>'Petro 5W30'!I74</f>
        <v>167.70000000000005</v>
      </c>
      <c r="O74" s="442">
        <f>'Petro 5W30 Gallon'!I74</f>
        <v>192.70000000000005</v>
      </c>
    </row>
    <row r="75" spans="1:15" ht="12.75" customHeight="1" x14ac:dyDescent="0.2">
      <c r="N75" s="48"/>
      <c r="O75" s="48"/>
    </row>
    <row r="76" spans="1:15" ht="12.75" customHeight="1" x14ac:dyDescent="0.2">
      <c r="N76" s="48"/>
      <c r="O76" s="48"/>
    </row>
    <row r="77" spans="1:15" ht="12.75" customHeight="1" x14ac:dyDescent="0.2">
      <c r="N77" s="48"/>
      <c r="O77" s="48"/>
    </row>
    <row r="78" spans="1:15" ht="12.75" customHeight="1" x14ac:dyDescent="0.2">
      <c r="N78" s="48"/>
      <c r="O78" s="48"/>
    </row>
    <row r="79" spans="1:15" ht="12.75" customHeight="1" x14ac:dyDescent="0.2">
      <c r="N79" s="48"/>
      <c r="O79" s="48"/>
    </row>
    <row r="80" spans="1:15" ht="12.75" customHeight="1" x14ac:dyDescent="0.2">
      <c r="N80" s="48"/>
      <c r="O80" s="48"/>
    </row>
    <row r="81" spans="14:15" ht="12.75" customHeight="1" x14ac:dyDescent="0.2">
      <c r="N81" s="48"/>
      <c r="O81" s="48"/>
    </row>
    <row r="82" spans="14:15" ht="12.75" customHeight="1" x14ac:dyDescent="0.2">
      <c r="N82" s="48"/>
      <c r="O82" s="48"/>
    </row>
    <row r="83" spans="14:15" ht="12.75" customHeight="1" x14ac:dyDescent="0.2">
      <c r="N83" s="48"/>
      <c r="O83" s="48"/>
    </row>
    <row r="84" spans="14:15" ht="12.75" customHeight="1" x14ac:dyDescent="0.2">
      <c r="N84" s="48"/>
      <c r="O84" s="48"/>
    </row>
    <row r="85" spans="14:15" ht="12.75" customHeight="1" x14ac:dyDescent="0.2">
      <c r="N85" s="48"/>
      <c r="O85" s="48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91"/>
  <sheetViews>
    <sheetView zoomScale="110" zoomScaleNormal="110" workbookViewId="0">
      <pane ySplit="4" topLeftCell="A5" activePane="bottomLeft" state="frozen"/>
      <selection pane="bottomLeft" activeCell="O41" sqref="O41"/>
    </sheetView>
  </sheetViews>
  <sheetFormatPr defaultColWidth="9.140625" defaultRowHeight="12.75" customHeight="1" x14ac:dyDescent="0.2"/>
  <cols>
    <col min="1" max="1" width="34.42578125" style="46" customWidth="1"/>
    <col min="2" max="3" width="7.28515625" style="46" customWidth="1"/>
    <col min="4" max="5" width="7.42578125" style="46" customWidth="1"/>
    <col min="6" max="9" width="7.28515625" style="46" customWidth="1"/>
    <col min="10" max="10" width="7.42578125" style="46" customWidth="1"/>
    <col min="11" max="11" width="10.140625" style="46" customWidth="1"/>
    <col min="12" max="12" width="7.5703125" style="46" customWidth="1"/>
    <col min="13" max="13" width="9.140625" style="46" customWidth="1"/>
    <col min="14" max="16384" width="9.140625" style="46"/>
  </cols>
  <sheetData>
    <row r="1" spans="1:15" ht="12.75" customHeight="1" x14ac:dyDescent="0.2">
      <c r="A1" s="46" t="s">
        <v>625</v>
      </c>
    </row>
    <row r="2" spans="1:15" ht="12.75" customHeight="1" x14ac:dyDescent="0.2">
      <c r="B2" s="62" t="s">
        <v>683</v>
      </c>
      <c r="C2" s="62" t="s">
        <v>683</v>
      </c>
      <c r="D2" s="62" t="s">
        <v>692</v>
      </c>
      <c r="E2" s="62" t="s">
        <v>692</v>
      </c>
      <c r="F2" s="119" t="s">
        <v>697</v>
      </c>
      <c r="G2" s="119" t="s">
        <v>697</v>
      </c>
      <c r="H2" s="119" t="s">
        <v>1256</v>
      </c>
      <c r="I2" s="119" t="s">
        <v>1256</v>
      </c>
      <c r="J2" s="62"/>
      <c r="K2" s="119" t="s">
        <v>752</v>
      </c>
      <c r="L2" s="119" t="s">
        <v>703</v>
      </c>
      <c r="M2" s="119" t="s">
        <v>703</v>
      </c>
      <c r="N2" s="119" t="s">
        <v>1256</v>
      </c>
      <c r="O2" s="119" t="s">
        <v>1256</v>
      </c>
    </row>
    <row r="3" spans="1:15" ht="12.75" customHeight="1" x14ac:dyDescent="0.2">
      <c r="B3" s="62"/>
      <c r="C3" s="119" t="s">
        <v>701</v>
      </c>
      <c r="D3" s="119"/>
      <c r="E3" s="119" t="s">
        <v>701</v>
      </c>
      <c r="F3" s="119"/>
      <c r="G3" s="119" t="s">
        <v>701</v>
      </c>
      <c r="H3" s="119" t="s">
        <v>692</v>
      </c>
      <c r="I3" s="119" t="s">
        <v>692</v>
      </c>
      <c r="J3" s="119" t="s">
        <v>698</v>
      </c>
      <c r="K3" s="119" t="s">
        <v>698</v>
      </c>
      <c r="L3" s="119" t="s">
        <v>702</v>
      </c>
      <c r="M3" s="119" t="s">
        <v>702</v>
      </c>
      <c r="N3" s="119" t="s">
        <v>702</v>
      </c>
      <c r="O3" s="119" t="s">
        <v>702</v>
      </c>
    </row>
    <row r="4" spans="1:15" ht="12.75" customHeight="1" x14ac:dyDescent="0.2">
      <c r="B4" s="62"/>
      <c r="C4" s="62"/>
      <c r="D4" s="62"/>
      <c r="E4" s="62"/>
      <c r="F4" s="62"/>
      <c r="G4" s="62"/>
      <c r="H4" s="119"/>
      <c r="I4" s="119" t="s">
        <v>701</v>
      </c>
      <c r="J4" s="119"/>
      <c r="K4" s="119" t="s">
        <v>701</v>
      </c>
      <c r="L4" s="119"/>
      <c r="M4" s="119" t="s">
        <v>701</v>
      </c>
      <c r="N4" s="119"/>
      <c r="O4" s="119" t="s">
        <v>701</v>
      </c>
    </row>
    <row r="6" spans="1:15" ht="12.75" customHeight="1" x14ac:dyDescent="0.2">
      <c r="A6" s="48" t="s">
        <v>632</v>
      </c>
      <c r="B6" s="48">
        <f>'15W40'!B6</f>
        <v>265.99</v>
      </c>
      <c r="C6" s="48">
        <f>'15W40 Gallon'!B6</f>
        <v>317.74</v>
      </c>
      <c r="D6" s="48">
        <f>'10W30'!B6</f>
        <v>290.99</v>
      </c>
      <c r="E6" s="49">
        <f>'10W30 Gallon'!B6</f>
        <v>355.3299470899471</v>
      </c>
      <c r="F6" s="48">
        <f>'T5'!B6</f>
        <v>290.99</v>
      </c>
      <c r="G6" s="48">
        <f>'T5 Gallon'!B6</f>
        <v>372.00666666666666</v>
      </c>
      <c r="H6" s="48">
        <f>'Petro 10W30'!B6</f>
        <v>290.99</v>
      </c>
      <c r="I6" s="48">
        <f>'Petro 10W30Gallon'!B6</f>
        <v>319.74</v>
      </c>
      <c r="J6" s="48">
        <f>'T6'!B6</f>
        <v>361.99</v>
      </c>
      <c r="K6" s="49">
        <f>'T6 Gallon'!B6</f>
        <v>433.79</v>
      </c>
      <c r="L6" s="48">
        <f>'Delo 5W30'!B6</f>
        <v>381.99</v>
      </c>
      <c r="M6" s="49">
        <f>'Delo 5W30 Gallon'!B6</f>
        <v>438.94634920634923</v>
      </c>
      <c r="N6" s="48">
        <f>'Petro 5W30'!B6</f>
        <v>342.24</v>
      </c>
      <c r="O6" s="49">
        <f>'Petro 5W30 Gallon'!B6</f>
        <v>382.74</v>
      </c>
    </row>
    <row r="7" spans="1:15" ht="12.75" customHeight="1" x14ac:dyDescent="0.2">
      <c r="A7" s="48" t="s">
        <v>633</v>
      </c>
      <c r="B7" s="48">
        <f>'15W40'!B7</f>
        <v>243.99</v>
      </c>
      <c r="C7" s="48">
        <f>'15W40 Gallon'!B7</f>
        <v>295.74</v>
      </c>
      <c r="D7" s="48">
        <f>'10W30'!B7</f>
        <v>268.99</v>
      </c>
      <c r="E7" s="49">
        <f>'10W30 Gallon'!B7</f>
        <v>333.3299470899471</v>
      </c>
      <c r="F7" s="48">
        <f>'T5'!B7</f>
        <v>268.99</v>
      </c>
      <c r="G7" s="48">
        <f>'T5 Gallon'!B7</f>
        <v>350.00666666666666</v>
      </c>
      <c r="H7" s="48">
        <f>'Petro 10W30'!B7</f>
        <v>268.99</v>
      </c>
      <c r="I7" s="48">
        <f>'Petro 10W30Gallon'!B7</f>
        <v>297.74</v>
      </c>
      <c r="J7" s="48">
        <f>'T6'!B7</f>
        <v>339.99</v>
      </c>
      <c r="K7" s="49">
        <f>'T6 Gallon'!B7</f>
        <v>411.79</v>
      </c>
      <c r="L7" s="48">
        <f>'Delo 5W30'!B7</f>
        <v>359.99</v>
      </c>
      <c r="M7" s="49">
        <f>'Delo 5W30 Gallon'!B7</f>
        <v>416.94634920634923</v>
      </c>
      <c r="N7" s="48">
        <f>'Petro 5W30'!B7</f>
        <v>320.24</v>
      </c>
      <c r="O7" s="49">
        <f>'Petro 5W30 Gallon'!B7</f>
        <v>360.74</v>
      </c>
    </row>
    <row r="8" spans="1:15" ht="12.75" customHeight="1" x14ac:dyDescent="0.2">
      <c r="A8" s="48"/>
      <c r="B8" s="48"/>
      <c r="C8" s="48"/>
      <c r="D8" s="48"/>
      <c r="E8" s="49"/>
      <c r="F8" s="48"/>
      <c r="G8" s="48"/>
      <c r="H8" s="48"/>
      <c r="I8" s="48"/>
      <c r="J8" s="48"/>
      <c r="K8" s="48"/>
      <c r="L8" s="48"/>
      <c r="M8" s="49"/>
      <c r="N8" s="48"/>
      <c r="O8" s="49"/>
    </row>
    <row r="9" spans="1:15" ht="12.75" customHeight="1" x14ac:dyDescent="0.2">
      <c r="A9" s="48" t="s">
        <v>634</v>
      </c>
      <c r="B9" s="48">
        <f>'15W40'!B9</f>
        <v>334.99</v>
      </c>
      <c r="C9" s="48">
        <f>'15W40 Gallon'!B9</f>
        <v>405.85</v>
      </c>
      <c r="D9" s="48">
        <f>'10W30'!B9</f>
        <v>359.99</v>
      </c>
      <c r="E9" s="49">
        <f>'10W30 Gallon'!B9</f>
        <v>449.98671957671962</v>
      </c>
      <c r="F9" s="48">
        <f>'T5'!B9</f>
        <v>359.99</v>
      </c>
      <c r="G9" s="48">
        <f>'T5 Gallon'!B9</f>
        <v>475.33533333333332</v>
      </c>
      <c r="H9" s="48">
        <f>'Petro 10W30'!B9</f>
        <v>359.99</v>
      </c>
      <c r="I9" s="48">
        <f>'Petro 10W30Gallon'!B9</f>
        <v>395.89</v>
      </c>
      <c r="J9" s="48">
        <f>'T6'!B9</f>
        <v>454.90999999999997</v>
      </c>
      <c r="K9" s="49">
        <f>'T6 Gallon'!B9</f>
        <v>556.24599999999998</v>
      </c>
      <c r="L9" s="48">
        <f>'Delo 5W30'!B9</f>
        <v>485.31</v>
      </c>
      <c r="M9" s="49">
        <f>'Delo 5W30 Gallon'!B9</f>
        <v>564.0836507936508</v>
      </c>
      <c r="N9" s="48">
        <f>'Petro 5W30'!B9</f>
        <v>424.89</v>
      </c>
      <c r="O9" s="49">
        <f>'Petro 5W30 Gallon'!B9</f>
        <v>478.65</v>
      </c>
    </row>
    <row r="10" spans="1:15" ht="12.75" customHeight="1" x14ac:dyDescent="0.2">
      <c r="A10" s="48" t="s">
        <v>635</v>
      </c>
      <c r="B10" s="48">
        <f>'15W40'!B10</f>
        <v>293.99</v>
      </c>
      <c r="C10" s="48">
        <f>'15W40 Gallon'!B10</f>
        <v>364.85</v>
      </c>
      <c r="D10" s="48">
        <f>'10W30'!B10</f>
        <v>318.99</v>
      </c>
      <c r="E10" s="49">
        <f>'10W30 Gallon'!B10</f>
        <v>408.98671957671962</v>
      </c>
      <c r="F10" s="48">
        <f>'T5'!B10</f>
        <v>318.99</v>
      </c>
      <c r="G10" s="48">
        <f>'T5 Gallon'!B10</f>
        <v>434.33533333333332</v>
      </c>
      <c r="H10" s="48">
        <f>'Petro 10W30'!B10</f>
        <v>318.99</v>
      </c>
      <c r="I10" s="48">
        <f>'Petro 10W30Gallon'!B10</f>
        <v>354.89</v>
      </c>
      <c r="J10" s="48">
        <f>'T6'!B10</f>
        <v>413.90999999999997</v>
      </c>
      <c r="K10" s="49">
        <f>'T6 Gallon'!B10</f>
        <v>515.24599999999998</v>
      </c>
      <c r="L10" s="48">
        <f>'Delo 5W30'!B10</f>
        <v>444.31</v>
      </c>
      <c r="M10" s="49">
        <f>'Delo 5W30 Gallon'!B10</f>
        <v>523.0836507936508</v>
      </c>
      <c r="N10" s="48">
        <f>'Petro 5W30'!B10</f>
        <v>383.89</v>
      </c>
      <c r="O10" s="49">
        <f>'Petro 5W30 Gallon'!B10</f>
        <v>437.65</v>
      </c>
    </row>
    <row r="11" spans="1:15" ht="12.75" customHeight="1" x14ac:dyDescent="0.2">
      <c r="A11" s="48"/>
      <c r="B11" s="48"/>
      <c r="C11" s="48"/>
      <c r="D11" s="48"/>
      <c r="E11" s="49"/>
      <c r="F11" s="48"/>
      <c r="G11" s="48"/>
      <c r="H11" s="48"/>
      <c r="I11" s="48"/>
      <c r="J11" s="48"/>
      <c r="K11" s="49"/>
      <c r="L11" s="48"/>
      <c r="M11" s="49"/>
      <c r="N11" s="48"/>
      <c r="O11" s="49"/>
    </row>
    <row r="12" spans="1:15" ht="12.75" customHeight="1" x14ac:dyDescent="0.2">
      <c r="A12" s="48" t="s">
        <v>637</v>
      </c>
      <c r="B12" s="48">
        <f>'15W40'!B12</f>
        <v>354.99</v>
      </c>
      <c r="C12" s="48">
        <f>'15W40 Gallon'!B12</f>
        <v>438.2</v>
      </c>
      <c r="D12" s="48">
        <f>'10W30'!B12</f>
        <v>384.99</v>
      </c>
      <c r="E12" s="49">
        <f>'10W30 Gallon'!B12</f>
        <v>489.85470899470903</v>
      </c>
      <c r="F12" s="48">
        <f>'T5'!B12</f>
        <v>384.99</v>
      </c>
      <c r="G12" s="48">
        <f>'T5 Gallon'!B12</f>
        <v>518.53866666666659</v>
      </c>
      <c r="H12" s="48">
        <f>'Petro 10W30'!B12</f>
        <v>384.99</v>
      </c>
      <c r="I12" s="48">
        <f>'Petro 10W30Gallon'!B12</f>
        <v>428.64</v>
      </c>
      <c r="J12" s="48">
        <f>'T6'!B12</f>
        <v>494.11</v>
      </c>
      <c r="K12" s="49">
        <f>'T6 Gallon'!B12</f>
        <v>611.80600000000004</v>
      </c>
      <c r="L12" s="48">
        <f>'Delo 5W30'!B12</f>
        <v>528.51</v>
      </c>
      <c r="M12" s="49">
        <f>'Delo 5W30 Gallon'!B12</f>
        <v>620.67492063492068</v>
      </c>
      <c r="N12" s="48">
        <f>'Petro 5W30'!B12</f>
        <v>460.14</v>
      </c>
      <c r="O12" s="49">
        <f>'Petro 5W30 Gallon'!B12</f>
        <v>524</v>
      </c>
    </row>
    <row r="13" spans="1:15" ht="12.75" customHeight="1" x14ac:dyDescent="0.2">
      <c r="A13" s="48" t="s">
        <v>638</v>
      </c>
      <c r="B13" s="48">
        <f>'15W40'!B13</f>
        <v>313.99</v>
      </c>
      <c r="C13" s="48">
        <f>'15W40 Gallon'!B13</f>
        <v>397.2</v>
      </c>
      <c r="D13" s="48">
        <f>'10W30'!B13</f>
        <v>343.99</v>
      </c>
      <c r="E13" s="49">
        <f>'10W30 Gallon'!B13</f>
        <v>448.85470899470903</v>
      </c>
      <c r="F13" s="48">
        <f>'T5'!B13</f>
        <v>343.99</v>
      </c>
      <c r="G13" s="48">
        <f>'T5 Gallon'!B13</f>
        <v>477.53866666666664</v>
      </c>
      <c r="H13" s="48">
        <f>'Petro 10W30'!B13</f>
        <v>343.99</v>
      </c>
      <c r="I13" s="48">
        <f>'Petro 10W30Gallon'!B13</f>
        <v>387.64</v>
      </c>
      <c r="J13" s="48">
        <f>'T6'!B13</f>
        <v>453.11</v>
      </c>
      <c r="K13" s="49">
        <f>'T6 Gallon'!B13</f>
        <v>570.80600000000004</v>
      </c>
      <c r="L13" s="48">
        <f>'Delo 5W30'!B13</f>
        <v>487.51</v>
      </c>
      <c r="M13" s="49">
        <f>'Delo 5W30 Gallon'!B13</f>
        <v>579.67492063492068</v>
      </c>
      <c r="N13" s="48">
        <f>'Petro 5W30'!B13</f>
        <v>419.14</v>
      </c>
      <c r="O13" s="49">
        <f>'Petro 5W30 Gallon'!B13</f>
        <v>483</v>
      </c>
    </row>
    <row r="14" spans="1:15" ht="12.75" customHeight="1" x14ac:dyDescent="0.2">
      <c r="A14" s="48"/>
      <c r="B14" s="48"/>
      <c r="C14" s="48"/>
      <c r="D14" s="48"/>
      <c r="E14" s="49"/>
      <c r="F14" s="48"/>
      <c r="G14" s="48"/>
      <c r="H14" s="48"/>
      <c r="I14" s="48"/>
      <c r="J14" s="48"/>
      <c r="K14" s="49"/>
      <c r="L14" s="48"/>
      <c r="M14" s="49"/>
      <c r="N14" s="48"/>
      <c r="O14" s="49"/>
    </row>
    <row r="15" spans="1:15" ht="12.75" customHeight="1" x14ac:dyDescent="0.2">
      <c r="A15" s="48" t="s">
        <v>639</v>
      </c>
      <c r="B15" s="48">
        <f>'15W40'!B15</f>
        <v>301.99</v>
      </c>
      <c r="C15" s="48">
        <f>'15W40 Gallon'!B15</f>
        <v>380.79</v>
      </c>
      <c r="D15" s="48">
        <f>'10W30'!B15</f>
        <v>331.99</v>
      </c>
      <c r="E15" s="49">
        <f>'10W30 Gallon'!B15</f>
        <v>430.93391534391537</v>
      </c>
      <c r="F15" s="48">
        <f>'T5'!B15</f>
        <v>331.99</v>
      </c>
      <c r="G15" s="48">
        <f>'T5 Gallon'!B15</f>
        <v>457.61666666666667</v>
      </c>
      <c r="H15" s="48">
        <f>'Petro 10W30'!B15</f>
        <v>331.99</v>
      </c>
      <c r="I15" s="48">
        <f>'Petro 10W30Gallon'!B15</f>
        <v>373.99</v>
      </c>
      <c r="J15" s="48">
        <f>'T6'!B15</f>
        <v>435.59000000000003</v>
      </c>
      <c r="K15" s="49">
        <f>'T6 Gallon'!B15</f>
        <v>546.47</v>
      </c>
      <c r="L15" s="48">
        <f>'Delo 5W30'!B15</f>
        <v>467.59000000000003</v>
      </c>
      <c r="M15" s="49">
        <f>'Delo 5W30 Gallon'!B15</f>
        <v>554.7201587301588</v>
      </c>
      <c r="N15" s="48">
        <f>'Petro 5W30'!B15</f>
        <v>403.99</v>
      </c>
      <c r="O15" s="49">
        <f>'Petro 5W30 Gallon'!B15</f>
        <v>464.78999999999996</v>
      </c>
    </row>
    <row r="16" spans="1:15" ht="12.75" customHeight="1" x14ac:dyDescent="0.2">
      <c r="A16" s="48" t="s">
        <v>640</v>
      </c>
      <c r="B16" s="48">
        <f>'15W40'!B16</f>
        <v>170.99</v>
      </c>
      <c r="C16" s="48">
        <f>'15W40 Gallon'!B16</f>
        <v>201.57</v>
      </c>
      <c r="D16" s="48">
        <f>'10W30'!B16</f>
        <v>185.99</v>
      </c>
      <c r="E16" s="49">
        <f>'10W30 Gallon'!B16</f>
        <v>223.62037037037038</v>
      </c>
      <c r="F16" s="48">
        <f>'T5'!B16</f>
        <v>185.99</v>
      </c>
      <c r="G16" s="48">
        <f>'T5 Gallon'!B16</f>
        <v>232.95933333333335</v>
      </c>
      <c r="H16" s="48">
        <f>'Petro 10W30'!B16</f>
        <v>185.99</v>
      </c>
      <c r="I16" s="48">
        <f>'Petro 10W30Gallon'!B16</f>
        <v>203.69</v>
      </c>
      <c r="J16" s="48">
        <f>'T6'!B16</f>
        <v>226.75</v>
      </c>
      <c r="K16" s="49">
        <f>'T6 Gallon'!B16</f>
        <v>268.55799999999999</v>
      </c>
      <c r="L16" s="48">
        <f>'Delo 5W30'!B16</f>
        <v>237.95</v>
      </c>
      <c r="M16" s="49">
        <f>'Delo 5W30 Gallon'!B16</f>
        <v>271.44555555555553</v>
      </c>
      <c r="N16" s="48">
        <f>'Petro 5W30'!B16</f>
        <v>215.69</v>
      </c>
      <c r="O16" s="49">
        <f>'Petro 5W30 Gallon'!B16</f>
        <v>239.97</v>
      </c>
    </row>
    <row r="17" spans="1:15" ht="12.75" customHeight="1" x14ac:dyDescent="0.2">
      <c r="A17" s="48" t="s">
        <v>641</v>
      </c>
      <c r="B17" s="48">
        <f>'15W40'!B17</f>
        <v>257.99</v>
      </c>
      <c r="C17" s="48">
        <f>'15W40 Gallon'!B17</f>
        <v>309.74</v>
      </c>
      <c r="D17" s="48">
        <f>'10W30'!B17</f>
        <v>282.99</v>
      </c>
      <c r="E17" s="49">
        <f>'10W30 Gallon'!B17</f>
        <v>347.3299470899471</v>
      </c>
      <c r="F17" s="48">
        <f>'T5'!B17</f>
        <v>282.99</v>
      </c>
      <c r="G17" s="48">
        <f>'T5 Gallon'!B17</f>
        <v>364.00666666666666</v>
      </c>
      <c r="H17" s="48">
        <f>'Petro 10W30'!B17</f>
        <v>282.99</v>
      </c>
      <c r="I17" s="48">
        <f>'Petro 10W30Gallon'!B17</f>
        <v>311.74</v>
      </c>
      <c r="J17" s="48">
        <f>'T6'!B17</f>
        <v>353.99</v>
      </c>
      <c r="K17" s="49">
        <f>'T6 Gallon'!B17</f>
        <v>425.79</v>
      </c>
      <c r="L17" s="48">
        <f>'Delo 5W30'!B17</f>
        <v>373.99</v>
      </c>
      <c r="M17" s="49">
        <f>'Delo 5W30 Gallon'!B17</f>
        <v>430.94634920634923</v>
      </c>
      <c r="N17" s="48">
        <f>'Petro 5W30'!B17</f>
        <v>334.24</v>
      </c>
      <c r="O17" s="49">
        <f>'Petro 5W30 Gallon'!B17</f>
        <v>374.74</v>
      </c>
    </row>
    <row r="18" spans="1:15" ht="12.75" customHeight="1" x14ac:dyDescent="0.2">
      <c r="A18" s="48" t="s">
        <v>642</v>
      </c>
      <c r="B18" s="48">
        <f>'15W40'!B18</f>
        <v>255.99</v>
      </c>
      <c r="C18" s="48">
        <f>'15W40 Gallon'!B18</f>
        <v>307.74</v>
      </c>
      <c r="D18" s="48">
        <f>'10W30'!B18</f>
        <v>280.99</v>
      </c>
      <c r="E18" s="49">
        <f>'10W30 Gallon'!B18</f>
        <v>345.3299470899471</v>
      </c>
      <c r="F18" s="48">
        <f>'T5'!B18</f>
        <v>280.99</v>
      </c>
      <c r="G18" s="48">
        <f>'T5 Gallon'!B18</f>
        <v>362.00666666666666</v>
      </c>
      <c r="H18" s="48">
        <f>'Petro 10W30'!B18</f>
        <v>280.99</v>
      </c>
      <c r="I18" s="48">
        <f>'Petro 10W30Gallon'!B18</f>
        <v>309.74</v>
      </c>
      <c r="J18" s="48">
        <f>'T6'!B18</f>
        <v>351.99</v>
      </c>
      <c r="K18" s="49">
        <f>'T6 Gallon'!B18</f>
        <v>423.79</v>
      </c>
      <c r="L18" s="48">
        <f>'Delo 5W30'!B18</f>
        <v>371.99</v>
      </c>
      <c r="M18" s="49">
        <f>'Delo 5W30 Gallon'!B18</f>
        <v>428.94634920634923</v>
      </c>
      <c r="N18" s="48">
        <f>'Petro 5W30'!B18</f>
        <v>332.24</v>
      </c>
      <c r="O18" s="49">
        <f>'Petro 5W30 Gallon'!B18</f>
        <v>372.74</v>
      </c>
    </row>
    <row r="19" spans="1:15" ht="12.75" customHeight="1" x14ac:dyDescent="0.2">
      <c r="A19" s="48" t="s">
        <v>643</v>
      </c>
      <c r="B19" s="48">
        <f>'15W40'!B19</f>
        <v>292.99</v>
      </c>
      <c r="C19" s="48">
        <f>'15W40 Gallon'!B19</f>
        <v>360.90999999999997</v>
      </c>
      <c r="D19" s="48">
        <f>'10W30'!B19</f>
        <v>317.99</v>
      </c>
      <c r="E19" s="49">
        <f>'10W30 Gallon'!B19</f>
        <v>404.03952380952387</v>
      </c>
      <c r="F19" s="48">
        <f>'T5'!B19</f>
        <v>317.99</v>
      </c>
      <c r="G19" s="48">
        <f>'T5 Gallon'!B19</f>
        <v>428.05399999999997</v>
      </c>
      <c r="H19" s="48">
        <f>'Petro 10W30'!B19</f>
        <v>317.99</v>
      </c>
      <c r="I19" s="48">
        <f>'Petro 10W30Gallon'!B19</f>
        <v>352.79</v>
      </c>
      <c r="J19" s="48">
        <f>'T6'!B19</f>
        <v>409.23</v>
      </c>
      <c r="K19" s="49">
        <f>'T6 Gallon'!B19</f>
        <v>511.02200000000005</v>
      </c>
      <c r="L19" s="48">
        <f>'Delo 5W30'!B19</f>
        <v>438.03</v>
      </c>
      <c r="M19" s="49">
        <f>'Delo 5W30 Gallon'!B19</f>
        <v>513.44714285714281</v>
      </c>
      <c r="N19" s="48">
        <f>'Petro 5W30'!B19</f>
        <v>380.79</v>
      </c>
      <c r="O19" s="49">
        <f>'Petro 5W30 Gallon'!B19</f>
        <v>432.51</v>
      </c>
    </row>
    <row r="20" spans="1:15" ht="12.75" customHeight="1" x14ac:dyDescent="0.2">
      <c r="A20" s="48" t="s">
        <v>645</v>
      </c>
      <c r="B20" s="48">
        <f>'15W40'!B20</f>
        <v>378.99</v>
      </c>
      <c r="C20" s="48">
        <f>'15W40 Gallon'!B20</f>
        <v>463.67</v>
      </c>
      <c r="D20" s="48">
        <f>'10W30'!B20</f>
        <v>408.99</v>
      </c>
      <c r="E20" s="49">
        <f>'10W30 Gallon'!B20</f>
        <v>515.82830687830688</v>
      </c>
      <c r="F20" s="48">
        <f>'T5'!B20</f>
        <v>408.99</v>
      </c>
      <c r="G20" s="48">
        <f>'T5 Gallon'!B20</f>
        <v>545.17933333333326</v>
      </c>
      <c r="H20" s="48">
        <f>'Petro 10W30'!B20</f>
        <v>408.99</v>
      </c>
      <c r="I20" s="48">
        <f>'Petro 10W30Gallon'!B20</f>
        <v>453.19</v>
      </c>
      <c r="J20" s="48">
        <f>'T6'!B20</f>
        <v>519.95000000000005</v>
      </c>
      <c r="K20" s="49">
        <f>'T6 Gallon'!B20</f>
        <v>639.91800000000012</v>
      </c>
      <c r="L20" s="48">
        <f>'Delo 5W30'!B20</f>
        <v>555.15</v>
      </c>
      <c r="M20" s="49">
        <f>'Delo 5W30 Gallon'!B20</f>
        <v>648.99317460317457</v>
      </c>
      <c r="N20" s="48">
        <f>'Petro 5W30'!B20</f>
        <v>485.19</v>
      </c>
      <c r="O20" s="49">
        <f>'Petro 5W30 Gallon'!B20</f>
        <v>550.06999999999994</v>
      </c>
    </row>
    <row r="21" spans="1:15" ht="12.75" customHeight="1" x14ac:dyDescent="0.2">
      <c r="A21" s="48" t="s">
        <v>646</v>
      </c>
      <c r="B21" s="48">
        <f>'15W40'!B21</f>
        <v>275.99</v>
      </c>
      <c r="C21" s="48">
        <f>'15W40 Gallon'!B21</f>
        <v>340.97</v>
      </c>
      <c r="D21" s="48">
        <f>'10W30'!B21</f>
        <v>300.99</v>
      </c>
      <c r="E21" s="49">
        <f>'10W30 Gallon'!B21</f>
        <v>383.09232804232806</v>
      </c>
      <c r="F21" s="48">
        <f>'T5'!B21</f>
        <v>300.99</v>
      </c>
      <c r="G21" s="48">
        <f>'T5 Gallon'!B21</f>
        <v>405.77266666666662</v>
      </c>
      <c r="H21" s="48">
        <f>'Petro 10W30'!B21</f>
        <v>300.99</v>
      </c>
      <c r="I21" s="48">
        <f>'Petro 10W30Gallon'!B21</f>
        <v>334.69</v>
      </c>
      <c r="J21" s="48">
        <f>'T6'!B21</f>
        <v>388.55</v>
      </c>
      <c r="K21" s="49">
        <f>'T6 Gallon'!B21</f>
        <v>480.798</v>
      </c>
      <c r="L21" s="48">
        <f>'Delo 5W30'!B21</f>
        <v>415.75</v>
      </c>
      <c r="M21" s="49">
        <f>'Delo 5W30 Gallon'!B21</f>
        <v>487.81063492063493</v>
      </c>
      <c r="N21" s="48">
        <f>'Petro 5W30'!B21</f>
        <v>361.69</v>
      </c>
      <c r="O21" s="49">
        <f>'Petro 5W30 Gallon'!B21</f>
        <v>411.37</v>
      </c>
    </row>
    <row r="22" spans="1:15" ht="12.75" customHeight="1" x14ac:dyDescent="0.2">
      <c r="A22" s="48"/>
      <c r="B22" s="48"/>
      <c r="C22" s="48"/>
      <c r="D22" s="48"/>
      <c r="E22" s="49"/>
      <c r="F22" s="48"/>
      <c r="G22" s="48"/>
      <c r="H22" s="48"/>
      <c r="I22" s="48"/>
      <c r="J22" s="48"/>
      <c r="K22" s="49"/>
      <c r="L22" s="48"/>
      <c r="M22" s="49"/>
      <c r="N22" s="48"/>
      <c r="O22" s="49"/>
    </row>
    <row r="23" spans="1:15" ht="12.75" customHeight="1" x14ac:dyDescent="0.2">
      <c r="A23" s="48" t="s">
        <v>647</v>
      </c>
      <c r="B23" s="48">
        <f>'15W40'!B23</f>
        <v>349.99</v>
      </c>
      <c r="C23" s="48">
        <f>'15W40 Gallon'!B23</f>
        <v>420.85</v>
      </c>
      <c r="D23" s="48">
        <f>'10W30'!B23</f>
        <v>374.99</v>
      </c>
      <c r="E23" s="49">
        <f>'10W30 Gallon'!B23</f>
        <v>464.98671957671962</v>
      </c>
      <c r="F23" s="48">
        <f>'T5'!B23</f>
        <v>374.99</v>
      </c>
      <c r="G23" s="48">
        <f>'T5 Gallon'!B23</f>
        <v>490.33533333333332</v>
      </c>
      <c r="H23" s="48">
        <f>'Petro 10W30'!B23</f>
        <v>374.99</v>
      </c>
      <c r="I23" s="48">
        <f>'Petro 10W30Gallon'!B23</f>
        <v>410.89</v>
      </c>
      <c r="J23" s="48">
        <f>'T6'!B23</f>
        <v>469.90999999999997</v>
      </c>
      <c r="K23" s="49">
        <f>'T6 Gallon'!B23</f>
        <v>571.24599999999998</v>
      </c>
      <c r="L23" s="48">
        <f>'Delo 5W30'!B23</f>
        <v>500.31</v>
      </c>
      <c r="M23" s="49">
        <f>'Delo 5W30 Gallon'!B23</f>
        <v>579.0836507936508</v>
      </c>
      <c r="N23" s="48">
        <f>'Petro 5W30'!B23</f>
        <v>439.89</v>
      </c>
      <c r="O23" s="49">
        <f>'Petro 5W30 Gallon'!B23</f>
        <v>493.65</v>
      </c>
    </row>
    <row r="24" spans="1:15" ht="12.75" customHeight="1" x14ac:dyDescent="0.2">
      <c r="A24" s="48" t="s">
        <v>648</v>
      </c>
      <c r="B24" s="48">
        <f>'15W40'!B24</f>
        <v>409.99</v>
      </c>
      <c r="C24" s="48">
        <f>'15W40 Gallon'!B24</f>
        <v>472.03</v>
      </c>
      <c r="D24" s="48">
        <f>'10W30'!B24</f>
        <v>434.99</v>
      </c>
      <c r="E24" s="49">
        <f>'10W30 Gallon'!B24</f>
        <v>513.14513227513226</v>
      </c>
      <c r="F24" s="48">
        <f>'T5'!B24</f>
        <v>434.99</v>
      </c>
      <c r="G24" s="48">
        <f>'T5 Gallon'!B24</f>
        <v>534.49133333333327</v>
      </c>
      <c r="H24" s="48">
        <f>'Petro 10W30'!B24</f>
        <v>434.99</v>
      </c>
      <c r="I24" s="48">
        <f>'Petro 10W30Gallon'!B24</f>
        <v>467.59000000000003</v>
      </c>
      <c r="J24" s="48">
        <f>'T6'!B24</f>
        <v>518.87</v>
      </c>
      <c r="K24" s="49">
        <f>'T6 Gallon'!B24</f>
        <v>606.57400000000007</v>
      </c>
      <c r="L24" s="48">
        <f>'Delo 5W30'!B24</f>
        <v>544.47</v>
      </c>
      <c r="M24" s="49">
        <f>'Delo 5W30 Gallon'!B24</f>
        <v>613.17412698412704</v>
      </c>
      <c r="N24" s="48">
        <f>'Petro 5W30'!B24</f>
        <v>493.59000000000003</v>
      </c>
      <c r="O24" s="49">
        <f>'Petro 5W30 Gallon'!B24</f>
        <v>541.23</v>
      </c>
    </row>
    <row r="25" spans="1:15" ht="12.75" customHeight="1" x14ac:dyDescent="0.2">
      <c r="A25" s="48" t="s">
        <v>649</v>
      </c>
      <c r="B25" s="48">
        <f>'15W40'!B25</f>
        <v>415.99</v>
      </c>
      <c r="C25" s="48">
        <f>'15W40 Gallon'!B25</f>
        <v>497.73</v>
      </c>
      <c r="D25" s="48">
        <f>'10W30'!B25</f>
        <v>445.99</v>
      </c>
      <c r="E25" s="49">
        <f>'10W30 Gallon'!B25</f>
        <v>548.88111111111118</v>
      </c>
      <c r="F25" s="48">
        <f>'T5'!B25</f>
        <v>445.99</v>
      </c>
      <c r="G25" s="48">
        <f>'T5 Gallon'!B25</f>
        <v>576.89799999999991</v>
      </c>
      <c r="H25" s="48">
        <f>'Petro 10W30'!B25</f>
        <v>445.99</v>
      </c>
      <c r="I25" s="48">
        <f>'Petro 10W30Gallon'!B25</f>
        <v>489.09000000000003</v>
      </c>
      <c r="J25" s="48">
        <f>'T6'!B25</f>
        <v>553.27</v>
      </c>
      <c r="K25" s="49">
        <f>'T6 Gallon'!B25</f>
        <v>668.69399999999996</v>
      </c>
      <c r="L25" s="48">
        <f>'Delo 5W30'!B25</f>
        <v>586.87</v>
      </c>
      <c r="M25" s="49">
        <f>'Delo 5W30 Gallon'!B25</f>
        <v>677.35666666666668</v>
      </c>
      <c r="N25" s="48">
        <f>'Petro 5W30'!B25</f>
        <v>520.09</v>
      </c>
      <c r="O25" s="49">
        <f>'Petro 5W30 Gallon'!B25</f>
        <v>582.93000000000006</v>
      </c>
    </row>
    <row r="26" spans="1:15" ht="12.75" customHeight="1" x14ac:dyDescent="0.2">
      <c r="A26" s="48" t="s">
        <v>650</v>
      </c>
      <c r="B26" s="48">
        <f>'15W40'!B26</f>
        <v>393.99</v>
      </c>
      <c r="C26" s="48">
        <f>'15W40 Gallon'!B26</f>
        <v>475.73</v>
      </c>
      <c r="D26" s="48">
        <f>'10W30'!B26</f>
        <v>423.99</v>
      </c>
      <c r="E26" s="49">
        <f>'10W30 Gallon'!B26</f>
        <v>526.88111111111118</v>
      </c>
      <c r="F26" s="48">
        <f>'T5'!B26</f>
        <v>423.99</v>
      </c>
      <c r="G26" s="48">
        <f>'T5 Gallon'!B26</f>
        <v>554.89799999999991</v>
      </c>
      <c r="H26" s="48">
        <f>'Petro 10W30'!B26</f>
        <v>423.99</v>
      </c>
      <c r="I26" s="48">
        <f>'Petro 10W30Gallon'!B26</f>
        <v>467.09000000000003</v>
      </c>
      <c r="J26" s="48">
        <f>'T6'!B26</f>
        <v>531.27</v>
      </c>
      <c r="K26" s="49">
        <f>'T6 Gallon'!B26</f>
        <v>646.69399999999996</v>
      </c>
      <c r="L26" s="48">
        <f>'Delo 5W30'!B26</f>
        <v>564.87</v>
      </c>
      <c r="M26" s="49">
        <f>'Delo 5W30 Gallon'!B26</f>
        <v>655.35666666666668</v>
      </c>
      <c r="N26" s="48">
        <f>'Petro 5W30'!B26</f>
        <v>498.09000000000003</v>
      </c>
      <c r="O26" s="49">
        <f>'Petro 5W30 Gallon'!B26</f>
        <v>560.93000000000006</v>
      </c>
    </row>
    <row r="27" spans="1:15" ht="12.75" customHeight="1" x14ac:dyDescent="0.2">
      <c r="A27" s="48" t="s">
        <v>651</v>
      </c>
      <c r="B27" s="48">
        <f>'15W40'!B27</f>
        <v>302.99</v>
      </c>
      <c r="C27" s="48">
        <f>'15W40 Gallon'!B27</f>
        <v>373.85</v>
      </c>
      <c r="D27" s="48">
        <f>'10W30'!B27</f>
        <v>327.99</v>
      </c>
      <c r="E27" s="49">
        <f>'10W30 Gallon'!B27</f>
        <v>417.98671957671962</v>
      </c>
      <c r="F27" s="48">
        <f>'T5'!B27</f>
        <v>327.99</v>
      </c>
      <c r="G27" s="48">
        <f>'T5 Gallon'!B27</f>
        <v>443.33533333333332</v>
      </c>
      <c r="H27" s="48">
        <f>'Petro 10W30'!B27</f>
        <v>327.99</v>
      </c>
      <c r="I27" s="48">
        <f>'Petro 10W30Gallon'!B27</f>
        <v>363.89</v>
      </c>
      <c r="J27" s="48">
        <f>'T6'!B27</f>
        <v>422.90999999999997</v>
      </c>
      <c r="K27" s="49">
        <f>'T6 Gallon'!B27</f>
        <v>524.24599999999998</v>
      </c>
      <c r="L27" s="48">
        <f>'Delo 5W30'!B27</f>
        <v>453.31</v>
      </c>
      <c r="M27" s="49">
        <f>'Delo 5W30 Gallon'!B27</f>
        <v>532.0836507936508</v>
      </c>
      <c r="N27" s="48">
        <f>'Petro 5W30'!B27</f>
        <v>392.89</v>
      </c>
      <c r="O27" s="49">
        <f>'Petro 5W30 Gallon'!B27</f>
        <v>446.65</v>
      </c>
    </row>
    <row r="28" spans="1:15" ht="12.75" customHeight="1" x14ac:dyDescent="0.2">
      <c r="A28" s="48" t="s">
        <v>652</v>
      </c>
      <c r="B28" s="48">
        <f>'15W40'!B28</f>
        <v>170.99</v>
      </c>
      <c r="C28" s="48">
        <f>'15W40 Gallon'!B28</f>
        <v>201.57</v>
      </c>
      <c r="D28" s="48">
        <f>'10W30'!B28</f>
        <v>185.99</v>
      </c>
      <c r="E28" s="49">
        <f>'10W30 Gallon'!B28</f>
        <v>223.62037037037038</v>
      </c>
      <c r="F28" s="48">
        <f>'T5'!B28</f>
        <v>185.99</v>
      </c>
      <c r="G28" s="48">
        <f>'T5 Gallon'!B28</f>
        <v>232.95933333333335</v>
      </c>
      <c r="H28" s="48">
        <f>'Petro 10W30'!B28</f>
        <v>185.99</v>
      </c>
      <c r="I28" s="48">
        <f>'Petro 10W30Gallon'!B28</f>
        <v>203.69</v>
      </c>
      <c r="J28" s="48">
        <f>'T6'!B28</f>
        <v>226.75</v>
      </c>
      <c r="K28" s="49">
        <f>'T6 Gallon'!B28</f>
        <v>268.55799999999999</v>
      </c>
      <c r="L28" s="48">
        <f>'Delo 5W30'!B28</f>
        <v>237.95</v>
      </c>
      <c r="M28" s="49">
        <f>'Delo 5W30 Gallon'!B28</f>
        <v>271.44555555555553</v>
      </c>
      <c r="N28" s="48">
        <f>'Petro 5W30'!B28</f>
        <v>215.69</v>
      </c>
      <c r="O28" s="49">
        <f>'Petro 5W30 Gallon'!B28</f>
        <v>239.97</v>
      </c>
    </row>
    <row r="29" spans="1:15" ht="12.75" customHeight="1" x14ac:dyDescent="0.2">
      <c r="A29" s="48"/>
      <c r="B29" s="48"/>
      <c r="C29" s="48"/>
      <c r="D29" s="48"/>
      <c r="E29" s="49"/>
      <c r="F29" s="48"/>
      <c r="G29" s="48"/>
      <c r="H29" s="48"/>
      <c r="I29" s="48"/>
      <c r="J29" s="48"/>
      <c r="K29" s="49"/>
      <c r="L29" s="48"/>
      <c r="M29" s="49"/>
      <c r="N29" s="48"/>
      <c r="O29" s="49"/>
    </row>
    <row r="30" spans="1:15" ht="12.75" customHeight="1" x14ac:dyDescent="0.2">
      <c r="A30" s="48" t="s">
        <v>653</v>
      </c>
      <c r="B30" s="48">
        <f>'15W40'!B30</f>
        <v>170.99</v>
      </c>
      <c r="C30" s="48">
        <f>'15W40 Gallon'!B30</f>
        <v>201.57</v>
      </c>
      <c r="D30" s="48">
        <f>'10W30'!B30</f>
        <v>185.99</v>
      </c>
      <c r="E30" s="49">
        <f>'10W30 Gallon'!B30</f>
        <v>223.62037037037038</v>
      </c>
      <c r="F30" s="48">
        <f>'T5'!B30</f>
        <v>185.99</v>
      </c>
      <c r="G30" s="48">
        <f>'T5 Gallon'!B30</f>
        <v>232.95933333333335</v>
      </c>
      <c r="H30" s="48">
        <f>'Petro 10W30'!B30</f>
        <v>185.99</v>
      </c>
      <c r="I30" s="48">
        <f>'Petro 10W30Gallon'!B30</f>
        <v>203.69</v>
      </c>
      <c r="J30" s="48">
        <f>'T6'!B30</f>
        <v>226.75</v>
      </c>
      <c r="K30" s="49">
        <f>'T6 Gallon'!B30</f>
        <v>268.55799999999999</v>
      </c>
      <c r="L30" s="48">
        <f>'Delo 5W30'!B30</f>
        <v>237.95</v>
      </c>
      <c r="M30" s="49">
        <f>'Delo 5W30 Gallon'!B30</f>
        <v>271.44555555555553</v>
      </c>
      <c r="N30" s="48">
        <f>'Petro 5W30'!B30</f>
        <v>215.69</v>
      </c>
      <c r="O30" s="49">
        <f>'Petro 5W30 Gallon'!B30</f>
        <v>239.97</v>
      </c>
    </row>
    <row r="31" spans="1:15" ht="12.75" customHeight="1" x14ac:dyDescent="0.2">
      <c r="A31" s="48"/>
      <c r="B31" s="48"/>
      <c r="C31" s="48"/>
      <c r="D31" s="48"/>
      <c r="E31" s="49"/>
      <c r="F31" s="48"/>
      <c r="G31" s="48"/>
      <c r="H31" s="48"/>
      <c r="I31" s="48"/>
      <c r="J31" s="48"/>
      <c r="K31" s="49"/>
      <c r="L31" s="48"/>
      <c r="M31" s="49"/>
      <c r="N31" s="48"/>
      <c r="O31" s="49"/>
    </row>
    <row r="32" spans="1:15" ht="12.75" customHeight="1" x14ac:dyDescent="0.2">
      <c r="A32" s="48" t="s">
        <v>423</v>
      </c>
      <c r="B32" s="48">
        <f>'15W40'!B32</f>
        <v>269.99</v>
      </c>
      <c r="C32" s="48">
        <f>'15W40 Gallon'!B32</f>
        <v>300.57</v>
      </c>
      <c r="D32" s="48">
        <f>'10W30'!B32</f>
        <v>284.99</v>
      </c>
      <c r="E32" s="49">
        <f>'10W30 Gallon'!B32</f>
        <v>322.62037037037038</v>
      </c>
      <c r="F32" s="48">
        <f>'T5'!B32</f>
        <v>284.99</v>
      </c>
      <c r="G32" s="48">
        <f>'T5 Gallon'!B32</f>
        <v>331.95933333333335</v>
      </c>
      <c r="H32" s="48">
        <f>'Petro 10W30'!B32</f>
        <v>284.99</v>
      </c>
      <c r="I32" s="48">
        <f>'Petro 10W30Gallon'!B32</f>
        <v>302.69</v>
      </c>
      <c r="J32" s="48">
        <f>'T6'!B32</f>
        <v>325.75</v>
      </c>
      <c r="K32" s="49">
        <f>'T6 Gallon'!B32</f>
        <v>367.55799999999999</v>
      </c>
      <c r="L32" s="48">
        <f>'Delo 5W30'!B32</f>
        <v>336.95</v>
      </c>
      <c r="M32" s="49">
        <f>'Delo 5W30 Gallon'!B32</f>
        <v>370.44555555555553</v>
      </c>
      <c r="N32" s="48">
        <f>'Petro 5W30'!B32</f>
        <v>314.69</v>
      </c>
      <c r="O32" s="49">
        <f>'Petro 5W30 Gallon'!B32</f>
        <v>338.96999999999997</v>
      </c>
    </row>
    <row r="33" spans="1:15" ht="12.75" customHeight="1" x14ac:dyDescent="0.2">
      <c r="A33" s="48" t="s">
        <v>654</v>
      </c>
      <c r="B33" s="48">
        <f>'15W40'!B33</f>
        <v>199.99</v>
      </c>
      <c r="C33" s="48">
        <f>'15W40 Gallon'!B33</f>
        <v>230.57</v>
      </c>
      <c r="D33" s="48">
        <f>'10W30'!B33</f>
        <v>214.99</v>
      </c>
      <c r="E33" s="49">
        <f>'10W30 Gallon'!B33</f>
        <v>252.62037037037038</v>
      </c>
      <c r="F33" s="48">
        <f>'T5'!B33</f>
        <v>214.99</v>
      </c>
      <c r="G33" s="48">
        <f>'T5 Gallon'!B33</f>
        <v>261.95933333333335</v>
      </c>
      <c r="H33" s="48">
        <f>'Petro 10W30'!B33</f>
        <v>214.99</v>
      </c>
      <c r="I33" s="48">
        <f>'Petro 10W30Gallon'!B33</f>
        <v>232.69</v>
      </c>
      <c r="J33" s="48">
        <f>'T6'!B33</f>
        <v>255.75</v>
      </c>
      <c r="K33" s="49">
        <f>'T6 Gallon'!B33</f>
        <v>297.55799999999999</v>
      </c>
      <c r="L33" s="48">
        <f>'Delo 5W30'!B33</f>
        <v>266.95</v>
      </c>
      <c r="M33" s="49">
        <f>'Delo 5W30 Gallon'!B33</f>
        <v>300.44555555555553</v>
      </c>
      <c r="N33" s="48">
        <f>'Petro 5W30'!B33</f>
        <v>244.69</v>
      </c>
      <c r="O33" s="49">
        <f>'Petro 5W30 Gallon'!B33</f>
        <v>268.96999999999997</v>
      </c>
    </row>
    <row r="34" spans="1:15" ht="12.75" customHeight="1" x14ac:dyDescent="0.2">
      <c r="A34" s="48"/>
      <c r="B34" s="48"/>
      <c r="C34" s="48"/>
      <c r="D34" s="48"/>
      <c r="E34" s="49"/>
      <c r="F34" s="48"/>
      <c r="G34" s="48"/>
      <c r="H34" s="48"/>
      <c r="I34" s="48"/>
      <c r="J34" s="48"/>
      <c r="K34" s="49"/>
      <c r="L34" s="48"/>
      <c r="M34" s="49"/>
      <c r="N34" s="48"/>
      <c r="O34" s="49"/>
    </row>
    <row r="35" spans="1:15" ht="12.75" customHeight="1" x14ac:dyDescent="0.2">
      <c r="A35" s="48" t="s">
        <v>655</v>
      </c>
      <c r="B35" s="48">
        <f>'15W40'!B35</f>
        <v>265.99</v>
      </c>
      <c r="C35" s="48">
        <f>'15W40 Gallon'!B35</f>
        <v>319.20999999999998</v>
      </c>
      <c r="D35" s="48">
        <f>'10W30'!B35</f>
        <v>290.99</v>
      </c>
      <c r="E35" s="49">
        <f>'10W30 Gallon'!B35</f>
        <v>357.303544973545</v>
      </c>
      <c r="F35" s="48">
        <f>'T5'!B35</f>
        <v>290.99</v>
      </c>
      <c r="G35" s="48">
        <f>'T5 Gallon'!B35</f>
        <v>374.64733333333334</v>
      </c>
      <c r="H35" s="48">
        <f>'Petro 10W30'!B35</f>
        <v>290.99</v>
      </c>
      <c r="I35" s="48">
        <f>'Petro 10W30Gallon'!B35</f>
        <v>320.29000000000002</v>
      </c>
      <c r="J35" s="48">
        <f>'T6'!B35</f>
        <v>363.83</v>
      </c>
      <c r="K35" s="49">
        <f>'T6 Gallon'!B35</f>
        <v>437.90199999999999</v>
      </c>
      <c r="L35" s="48">
        <f>'Delo 5W30'!B35</f>
        <v>384.63</v>
      </c>
      <c r="M35" s="49">
        <f>'Delo 5W30 Gallon'!B35</f>
        <v>443.26460317460317</v>
      </c>
      <c r="N35" s="48">
        <f>'Petro 5W30'!B35</f>
        <v>343.29</v>
      </c>
      <c r="O35" s="49">
        <f>'Petro 5W30 Gallon'!B35</f>
        <v>384.81</v>
      </c>
    </row>
    <row r="36" spans="1:15" ht="12.75" customHeight="1" x14ac:dyDescent="0.2">
      <c r="A36" s="48" t="s">
        <v>1245</v>
      </c>
      <c r="B36" s="48">
        <f>'15W40'!B36</f>
        <v>499.99</v>
      </c>
      <c r="C36" s="48">
        <f>'15W40 Gallon'!B36</f>
        <v>587.61</v>
      </c>
      <c r="D36" s="48">
        <f>'10W30'!B36</f>
        <v>529.99</v>
      </c>
      <c r="E36" s="49">
        <f>'10W30 Gallon'!B36</f>
        <v>640.77550264550268</v>
      </c>
      <c r="F36" s="48">
        <f>'T5'!B36</f>
        <v>529.99</v>
      </c>
      <c r="G36" s="48">
        <f>'T5 Gallon'!B36</f>
        <v>671.46066666666661</v>
      </c>
      <c r="H36" s="48">
        <f>'Petro 10W30'!B36</f>
        <v>529.99</v>
      </c>
      <c r="I36" s="48">
        <f>'Petro 10W30Gallon'!B36</f>
        <v>575.29</v>
      </c>
      <c r="J36" s="48">
        <f>'T6'!B36</f>
        <v>644.63</v>
      </c>
      <c r="K36" s="49">
        <f>'T6 Gallon'!B36</f>
        <v>769.14200000000005</v>
      </c>
      <c r="L36" s="48">
        <f>'Delo 5W30'!B36</f>
        <v>681.43</v>
      </c>
      <c r="M36" s="49">
        <f>'Delo 5W30 Gallon'!B36</f>
        <v>778.62968253968245</v>
      </c>
      <c r="N36" s="48">
        <f>'Petro 5W30'!B36</f>
        <v>608.29</v>
      </c>
      <c r="O36" s="49">
        <f>'Petro 5W30 Gallon'!B36</f>
        <v>675.20999999999992</v>
      </c>
    </row>
    <row r="37" spans="1:15" ht="12.75" customHeight="1" x14ac:dyDescent="0.2">
      <c r="A37" s="48" t="s">
        <v>1249</v>
      </c>
      <c r="B37" s="48">
        <f>'15W40'!B37</f>
        <v>249.99</v>
      </c>
      <c r="C37" s="48">
        <f>'15W40 Gallon'!B37</f>
        <v>295.57</v>
      </c>
      <c r="D37" s="48">
        <f>'10W30'!B37</f>
        <v>264.99</v>
      </c>
      <c r="E37" s="49">
        <f>'10W30 Gallon'!B37</f>
        <v>302.62037037037038</v>
      </c>
      <c r="F37" s="48">
        <f>'T5'!B37</f>
        <v>264.99</v>
      </c>
      <c r="G37" s="48">
        <f>'T5 Gallon'!B37</f>
        <v>311.95933333333335</v>
      </c>
      <c r="H37" s="48">
        <f>'Petro 10W30'!B37</f>
        <v>264.99</v>
      </c>
      <c r="I37" s="48">
        <f>'Petro 10W30Gallon'!B37</f>
        <v>282.69</v>
      </c>
      <c r="J37" s="48">
        <f>'T6'!B37</f>
        <v>398.99</v>
      </c>
      <c r="K37" s="49">
        <f>'T6 Gallon'!B37</f>
        <v>440.798</v>
      </c>
      <c r="L37" s="48">
        <f>'Delo 5W30'!B37</f>
        <v>279.99</v>
      </c>
      <c r="M37" s="49">
        <f>'Delo 5W30 Gallon'!B37</f>
        <v>313.48555555555555</v>
      </c>
      <c r="N37" s="48">
        <f>'Petro 5W30'!B37</f>
        <v>294.69</v>
      </c>
      <c r="O37" s="49">
        <f>'Petro 5W30 Gallon'!B37</f>
        <v>318.96999999999997</v>
      </c>
    </row>
    <row r="38" spans="1:15" ht="12.75" customHeight="1" x14ac:dyDescent="0.2">
      <c r="A38" s="48" t="s">
        <v>1125</v>
      </c>
      <c r="B38" s="48">
        <f>'15W40'!B38</f>
        <v>215.99</v>
      </c>
      <c r="C38" s="48">
        <f>'15W40 Gallon'!B38</f>
        <v>246.57</v>
      </c>
      <c r="D38" s="48">
        <f>'10W30'!B38</f>
        <v>230.99</v>
      </c>
      <c r="E38" s="49">
        <f>'10W30 Gallon'!B38</f>
        <v>268.62037037037038</v>
      </c>
      <c r="F38" s="48">
        <f>'T5'!B38</f>
        <v>230.99</v>
      </c>
      <c r="G38" s="48">
        <f>'T5 Gallon'!B38</f>
        <v>277.95933333333335</v>
      </c>
      <c r="H38" s="48">
        <f>'Petro 10W30'!B38</f>
        <v>230.99</v>
      </c>
      <c r="I38" s="48">
        <f>'Petro 10W30Gallon'!B38</f>
        <v>248.69</v>
      </c>
      <c r="J38" s="48">
        <f>'T6'!B38</f>
        <v>291.75</v>
      </c>
      <c r="K38" s="49">
        <f>'T6 Gallon'!B38</f>
        <v>333.55799999999999</v>
      </c>
      <c r="L38" s="48">
        <f>'Delo 5W30'!B38</f>
        <v>302.95</v>
      </c>
      <c r="M38" s="49">
        <f>'Delo 5W30 Gallon'!B38</f>
        <v>341.44555555555553</v>
      </c>
      <c r="N38" s="48">
        <f>'Petro 5W30'!B38</f>
        <v>280.69</v>
      </c>
      <c r="O38" s="49">
        <f>'Petro 5W30 Gallon'!B38</f>
        <v>309.96999999999997</v>
      </c>
    </row>
    <row r="39" spans="1:15" ht="12.75" customHeight="1" x14ac:dyDescent="0.2">
      <c r="A39" s="48" t="s">
        <v>425</v>
      </c>
      <c r="B39" s="48">
        <f>'15W40'!B39</f>
        <v>275.99</v>
      </c>
      <c r="C39" s="48">
        <f>'15W40 Gallon'!B39</f>
        <v>306.57</v>
      </c>
      <c r="D39" s="48">
        <f>'10W30'!B39</f>
        <v>290.99</v>
      </c>
      <c r="E39" s="49">
        <f>'10W30 Gallon'!B39</f>
        <v>328.62037037037038</v>
      </c>
      <c r="F39" s="48">
        <f>'T5'!B39</f>
        <v>290.99</v>
      </c>
      <c r="G39" s="48">
        <f>'T5 Gallon'!B39</f>
        <v>337.95933333333335</v>
      </c>
      <c r="H39" s="48">
        <f>'Petro 10W30'!B39</f>
        <v>290.99</v>
      </c>
      <c r="I39" s="48">
        <f>'Petro 10W30Gallon'!B39</f>
        <v>308.69</v>
      </c>
      <c r="J39" s="48">
        <f>'T6'!B39</f>
        <v>361.75</v>
      </c>
      <c r="K39" s="49">
        <f>'T6 Gallon'!B39</f>
        <v>403.55799999999999</v>
      </c>
      <c r="L39" s="48">
        <f>'Delo 5W30'!B39</f>
        <v>372.95</v>
      </c>
      <c r="M39" s="49">
        <f>'Delo 5W30 Gallon'!B39</f>
        <v>416.44555555555553</v>
      </c>
      <c r="N39" s="48">
        <f>'Petro 5W30'!B39</f>
        <v>350.69</v>
      </c>
      <c r="O39" s="49">
        <f>'Petro 5W30 Gallon'!B39</f>
        <v>384.96999999999997</v>
      </c>
    </row>
    <row r="40" spans="1:15" ht="12.75" customHeight="1" x14ac:dyDescent="0.2">
      <c r="A40" s="48"/>
      <c r="B40" s="48"/>
      <c r="C40" s="48"/>
      <c r="D40" s="48"/>
      <c r="E40" s="49"/>
      <c r="F40" s="48"/>
      <c r="G40" s="48"/>
      <c r="H40" s="48"/>
      <c r="I40" s="48"/>
      <c r="J40" s="48"/>
      <c r="K40" s="49"/>
      <c r="L40" s="48"/>
      <c r="M40" s="49"/>
      <c r="N40" s="48"/>
      <c r="O40" s="49"/>
    </row>
    <row r="41" spans="1:15" ht="12.75" customHeight="1" x14ac:dyDescent="0.2">
      <c r="A41" s="48" t="s">
        <v>907</v>
      </c>
      <c r="B41" s="48">
        <f>'15W40'!B41</f>
        <v>363.99</v>
      </c>
      <c r="C41" s="48">
        <f>'15W40 Gallon'!B41</f>
        <v>434.85</v>
      </c>
      <c r="D41" s="48">
        <f>'10W30'!B41</f>
        <v>388.99</v>
      </c>
      <c r="E41" s="49">
        <f>'10W30 Gallon'!B41</f>
        <v>478.98671957671962</v>
      </c>
      <c r="F41" s="48">
        <f>'T5'!B41</f>
        <v>388.99</v>
      </c>
      <c r="G41" s="48">
        <f>'T5 Gallon'!B41</f>
        <v>504.33533333333332</v>
      </c>
      <c r="H41" s="48">
        <f>'Petro 10W30'!B41</f>
        <v>388.99</v>
      </c>
      <c r="I41" s="48">
        <f>'Petro 10W30Gallon'!B41</f>
        <v>424.89</v>
      </c>
      <c r="J41" s="48">
        <f>'T6'!B41</f>
        <v>483.90999999999997</v>
      </c>
      <c r="K41" s="49">
        <f>'T6 Gallon'!B41</f>
        <v>585.24599999999998</v>
      </c>
      <c r="L41" s="48">
        <f>'Delo 5W30'!B41</f>
        <v>514.30999999999995</v>
      </c>
      <c r="M41" s="49">
        <f>'Delo 5W30 Gallon'!B41</f>
        <v>593.08365079365069</v>
      </c>
      <c r="N41" s="48">
        <f>'Petro 5W30'!B41</f>
        <v>453.89</v>
      </c>
      <c r="O41" s="49">
        <f>'Petro 5W30 Gallon'!B41</f>
        <v>507.65</v>
      </c>
    </row>
    <row r="42" spans="1:15" ht="12.75" customHeight="1" x14ac:dyDescent="0.2">
      <c r="A42" s="48" t="s">
        <v>911</v>
      </c>
      <c r="B42" s="48">
        <f>'15W40'!B42</f>
        <v>434.99</v>
      </c>
      <c r="C42" s="48">
        <f>'15W40 Gallon'!B42</f>
        <v>505.85</v>
      </c>
      <c r="D42" s="48">
        <f>'10W30'!B42</f>
        <v>459.99</v>
      </c>
      <c r="E42" s="49">
        <f>'10W30 Gallon'!B42</f>
        <v>549.98671957671968</v>
      </c>
      <c r="F42" s="48">
        <f>'T5'!B42</f>
        <v>459.99</v>
      </c>
      <c r="G42" s="48">
        <f>'T5 Gallon'!B42</f>
        <v>575.33533333333332</v>
      </c>
      <c r="H42" s="48">
        <f>'Petro 10W30'!B42</f>
        <v>459.99</v>
      </c>
      <c r="I42" s="48">
        <f>'Petro 10W30Gallon'!B42</f>
        <v>495.89</v>
      </c>
      <c r="J42" s="48">
        <f>'T6'!B42</f>
        <v>554.91</v>
      </c>
      <c r="K42" s="49">
        <f>'T6 Gallon'!B42</f>
        <v>656.24599999999998</v>
      </c>
      <c r="L42" s="48">
        <f>'Delo 5W30'!B42</f>
        <v>585.30999999999995</v>
      </c>
      <c r="M42" s="49">
        <f>'Delo 5W30 Gallon'!B42</f>
        <v>664.08365079365069</v>
      </c>
      <c r="N42" s="48">
        <f>'Petro 5W30'!B42</f>
        <v>524.89</v>
      </c>
      <c r="O42" s="49">
        <f>'Petro 5W30 Gallon'!B42</f>
        <v>578.65</v>
      </c>
    </row>
    <row r="43" spans="1:15" ht="12.75" customHeight="1" x14ac:dyDescent="0.2">
      <c r="A43" s="48" t="s">
        <v>909</v>
      </c>
      <c r="B43" s="48">
        <f>'15W40'!B43</f>
        <v>436.99</v>
      </c>
      <c r="C43" s="48">
        <f>'15W40 Gallon'!B43</f>
        <v>542.84</v>
      </c>
      <c r="D43" s="48">
        <f>'10W30'!B43</f>
        <v>471.99</v>
      </c>
      <c r="E43" s="49">
        <f>'10W30 Gallon'!B43</f>
        <v>600.53788359788359</v>
      </c>
      <c r="F43" s="48">
        <f>'T5'!B43</f>
        <v>471.99</v>
      </c>
      <c r="G43" s="48">
        <f>'T5 Gallon'!B43</f>
        <v>637.22666666666669</v>
      </c>
      <c r="H43" s="48">
        <f>'Petro 10W30'!B43</f>
        <v>471.99</v>
      </c>
      <c r="I43" s="48">
        <f>'Petro 10W30Gallon'!B43</f>
        <v>527.24</v>
      </c>
      <c r="J43" s="48">
        <f>'T6'!B43</f>
        <v>608.19000000000005</v>
      </c>
      <c r="K43" s="49">
        <f>'T6 Gallon'!B43</f>
        <v>758.15000000000009</v>
      </c>
      <c r="L43" s="48">
        <f>'Delo 5W30'!B43</f>
        <v>652.19000000000005</v>
      </c>
      <c r="M43" s="49">
        <f>'Delo 5W30 Gallon'!B43</f>
        <v>764.49396825396832</v>
      </c>
      <c r="N43" s="48">
        <f>'Petro 5W30'!B43</f>
        <v>564.74</v>
      </c>
      <c r="O43" s="49">
        <f>'Petro 5W30 Gallon'!B43</f>
        <v>640.84</v>
      </c>
    </row>
    <row r="44" spans="1:15" ht="12.75" customHeight="1" x14ac:dyDescent="0.2">
      <c r="A44" s="48" t="s">
        <v>910</v>
      </c>
      <c r="B44" s="48">
        <f>'15W40'!B44</f>
        <v>509.99</v>
      </c>
      <c r="C44" s="48">
        <f>'15W40 Gallon'!B44</f>
        <v>615.84</v>
      </c>
      <c r="D44" s="48">
        <f>'10W30'!B44</f>
        <v>544.99</v>
      </c>
      <c r="E44" s="49">
        <f>'10W30 Gallon'!B44</f>
        <v>673.53788359788359</v>
      </c>
      <c r="F44" s="48">
        <f>'T5'!B44</f>
        <v>544.99</v>
      </c>
      <c r="G44" s="48">
        <f>'T5 Gallon'!B44</f>
        <v>710.22666666666669</v>
      </c>
      <c r="H44" s="48">
        <f>'Petro 10W30'!B44</f>
        <v>544.99</v>
      </c>
      <c r="I44" s="48">
        <f>'Petro 10W30Gallon'!B44</f>
        <v>600.24</v>
      </c>
      <c r="J44" s="48">
        <f>'T6'!B44</f>
        <v>681.19</v>
      </c>
      <c r="K44" s="49">
        <f>'T6 Gallon'!B44</f>
        <v>831.15000000000009</v>
      </c>
      <c r="L44" s="48">
        <f>'Delo 5W30'!B44</f>
        <v>725.19</v>
      </c>
      <c r="M44" s="49">
        <f>'Delo 5W30 Gallon'!B44</f>
        <v>837.49396825396832</v>
      </c>
      <c r="N44" s="48">
        <f>'Petro 5W30'!B44</f>
        <v>637.74</v>
      </c>
      <c r="O44" s="49">
        <f>'Petro 5W30 Gallon'!B44</f>
        <v>713.84</v>
      </c>
    </row>
    <row r="45" spans="1:15" ht="12.75" customHeight="1" x14ac:dyDescent="0.2">
      <c r="A45" s="48" t="s">
        <v>656</v>
      </c>
      <c r="B45" s="48">
        <f>'15W40'!B45</f>
        <v>317.99</v>
      </c>
      <c r="C45" s="48">
        <f>'15W40 Gallon'!B45</f>
        <v>388.85</v>
      </c>
      <c r="D45" s="48">
        <f>'10W30'!B45</f>
        <v>342.99</v>
      </c>
      <c r="E45" s="49">
        <f>'10W30 Gallon'!B45</f>
        <v>437.98671957671962</v>
      </c>
      <c r="F45" s="48">
        <f>'T5'!B45</f>
        <v>342.99</v>
      </c>
      <c r="G45" s="48">
        <f>'T5 Gallon'!B45</f>
        <v>458.33533333333332</v>
      </c>
      <c r="H45" s="48">
        <f>'Petro 10W30'!B45</f>
        <v>342.99</v>
      </c>
      <c r="I45" s="48">
        <f>'Petro 10W30Gallon'!B45</f>
        <v>378.89</v>
      </c>
      <c r="J45" s="48">
        <f>'T6'!B45</f>
        <v>437.90999999999997</v>
      </c>
      <c r="K45" s="49">
        <f>'T6 Gallon'!B45</f>
        <v>539.24599999999998</v>
      </c>
      <c r="L45" s="48">
        <f>'Delo 5W30'!B45</f>
        <v>468.31</v>
      </c>
      <c r="M45" s="49">
        <f>'Delo 5W30 Gallon'!B45</f>
        <v>547.0836507936508</v>
      </c>
      <c r="N45" s="48">
        <f>'Petro 5W30'!B45</f>
        <v>407.89</v>
      </c>
      <c r="O45" s="49">
        <f>'Petro 5W30 Gallon'!B45</f>
        <v>461.65</v>
      </c>
    </row>
    <row r="46" spans="1:15" ht="12.75" customHeight="1" x14ac:dyDescent="0.2">
      <c r="A46" s="48" t="s">
        <v>657</v>
      </c>
      <c r="B46" s="48">
        <f>'15W40'!B46</f>
        <v>377.99</v>
      </c>
      <c r="C46" s="48">
        <f>'15W40 Gallon'!B46</f>
        <v>479.43</v>
      </c>
      <c r="D46" s="48">
        <f>'10W30'!B46</f>
        <v>412.99</v>
      </c>
      <c r="E46" s="49">
        <f>'10W30 Gallon'!B46</f>
        <v>540.61708994708999</v>
      </c>
      <c r="F46" s="48">
        <f>'T5'!B46</f>
        <v>412.99</v>
      </c>
      <c r="G46" s="48">
        <f>'T5 Gallon'!B46</f>
        <v>575.30466666666666</v>
      </c>
      <c r="H46" s="48">
        <f>'Petro 10W30'!B46</f>
        <v>412.99</v>
      </c>
      <c r="I46" s="48">
        <f>'Petro 10W30Gallon'!B46</f>
        <v>466.59</v>
      </c>
      <c r="J46" s="48">
        <f>'T6'!B46</f>
        <v>543.67000000000007</v>
      </c>
      <c r="K46" s="49">
        <f>'T6 Gallon'!B46</f>
        <v>686.81400000000008</v>
      </c>
      <c r="L46" s="48">
        <f>'Delo 5W30'!B46</f>
        <v>585.27</v>
      </c>
      <c r="M46" s="49">
        <f>'Delo 5W30 Gallon'!B46</f>
        <v>697.53920634920632</v>
      </c>
      <c r="N46" s="48">
        <f>'Petro 5W30'!B46</f>
        <v>502.59000000000003</v>
      </c>
      <c r="O46" s="49">
        <f>'Petro 5W30 Gallon'!B46</f>
        <v>580.63</v>
      </c>
    </row>
    <row r="47" spans="1:15" ht="12.75" customHeight="1" x14ac:dyDescent="0.2">
      <c r="A47" s="48" t="s">
        <v>658</v>
      </c>
      <c r="B47" s="48">
        <f>'15W40'!B47</f>
        <v>426.99</v>
      </c>
      <c r="C47" s="48">
        <f>'15W40 Gallon'!B47</f>
        <v>497.85</v>
      </c>
      <c r="D47" s="48">
        <f>'10W30'!B47</f>
        <v>451.99</v>
      </c>
      <c r="E47" s="49">
        <f>'10W30 Gallon'!B47</f>
        <v>541.98671957671968</v>
      </c>
      <c r="F47" s="48">
        <f>'T5'!B47</f>
        <v>451.99</v>
      </c>
      <c r="G47" s="48">
        <f>'T5 Gallon'!B47</f>
        <v>567.33533333333332</v>
      </c>
      <c r="H47" s="48">
        <f>'Petro 10W30'!B47</f>
        <v>451.99</v>
      </c>
      <c r="I47" s="48">
        <f>'Petro 10W30Gallon'!B47</f>
        <v>487.89</v>
      </c>
      <c r="J47" s="48">
        <f>'T6'!B47</f>
        <v>546.91</v>
      </c>
      <c r="K47" s="49">
        <f>'T6 Gallon'!B47</f>
        <v>648.24599999999998</v>
      </c>
      <c r="L47" s="48">
        <f>'Delo 5W30'!B47</f>
        <v>577.30999999999995</v>
      </c>
      <c r="M47" s="49">
        <f>'Delo 5W30 Gallon'!B47</f>
        <v>656.08365079365069</v>
      </c>
      <c r="N47" s="48">
        <f>'Petro 5W30'!B47</f>
        <v>516.89</v>
      </c>
      <c r="O47" s="49">
        <f>'Petro 5W30 Gallon'!B47</f>
        <v>570.65</v>
      </c>
    </row>
    <row r="48" spans="1:15" ht="12.75" customHeight="1" x14ac:dyDescent="0.2">
      <c r="A48" s="48" t="s">
        <v>659</v>
      </c>
      <c r="B48" s="48">
        <f>'15W40'!B48</f>
        <v>489.99</v>
      </c>
      <c r="C48" s="48">
        <f>'15W40 Gallon'!B48</f>
        <v>591.42999999999995</v>
      </c>
      <c r="D48" s="48">
        <f>'10W30'!B48</f>
        <v>524.99</v>
      </c>
      <c r="E48" s="49">
        <f>'10W30 Gallon'!B48</f>
        <v>652.61708994708999</v>
      </c>
      <c r="F48" s="48">
        <f>'T5'!B48</f>
        <v>524.99</v>
      </c>
      <c r="G48" s="48">
        <f>'T5 Gallon'!B48</f>
        <v>687.30466666666666</v>
      </c>
      <c r="H48" s="48">
        <f>'Petro 10W30'!B48</f>
        <v>524.99</v>
      </c>
      <c r="I48" s="48">
        <f>'Petro 10W30Gallon'!B48</f>
        <v>578.59</v>
      </c>
      <c r="J48" s="48">
        <f>'T6'!B48</f>
        <v>655.67</v>
      </c>
      <c r="K48" s="49">
        <f>'T6 Gallon'!B48</f>
        <v>798.81399999999996</v>
      </c>
      <c r="L48" s="48">
        <f>'Delo 5W30'!B48</f>
        <v>697.27</v>
      </c>
      <c r="M48" s="49">
        <f>'Delo 5W30 Gallon'!B48</f>
        <v>809.53920634920632</v>
      </c>
      <c r="N48" s="48">
        <f>'Petro 5W30'!B48</f>
        <v>614.59</v>
      </c>
      <c r="O48" s="49">
        <f>'Petro 5W30 Gallon'!B48</f>
        <v>692.63</v>
      </c>
    </row>
    <row r="49" spans="1:15" ht="12.75" customHeight="1" x14ac:dyDescent="0.2">
      <c r="A49" s="48"/>
      <c r="B49" s="48"/>
      <c r="C49" s="48"/>
      <c r="D49" s="48"/>
      <c r="E49" s="49"/>
      <c r="F49" s="48"/>
      <c r="G49" s="48"/>
      <c r="H49" s="48"/>
      <c r="I49" s="48"/>
      <c r="J49" s="48"/>
      <c r="K49" s="49"/>
      <c r="L49" s="48"/>
      <c r="M49" s="49"/>
      <c r="N49" s="48"/>
      <c r="O49" s="49"/>
    </row>
    <row r="50" spans="1:15" ht="12.75" customHeight="1" x14ac:dyDescent="0.2">
      <c r="A50" s="48" t="s">
        <v>660</v>
      </c>
      <c r="B50" s="48">
        <f>'15W40'!B50</f>
        <v>435.99</v>
      </c>
      <c r="C50" s="48">
        <f>'15W40 Gallon'!B50</f>
        <v>489.21</v>
      </c>
      <c r="D50" s="48">
        <f>'10W30'!B50</f>
        <v>460.99</v>
      </c>
      <c r="E50" s="49">
        <f>'10W30 Gallon'!B50</f>
        <v>527.30354497354506</v>
      </c>
      <c r="F50" s="48">
        <f>'T5'!B50</f>
        <v>460.99</v>
      </c>
      <c r="G50" s="48">
        <f>'T5 Gallon'!B50</f>
        <v>544.64733333333334</v>
      </c>
      <c r="H50" s="48">
        <f>'Petro 10W30'!B50</f>
        <v>460.99</v>
      </c>
      <c r="I50" s="48">
        <f>'Petro 10W30Gallon'!B50</f>
        <v>490.29</v>
      </c>
      <c r="J50" s="48">
        <f>'T6'!B50</f>
        <v>533.82999999999993</v>
      </c>
      <c r="K50" s="49">
        <f>'T6 Gallon'!B50</f>
        <v>607.90199999999993</v>
      </c>
      <c r="L50" s="48">
        <f>'Delo 5W30'!B50</f>
        <v>554.63</v>
      </c>
      <c r="M50" s="49">
        <f>'Delo 5W30 Gallon'!B50</f>
        <v>613.26460317460317</v>
      </c>
      <c r="N50" s="48">
        <f>'Petro 5W30'!B50</f>
        <v>513.29</v>
      </c>
      <c r="O50" s="49">
        <f>'Petro 5W30 Gallon'!B50</f>
        <v>554.80999999999995</v>
      </c>
    </row>
    <row r="51" spans="1:15" ht="12.75" customHeight="1" x14ac:dyDescent="0.2">
      <c r="A51" s="48" t="s">
        <v>661</v>
      </c>
      <c r="B51" s="48">
        <f>'15W40'!B51</f>
        <v>356.99</v>
      </c>
      <c r="C51" s="48">
        <f>'15W40 Gallon'!B51</f>
        <v>410.21</v>
      </c>
      <c r="D51" s="48">
        <f>'10W30'!B51</f>
        <v>381.99</v>
      </c>
      <c r="E51" s="49">
        <f>'10W30 Gallon'!B51</f>
        <v>448.303544973545</v>
      </c>
      <c r="F51" s="48">
        <f>'T5'!B51</f>
        <v>381.99</v>
      </c>
      <c r="G51" s="48">
        <f>'T5 Gallon'!B51</f>
        <v>465.64733333333334</v>
      </c>
      <c r="H51" s="48">
        <f>'Petro 10W30'!B51</f>
        <v>381.99</v>
      </c>
      <c r="I51" s="48">
        <f>'Petro 10W30Gallon'!B51</f>
        <v>411.29</v>
      </c>
      <c r="J51" s="48">
        <f>'T6'!B51</f>
        <v>454.83</v>
      </c>
      <c r="K51" s="49">
        <f>'T6 Gallon'!B51</f>
        <v>528.90200000000004</v>
      </c>
      <c r="L51" s="48">
        <f>'Delo 5W30'!B51</f>
        <v>475.63</v>
      </c>
      <c r="M51" s="49">
        <f>'Delo 5W30 Gallon'!B51</f>
        <v>534.26460317460317</v>
      </c>
      <c r="N51" s="48">
        <f>'Petro 5W30'!B51</f>
        <v>434.29</v>
      </c>
      <c r="O51" s="49">
        <f>'Petro 5W30 Gallon'!B51</f>
        <v>475.81</v>
      </c>
    </row>
    <row r="52" spans="1:15" ht="12.75" customHeight="1" x14ac:dyDescent="0.2">
      <c r="A52" s="48" t="s">
        <v>662</v>
      </c>
      <c r="B52" s="48">
        <f>'15W40'!B52</f>
        <v>434.99</v>
      </c>
      <c r="C52" s="48">
        <f>'15W40 Gallon'!B52</f>
        <v>505.85</v>
      </c>
      <c r="D52" s="48">
        <f>'10W30'!B52</f>
        <v>459.99</v>
      </c>
      <c r="E52" s="49">
        <f>'10W30 Gallon'!B52</f>
        <v>549.98671957671968</v>
      </c>
      <c r="F52" s="48">
        <f>'T5'!B52</f>
        <v>459.99</v>
      </c>
      <c r="G52" s="48">
        <f>'T5 Gallon'!B52</f>
        <v>575.33533333333332</v>
      </c>
      <c r="H52" s="48">
        <f>'Petro 10W30'!B52</f>
        <v>459.99</v>
      </c>
      <c r="I52" s="48">
        <f>'Petro 10W30Gallon'!B52</f>
        <v>495.89</v>
      </c>
      <c r="J52" s="48">
        <f>'T6'!B52</f>
        <v>554.91</v>
      </c>
      <c r="K52" s="49">
        <f>'T6 Gallon'!B52</f>
        <v>656.24599999999998</v>
      </c>
      <c r="L52" s="48">
        <f>'Delo 5W30'!B52</f>
        <v>585.30999999999995</v>
      </c>
      <c r="M52" s="49">
        <f>'Delo 5W30 Gallon'!B52</f>
        <v>664.08365079365069</v>
      </c>
      <c r="N52" s="48">
        <f>'Petro 5W30'!B52</f>
        <v>524.89</v>
      </c>
      <c r="O52" s="49">
        <f>'Petro 5W30 Gallon'!B52</f>
        <v>578.65</v>
      </c>
    </row>
    <row r="53" spans="1:15" ht="12.75" customHeight="1" x14ac:dyDescent="0.2">
      <c r="A53" s="48" t="s">
        <v>663</v>
      </c>
      <c r="B53" s="48">
        <f>'15W40'!B53</f>
        <v>356.99</v>
      </c>
      <c r="C53" s="48">
        <f>'15W40 Gallon'!B53</f>
        <v>427.85</v>
      </c>
      <c r="D53" s="48">
        <f>'10W30'!B53</f>
        <v>381.99</v>
      </c>
      <c r="E53" s="49">
        <f>'10W30 Gallon'!B53</f>
        <v>471.98671957671962</v>
      </c>
      <c r="F53" s="48">
        <f>'T5'!B53</f>
        <v>381.99</v>
      </c>
      <c r="G53" s="48">
        <f>'T5 Gallon'!B53</f>
        <v>497.33533333333332</v>
      </c>
      <c r="H53" s="48">
        <f>'Petro 10W30'!B53</f>
        <v>381.99</v>
      </c>
      <c r="I53" s="48">
        <f>'Petro 10W30Gallon'!B53</f>
        <v>417.89</v>
      </c>
      <c r="J53" s="48">
        <f>'T6'!B53</f>
        <v>476.90999999999997</v>
      </c>
      <c r="K53" s="49">
        <f>'T6 Gallon'!B53</f>
        <v>578.24599999999998</v>
      </c>
      <c r="L53" s="48">
        <f>'Delo 5W30'!B53</f>
        <v>507.31</v>
      </c>
      <c r="M53" s="49">
        <f>'Delo 5W30 Gallon'!B53</f>
        <v>586.0836507936508</v>
      </c>
      <c r="N53" s="48">
        <f>'Petro 5W30'!B53</f>
        <v>446.89</v>
      </c>
      <c r="O53" s="49">
        <f>'Petro 5W30 Gallon'!B53</f>
        <v>500.65</v>
      </c>
    </row>
    <row r="54" spans="1:15" ht="12.75" customHeight="1" x14ac:dyDescent="0.2">
      <c r="A54" s="48"/>
      <c r="B54" s="48"/>
      <c r="C54" s="48"/>
      <c r="D54" s="48"/>
      <c r="E54" s="49"/>
      <c r="F54" s="48"/>
      <c r="G54" s="48"/>
      <c r="H54" s="48"/>
      <c r="I54" s="48"/>
      <c r="J54" s="48"/>
      <c r="K54" s="49"/>
      <c r="L54" s="48"/>
      <c r="M54" s="49"/>
      <c r="N54" s="48"/>
      <c r="O54" s="49"/>
    </row>
    <row r="55" spans="1:15" ht="12.75" customHeight="1" x14ac:dyDescent="0.2">
      <c r="A55" s="48" t="s">
        <v>665</v>
      </c>
      <c r="B55" s="48">
        <f>'15W40'!B55</f>
        <v>364.99</v>
      </c>
      <c r="C55" s="48">
        <f>'15W40 Gallon'!B55</f>
        <v>454.08</v>
      </c>
      <c r="D55" s="48">
        <f>'10W30'!B55</f>
        <v>394.99</v>
      </c>
      <c r="E55" s="49">
        <f>'10W30 Gallon'!B55</f>
        <v>507.74910052910059</v>
      </c>
      <c r="F55" s="48">
        <f>'T5'!B55</f>
        <v>394.99</v>
      </c>
      <c r="G55" s="48">
        <f>'T5 Gallon'!B55</f>
        <v>539.10133333333329</v>
      </c>
      <c r="H55" s="48">
        <f>'Petro 10W30'!B55</f>
        <v>394.99</v>
      </c>
      <c r="I55" s="48">
        <f>'Petro 10W30Gallon'!B55</f>
        <v>440.84</v>
      </c>
      <c r="J55" s="48">
        <f>'T6'!B55</f>
        <v>511.47</v>
      </c>
      <c r="K55" s="49">
        <f>'T6 Gallon'!B55</f>
        <v>643.25400000000002</v>
      </c>
      <c r="L55" s="48">
        <f>'Delo 5W30'!B55</f>
        <v>549.06999999999994</v>
      </c>
      <c r="M55" s="49">
        <f>'Delo 5W30 Gallon'!B55</f>
        <v>647.94793650793645</v>
      </c>
      <c r="N55" s="48">
        <f>'Petro 5W30'!B55</f>
        <v>474.34000000000003</v>
      </c>
      <c r="O55" s="49">
        <f>'Petro 5W30 Gallon'!B55</f>
        <v>542.28</v>
      </c>
    </row>
    <row r="56" spans="1:15" ht="12.75" customHeight="1" x14ac:dyDescent="0.2">
      <c r="A56" s="48" t="s">
        <v>666</v>
      </c>
      <c r="B56" s="48">
        <f>'15W40'!B56</f>
        <v>342.99</v>
      </c>
      <c r="C56" s="48">
        <f>'15W40 Gallon'!B56</f>
        <v>432.08</v>
      </c>
      <c r="D56" s="48">
        <f>'10W30'!B56</f>
        <v>372.99</v>
      </c>
      <c r="E56" s="49">
        <f>'10W30 Gallon'!B56</f>
        <v>485.74910052910059</v>
      </c>
      <c r="F56" s="48">
        <f>'T5'!B56</f>
        <v>372.99</v>
      </c>
      <c r="G56" s="48">
        <f>'T5 Gallon'!B56</f>
        <v>517.10133333333329</v>
      </c>
      <c r="H56" s="48">
        <f>'Petro 10W30'!B56</f>
        <v>372.99</v>
      </c>
      <c r="I56" s="48">
        <f>'Petro 10W30Gallon'!B56</f>
        <v>418.84</v>
      </c>
      <c r="J56" s="48">
        <f>'T6'!B56</f>
        <v>489.47</v>
      </c>
      <c r="K56" s="49">
        <f>'T6 Gallon'!B56</f>
        <v>621.25400000000002</v>
      </c>
      <c r="L56" s="48">
        <f>'Delo 5W30'!B56</f>
        <v>527.06999999999994</v>
      </c>
      <c r="M56" s="49">
        <f>'Delo 5W30 Gallon'!B56</f>
        <v>625.94793650793645</v>
      </c>
      <c r="N56" s="48">
        <f>'Petro 5W30'!B56</f>
        <v>452.34000000000003</v>
      </c>
      <c r="O56" s="49">
        <f>'Petro 5W30 Gallon'!B56</f>
        <v>520.28</v>
      </c>
    </row>
    <row r="57" spans="1:15" ht="12.75" customHeight="1" x14ac:dyDescent="0.2">
      <c r="A57" s="48" t="s">
        <v>667</v>
      </c>
      <c r="B57" s="48">
        <f>'15W40'!B57</f>
        <v>279.99</v>
      </c>
      <c r="C57" s="48">
        <f>'15W40 Gallon'!B57</f>
        <v>333.21</v>
      </c>
      <c r="D57" s="48">
        <f>'10W30'!B57</f>
        <v>304.99</v>
      </c>
      <c r="E57" s="49">
        <f>'10W30 Gallon'!B57</f>
        <v>371.303544973545</v>
      </c>
      <c r="F57" s="48">
        <f>'T5'!B57</f>
        <v>304.99</v>
      </c>
      <c r="G57" s="48">
        <f>'T5 Gallon'!B57</f>
        <v>388.64733333333334</v>
      </c>
      <c r="H57" s="48">
        <f>'Petro 10W30'!B57</f>
        <v>304.99</v>
      </c>
      <c r="I57" s="48">
        <f>'Petro 10W30Gallon'!B57</f>
        <v>334.29</v>
      </c>
      <c r="J57" s="48">
        <f>'T6'!B57</f>
        <v>377.83</v>
      </c>
      <c r="K57" s="49">
        <f>'T6 Gallon'!B57</f>
        <v>451.90199999999999</v>
      </c>
      <c r="L57" s="48">
        <f>'Delo 5W30'!B57</f>
        <v>398.63</v>
      </c>
      <c r="M57" s="49">
        <f>'Delo 5W30 Gallon'!B57</f>
        <v>457.26460317460317</v>
      </c>
      <c r="N57" s="48">
        <f>'Petro 5W30'!B57</f>
        <v>357.29</v>
      </c>
      <c r="O57" s="49">
        <f>'Petro 5W30 Gallon'!B57</f>
        <v>398.81</v>
      </c>
    </row>
    <row r="58" spans="1:15" ht="12.75" customHeight="1" x14ac:dyDescent="0.2">
      <c r="A58" s="48" t="s">
        <v>668</v>
      </c>
      <c r="B58" s="48">
        <f>'15W40'!B58</f>
        <v>241.99</v>
      </c>
      <c r="C58" s="48">
        <f>'15W40 Gallon'!B58</f>
        <v>295.20999999999998</v>
      </c>
      <c r="D58" s="48">
        <f>'10W30'!B58</f>
        <v>266.99</v>
      </c>
      <c r="E58" s="49">
        <f>'10W30 Gallon'!B58</f>
        <v>333.303544973545</v>
      </c>
      <c r="F58" s="48">
        <f>'T5'!B58</f>
        <v>266.99</v>
      </c>
      <c r="G58" s="48">
        <f>'T5 Gallon'!B58</f>
        <v>350.64733333333334</v>
      </c>
      <c r="H58" s="48">
        <f>'Petro 10W30'!B58</f>
        <v>266.99</v>
      </c>
      <c r="I58" s="48">
        <f>'Petro 10W30Gallon'!B58</f>
        <v>296.29000000000002</v>
      </c>
      <c r="J58" s="48">
        <f>'T6'!B58</f>
        <v>339.83</v>
      </c>
      <c r="K58" s="49">
        <f>'T6 Gallon'!B58</f>
        <v>413.90199999999999</v>
      </c>
      <c r="L58" s="48">
        <f>'Delo 5W30'!B58</f>
        <v>360.63</v>
      </c>
      <c r="M58" s="49">
        <f>'Delo 5W30 Gallon'!B58</f>
        <v>419.26460317460317</v>
      </c>
      <c r="N58" s="48">
        <f>'Petro 5W30'!B58</f>
        <v>319.29000000000002</v>
      </c>
      <c r="O58" s="49">
        <f>'Petro 5W30 Gallon'!B58</f>
        <v>360.81</v>
      </c>
    </row>
    <row r="59" spans="1:15" ht="12.75" customHeight="1" x14ac:dyDescent="0.2">
      <c r="A59" s="48" t="s">
        <v>669</v>
      </c>
      <c r="B59" s="48">
        <f>'15W40'!B59</f>
        <v>219.99</v>
      </c>
      <c r="C59" s="48">
        <f>'15W40 Gallon'!B59</f>
        <v>270.27</v>
      </c>
      <c r="D59" s="48">
        <f>'10W30'!B59</f>
        <v>244.99</v>
      </c>
      <c r="E59" s="49">
        <f>'10W30 Gallon'!B59</f>
        <v>302.35634920634925</v>
      </c>
      <c r="F59" s="48">
        <f>'T5'!B59</f>
        <v>244.99</v>
      </c>
      <c r="G59" s="48">
        <f>'T5 Gallon'!B59</f>
        <v>318.36599999999999</v>
      </c>
      <c r="H59" s="48">
        <f>'Petro 10W30'!B59</f>
        <v>244.99</v>
      </c>
      <c r="I59" s="48">
        <f>'Petro 10W30Gallon'!B59</f>
        <v>273.19</v>
      </c>
      <c r="J59" s="48">
        <f>'T6'!B59</f>
        <v>314.14999999999998</v>
      </c>
      <c r="K59" s="49">
        <f>'T6 Gallon'!B59</f>
        <v>360.50199999999995</v>
      </c>
      <c r="L59" s="48">
        <f>'Delo 5W30'!B59</f>
        <v>333.35</v>
      </c>
      <c r="M59" s="49">
        <f>'Delo 5W30 Gallon'!B59</f>
        <v>383.62809523809528</v>
      </c>
      <c r="N59" s="48">
        <f>'Petro 5W30'!B59</f>
        <v>295.19</v>
      </c>
      <c r="O59" s="49">
        <f>'Petro 5W30 Gallon'!B59</f>
        <v>329.66999999999996</v>
      </c>
    </row>
    <row r="60" spans="1:15" ht="12.75" customHeight="1" x14ac:dyDescent="0.2">
      <c r="A60" s="48" t="s">
        <v>691</v>
      </c>
      <c r="B60" s="48">
        <f>'15W40'!B60</f>
        <v>229.99</v>
      </c>
      <c r="C60" s="48">
        <f>'15W40 Gallon'!B60</f>
        <v>259.10000000000002</v>
      </c>
      <c r="D60" s="48">
        <f>'10W30'!B60</f>
        <v>244.99</v>
      </c>
      <c r="E60" s="49">
        <f>'10W30 Gallon'!B60</f>
        <v>280.64677248677253</v>
      </c>
      <c r="F60" s="48">
        <f>'T5'!B60</f>
        <v>244.99</v>
      </c>
      <c r="G60" s="48">
        <f>'T5 Gallon'!B60</f>
        <v>289.31866666666667</v>
      </c>
      <c r="H60" s="48">
        <f>'Petro 10W30'!B60</f>
        <v>244.99</v>
      </c>
      <c r="I60" s="48">
        <f>'Petro 10W30Gallon'!B60</f>
        <v>262.14</v>
      </c>
      <c r="J60" s="48">
        <f>'T6'!B60</f>
        <v>283.90999999999997</v>
      </c>
      <c r="K60" s="49">
        <f>'T6 Gallon'!B60</f>
        <v>323.44599999999997</v>
      </c>
      <c r="L60" s="48">
        <f>'Delo 5W30'!B60</f>
        <v>294.31</v>
      </c>
      <c r="M60" s="49">
        <f>'Delo 5W30 Gallon'!B60</f>
        <v>326.12730158730159</v>
      </c>
      <c r="N60" s="48">
        <f>'Petro 5W30'!B60</f>
        <v>273.64</v>
      </c>
      <c r="O60" s="49">
        <f>'Petro 5W30 Gallon'!B60</f>
        <v>296.89999999999998</v>
      </c>
    </row>
    <row r="61" spans="1:15" ht="12.75" customHeight="1" x14ac:dyDescent="0.2">
      <c r="A61" s="48"/>
      <c r="B61" s="48"/>
      <c r="C61" s="48"/>
      <c r="D61" s="48"/>
      <c r="E61" s="49"/>
      <c r="F61" s="48"/>
      <c r="G61" s="48"/>
      <c r="H61" s="48"/>
      <c r="I61" s="48"/>
      <c r="J61" s="48"/>
      <c r="K61" s="49"/>
      <c r="L61" s="48"/>
      <c r="M61" s="49"/>
      <c r="N61" s="48"/>
      <c r="O61" s="49"/>
    </row>
    <row r="62" spans="1:15" ht="12.75" customHeight="1" x14ac:dyDescent="0.2">
      <c r="A62" s="48"/>
      <c r="B62" s="48"/>
      <c r="C62" s="48"/>
      <c r="D62" s="48"/>
      <c r="E62" s="49"/>
      <c r="F62" s="48"/>
      <c r="G62" s="48"/>
      <c r="H62" s="48"/>
      <c r="I62" s="48"/>
      <c r="J62" s="48"/>
      <c r="K62" s="49"/>
      <c r="L62" s="48"/>
      <c r="M62" s="49"/>
      <c r="N62" s="48"/>
      <c r="O62" s="49"/>
    </row>
    <row r="63" spans="1:15" ht="12.75" customHeight="1" x14ac:dyDescent="0.2">
      <c r="A63" s="48" t="s">
        <v>673</v>
      </c>
      <c r="B63" s="48">
        <f>'15W40'!B63</f>
        <v>246.99</v>
      </c>
      <c r="C63" s="48">
        <f>'15W40 Gallon'!B63</f>
        <v>300.20999999999998</v>
      </c>
      <c r="D63" s="48">
        <f>'10W30'!B63</f>
        <v>271.99</v>
      </c>
      <c r="E63" s="49">
        <f>'10W30 Gallon'!B63</f>
        <v>338.303544973545</v>
      </c>
      <c r="F63" s="48">
        <f>'T5'!B63</f>
        <v>271.99</v>
      </c>
      <c r="G63" s="48">
        <f>'T5 Gallon'!B63</f>
        <v>355.64733333333334</v>
      </c>
      <c r="H63" s="48">
        <f>'Petro 10W30'!B63</f>
        <v>271.99</v>
      </c>
      <c r="I63" s="48">
        <f>'Petro 10W30Gallon'!B63</f>
        <v>301.29000000000002</v>
      </c>
      <c r="J63" s="48">
        <f>'T6'!B63</f>
        <v>344.83</v>
      </c>
      <c r="K63" s="49">
        <f>'T6 Gallon'!B63</f>
        <v>418.90199999999999</v>
      </c>
      <c r="L63" s="48">
        <f>'Delo 5W30'!B63</f>
        <v>365.63</v>
      </c>
      <c r="M63" s="49">
        <f>'Delo 5W30 Gallon'!B63</f>
        <v>424.26460317460317</v>
      </c>
      <c r="N63" s="48">
        <f>'Petro 5W30'!B63</f>
        <v>324.29000000000002</v>
      </c>
      <c r="O63" s="49">
        <f>'Petro 5W30 Gallon'!B63</f>
        <v>365.81</v>
      </c>
    </row>
    <row r="64" spans="1:15" ht="12.75" customHeight="1" x14ac:dyDescent="0.2">
      <c r="A64" s="48"/>
      <c r="B64" s="48"/>
      <c r="C64" s="48"/>
      <c r="D64" s="48"/>
      <c r="E64" s="49"/>
      <c r="F64" s="48"/>
      <c r="G64" s="48"/>
      <c r="H64" s="48"/>
      <c r="I64" s="48"/>
      <c r="J64" s="48"/>
      <c r="K64" s="49"/>
      <c r="L64" s="48"/>
      <c r="M64" s="49"/>
      <c r="N64" s="48"/>
      <c r="O64" s="49"/>
    </row>
    <row r="65" spans="1:15" ht="12.75" customHeight="1" x14ac:dyDescent="0.2">
      <c r="A65" s="48" t="s">
        <v>674</v>
      </c>
      <c r="B65" s="48">
        <f>'15W40'!B65</f>
        <v>458.99</v>
      </c>
      <c r="C65" s="48">
        <f>'15W40 Gallon'!B65</f>
        <v>546.61</v>
      </c>
      <c r="D65" s="48">
        <f>'10W30'!B65</f>
        <v>488.99</v>
      </c>
      <c r="E65" s="49">
        <f>'10W30 Gallon'!B65</f>
        <v>599.77550264550268</v>
      </c>
      <c r="F65" s="48">
        <f>'T5'!B65</f>
        <v>488.99</v>
      </c>
      <c r="G65" s="48">
        <f>'T5 Gallon'!B65</f>
        <v>630.46066666666661</v>
      </c>
      <c r="H65" s="48">
        <f>'Petro 10W30'!B65</f>
        <v>488.99</v>
      </c>
      <c r="I65" s="48">
        <f>'Petro 10W30Gallon'!B65</f>
        <v>534.29</v>
      </c>
      <c r="J65" s="48">
        <f>'T6'!B65</f>
        <v>603.63</v>
      </c>
      <c r="K65" s="49">
        <f>'T6 Gallon'!B65</f>
        <v>728.14200000000005</v>
      </c>
      <c r="L65" s="48">
        <f>'Delo 5W30'!B65</f>
        <v>640.42999999999995</v>
      </c>
      <c r="M65" s="49">
        <f>'Delo 5W30 Gallon'!B65</f>
        <v>737.62968253968245</v>
      </c>
      <c r="N65" s="48">
        <f>'Petro 5W30'!B65</f>
        <v>567.29</v>
      </c>
      <c r="O65" s="49">
        <f>'Petro 5W30 Gallon'!B65</f>
        <v>634.20999999999992</v>
      </c>
    </row>
    <row r="66" spans="1:15" ht="12.75" customHeight="1" x14ac:dyDescent="0.2">
      <c r="A66" s="48" t="s">
        <v>675</v>
      </c>
      <c r="B66" s="48">
        <f>'15W40'!B66</f>
        <v>379.99</v>
      </c>
      <c r="C66" s="48">
        <f>'15W40 Gallon'!B66</f>
        <v>467.61</v>
      </c>
      <c r="D66" s="48">
        <f>'10W30'!B66</f>
        <v>409.99</v>
      </c>
      <c r="E66" s="49">
        <f>'10W30 Gallon'!B66</f>
        <v>520.77550264550268</v>
      </c>
      <c r="F66" s="48">
        <f>'T5'!B66</f>
        <v>409.99</v>
      </c>
      <c r="G66" s="48">
        <f>'T5 Gallon'!B66</f>
        <v>551.46066666666661</v>
      </c>
      <c r="H66" s="48">
        <f>'Petro 10W30'!B66</f>
        <v>409.99</v>
      </c>
      <c r="I66" s="48">
        <f>'Petro 10W30Gallon'!B66</f>
        <v>455.29</v>
      </c>
      <c r="J66" s="48">
        <f>'T6'!B66</f>
        <v>524.63</v>
      </c>
      <c r="K66" s="49">
        <f>'T6 Gallon'!B66</f>
        <v>649.14200000000005</v>
      </c>
      <c r="L66" s="48">
        <f>'Delo 5W30'!B66</f>
        <v>561.43000000000006</v>
      </c>
      <c r="M66" s="49">
        <f>'Delo 5W30 Gallon'!B66</f>
        <v>658.62968253968256</v>
      </c>
      <c r="N66" s="48">
        <f>'Petro 5W30'!B66</f>
        <v>488.29</v>
      </c>
      <c r="O66" s="49">
        <f>'Petro 5W30 Gallon'!B66</f>
        <v>555.21</v>
      </c>
    </row>
    <row r="67" spans="1:15" ht="12.75" customHeight="1" x14ac:dyDescent="0.2">
      <c r="A67" s="48" t="s">
        <v>676</v>
      </c>
      <c r="B67" s="48">
        <f>'15W40'!B67</f>
        <v>229.99</v>
      </c>
      <c r="C67" s="48">
        <f>'15W40 Gallon'!B67</f>
        <v>280.27</v>
      </c>
      <c r="D67" s="48">
        <f>'10W30'!B67</f>
        <v>254.99</v>
      </c>
      <c r="E67" s="49">
        <f>'10W30 Gallon'!B67</f>
        <v>317.35634920634925</v>
      </c>
      <c r="F67" s="48">
        <f>'T5'!B67</f>
        <v>254.99</v>
      </c>
      <c r="G67" s="48">
        <f>'T5 Gallon'!B67</f>
        <v>333.36599999999999</v>
      </c>
      <c r="H67" s="48">
        <f>'Petro 10W30'!B67</f>
        <v>254.99</v>
      </c>
      <c r="I67" s="48">
        <f>'Petro 10W30Gallon'!B67</f>
        <v>283.19</v>
      </c>
      <c r="J67" s="48">
        <f>'T6'!B67</f>
        <v>324.14999999999998</v>
      </c>
      <c r="K67" s="49">
        <f>'T6 Gallon'!B67</f>
        <v>393.678</v>
      </c>
      <c r="L67" s="48">
        <f>'Delo 5W30'!B67</f>
        <v>343.35</v>
      </c>
      <c r="M67" s="49">
        <f>'Delo 5W30 Gallon'!B67</f>
        <v>398.62809523809528</v>
      </c>
      <c r="N67" s="48">
        <f>'Petro 5W30'!B67</f>
        <v>305.19</v>
      </c>
      <c r="O67" s="49">
        <f>'Petro 5W30 Gallon'!B67</f>
        <v>344.66999999999996</v>
      </c>
    </row>
    <row r="68" spans="1:15" ht="12.75" customHeight="1" x14ac:dyDescent="0.2">
      <c r="B68" s="48"/>
      <c r="C68" s="48"/>
      <c r="D68" s="48"/>
      <c r="E68" s="49"/>
      <c r="F68" s="48"/>
      <c r="G68" s="48"/>
      <c r="H68" s="48"/>
      <c r="I68" s="48"/>
      <c r="J68" s="48"/>
      <c r="K68" s="49"/>
      <c r="L68" s="48"/>
      <c r="M68" s="49"/>
      <c r="N68" s="48"/>
      <c r="O68" s="49"/>
    </row>
    <row r="69" spans="1:15" ht="12.75" customHeight="1" x14ac:dyDescent="0.2">
      <c r="A69" s="48" t="s">
        <v>677</v>
      </c>
      <c r="B69" s="48">
        <f>'15W40'!B69</f>
        <v>345.99</v>
      </c>
      <c r="C69" s="48">
        <f>'15W40 Gallon'!B69</f>
        <v>410.97</v>
      </c>
      <c r="D69" s="48">
        <f>'10W30'!B69</f>
        <v>370.99</v>
      </c>
      <c r="E69" s="49">
        <f>'10W30 Gallon'!B69</f>
        <v>453.09232804232806</v>
      </c>
      <c r="F69" s="48">
        <f>'T5'!B69</f>
        <v>370.99</v>
      </c>
      <c r="G69" s="48">
        <f>'T5 Gallon'!B69</f>
        <v>475.77266666666662</v>
      </c>
      <c r="H69" s="48">
        <f>'Petro 10W30'!B69</f>
        <v>370.99</v>
      </c>
      <c r="I69" s="48">
        <f>'Petro 10W30Gallon'!B69</f>
        <v>404.69</v>
      </c>
      <c r="J69" s="48">
        <f>'T6'!B69</f>
        <v>458.55</v>
      </c>
      <c r="K69" s="49">
        <f>'T6 Gallon'!B69</f>
        <v>550.798</v>
      </c>
      <c r="L69" s="48">
        <f>'Delo 5W30'!B69</f>
        <v>485.75</v>
      </c>
      <c r="M69" s="49">
        <f>'Delo 5W30 Gallon'!B69</f>
        <v>557.81063492063493</v>
      </c>
      <c r="N69" s="48">
        <f>'Petro 5W30'!B69</f>
        <v>431.69</v>
      </c>
      <c r="O69" s="49">
        <f>'Petro 5W30 Gallon'!B69</f>
        <v>481.37</v>
      </c>
    </row>
    <row r="70" spans="1:15" ht="12.75" customHeight="1" x14ac:dyDescent="0.2">
      <c r="A70" s="48" t="s">
        <v>678</v>
      </c>
      <c r="B70" s="48">
        <f>'15W40'!B70</f>
        <v>379.99</v>
      </c>
      <c r="C70" s="48">
        <f>'15W40 Gallon'!B70</f>
        <v>461.73</v>
      </c>
      <c r="D70" s="48">
        <f>'10W30'!B70</f>
        <v>409.99</v>
      </c>
      <c r="E70" s="49">
        <f>'10W30 Gallon'!B70</f>
        <v>512.88111111111118</v>
      </c>
      <c r="F70" s="48">
        <f>'T5'!B70</f>
        <v>409.99</v>
      </c>
      <c r="G70" s="48">
        <f>'T5 Gallon'!B70</f>
        <v>540.89799999999991</v>
      </c>
      <c r="H70" s="48">
        <f>'Petro 10W30'!B70</f>
        <v>409.99</v>
      </c>
      <c r="I70" s="48">
        <f>'Petro 10W30Gallon'!B70</f>
        <v>453.09000000000003</v>
      </c>
      <c r="J70" s="48">
        <f>'T6'!B70</f>
        <v>517.27</v>
      </c>
      <c r="K70" s="49">
        <f>'T6 Gallon'!B70</f>
        <v>632.69399999999996</v>
      </c>
      <c r="L70" s="48">
        <f>'Delo 5W30'!B70</f>
        <v>550.87</v>
      </c>
      <c r="M70" s="49">
        <f>'Delo 5W30 Gallon'!B70</f>
        <v>641.35666666666668</v>
      </c>
      <c r="N70" s="48">
        <f>'Petro 5W30'!B70</f>
        <v>484.09000000000003</v>
      </c>
      <c r="O70" s="49">
        <f>'Petro 5W30 Gallon'!B70</f>
        <v>546.93000000000006</v>
      </c>
    </row>
    <row r="71" spans="1:15" ht="12.75" customHeight="1" x14ac:dyDescent="0.2">
      <c r="A71" s="48" t="s">
        <v>679</v>
      </c>
      <c r="B71" s="48">
        <f>'15W40'!B71</f>
        <v>424.99</v>
      </c>
      <c r="C71" s="48">
        <f>'15W40 Gallon'!B71</f>
        <v>526.43000000000006</v>
      </c>
      <c r="D71" s="48">
        <f>'10W30'!B71</f>
        <v>459.99</v>
      </c>
      <c r="E71" s="49">
        <f>'10W30 Gallon'!B71</f>
        <v>587.61708994708999</v>
      </c>
      <c r="F71" s="48">
        <f>'T5'!B71</f>
        <v>459.99</v>
      </c>
      <c r="G71" s="48">
        <f>'T5 Gallon'!B71</f>
        <v>622.30466666666666</v>
      </c>
      <c r="H71" s="48">
        <f>'Petro 10W30'!B71</f>
        <v>459.99</v>
      </c>
      <c r="I71" s="48">
        <f>'Petro 10W30Gallon'!B71</f>
        <v>513.58999999999992</v>
      </c>
      <c r="J71" s="48">
        <f>'T6'!B71</f>
        <v>590.66999999999996</v>
      </c>
      <c r="K71" s="49">
        <f>'T6 Gallon'!B71</f>
        <v>733.81399999999996</v>
      </c>
      <c r="L71" s="48">
        <f>'Delo 5W30'!B71</f>
        <v>632.27</v>
      </c>
      <c r="M71" s="49">
        <f>'Delo 5W30 Gallon'!B71</f>
        <v>744.53920634920632</v>
      </c>
      <c r="N71" s="48">
        <f>'Petro 5W30'!B71</f>
        <v>549.59</v>
      </c>
      <c r="O71" s="49">
        <f>'Petro 5W30 Gallon'!B71</f>
        <v>627.63</v>
      </c>
    </row>
    <row r="72" spans="1:15" x14ac:dyDescent="0.2">
      <c r="A72" s="48" t="s">
        <v>680</v>
      </c>
      <c r="B72" s="48">
        <f>'15W40'!B72</f>
        <v>414.99</v>
      </c>
      <c r="C72" s="48">
        <f>'15W40 Gallon'!B72</f>
        <v>479.97</v>
      </c>
      <c r="D72" s="48">
        <f>'10W30'!B72</f>
        <v>439.99</v>
      </c>
      <c r="E72" s="49">
        <f>'10W30 Gallon'!B72</f>
        <v>522.09232804232806</v>
      </c>
      <c r="F72" s="48">
        <f>'T5'!B72</f>
        <v>439.99</v>
      </c>
      <c r="G72" s="48">
        <f>'T5 Gallon'!B72</f>
        <v>544.77266666666662</v>
      </c>
      <c r="H72" s="48">
        <f>'Petro 10W30'!B72</f>
        <v>439.99</v>
      </c>
      <c r="I72" s="48">
        <f>'Petro 10W30Gallon'!B72</f>
        <v>473.69</v>
      </c>
      <c r="J72" s="48">
        <f>'T6'!B72</f>
        <v>527.54999999999995</v>
      </c>
      <c r="K72" s="49">
        <f>'T6 Gallon'!B72</f>
        <v>619.798</v>
      </c>
      <c r="L72" s="48">
        <f>'Delo 5W30'!B72</f>
        <v>554.75</v>
      </c>
      <c r="M72" s="49">
        <f>'Delo 5W30 Gallon'!B72</f>
        <v>626.81063492063493</v>
      </c>
      <c r="N72" s="48">
        <f>'Petro 5W30'!B72</f>
        <v>500.69</v>
      </c>
      <c r="O72" s="49">
        <f>'Petro 5W30 Gallon'!B72</f>
        <v>550.37</v>
      </c>
    </row>
    <row r="73" spans="1:15" x14ac:dyDescent="0.2">
      <c r="A73" s="48" t="s">
        <v>681</v>
      </c>
      <c r="B73" s="48">
        <f>'15W40'!B73</f>
        <v>449.99</v>
      </c>
      <c r="C73" s="48">
        <f>'15W40 Gallon'!B73</f>
        <v>531.73</v>
      </c>
      <c r="D73" s="48">
        <f>'10W30'!B73</f>
        <v>479.99</v>
      </c>
      <c r="E73" s="49">
        <f>'10W30 Gallon'!B73</f>
        <v>582.88111111111118</v>
      </c>
      <c r="F73" s="48">
        <f>'T5'!B73</f>
        <v>479.99</v>
      </c>
      <c r="G73" s="48">
        <f>'T5 Gallon'!B73</f>
        <v>610.89799999999991</v>
      </c>
      <c r="H73" s="48">
        <f>'Petro 10W30'!B73</f>
        <v>479.99</v>
      </c>
      <c r="I73" s="48">
        <f>'Petro 10W30Gallon'!B73</f>
        <v>523.09</v>
      </c>
      <c r="J73" s="48">
        <f>'T6'!B73</f>
        <v>587.27</v>
      </c>
      <c r="K73" s="49">
        <f>'T6 Gallon'!B73</f>
        <v>702.69399999999996</v>
      </c>
      <c r="L73" s="48">
        <f>'Delo 5W30'!B73</f>
        <v>620.87</v>
      </c>
      <c r="M73" s="49">
        <f>'Delo 5W30 Gallon'!B73</f>
        <v>711.35666666666668</v>
      </c>
      <c r="N73" s="48">
        <f>'Petro 5W30'!B73</f>
        <v>554.09</v>
      </c>
      <c r="O73" s="49">
        <f>'Petro 5W30 Gallon'!B73</f>
        <v>616.93000000000006</v>
      </c>
    </row>
    <row r="74" spans="1:15" x14ac:dyDescent="0.2">
      <c r="A74" s="48" t="s">
        <v>682</v>
      </c>
      <c r="B74" s="48">
        <f>'15W40'!B74</f>
        <v>492.99</v>
      </c>
      <c r="C74" s="48">
        <f>'15W40 Gallon'!B74</f>
        <v>594.42999999999995</v>
      </c>
      <c r="D74" s="48">
        <f>'10W30'!B74</f>
        <v>527.99</v>
      </c>
      <c r="E74" s="49">
        <f>'10W30 Gallon'!B74</f>
        <v>655.61708994708999</v>
      </c>
      <c r="F74" s="48">
        <f>'T5'!B74</f>
        <v>527.99</v>
      </c>
      <c r="G74" s="48">
        <f>'T5 Gallon'!B74</f>
        <v>690.30466666666666</v>
      </c>
      <c r="H74" s="48">
        <f>'Petro 10W30'!B74</f>
        <v>527.99</v>
      </c>
      <c r="I74" s="48">
        <f>'Petro 10W30Gallon'!B74</f>
        <v>556.59</v>
      </c>
      <c r="J74" s="48">
        <f>'T6'!B74</f>
        <v>658.67</v>
      </c>
      <c r="K74" s="49">
        <f>'T6 Gallon'!B74</f>
        <v>801.81399999999996</v>
      </c>
      <c r="L74" s="48">
        <f>'Delo 5W30'!B74</f>
        <v>700.27</v>
      </c>
      <c r="M74" s="49">
        <f>'Delo 5W30 Gallon'!B74</f>
        <v>812.53920634920632</v>
      </c>
      <c r="N74" s="48">
        <f>'Petro 5W30'!B74</f>
        <v>617.59</v>
      </c>
      <c r="O74" s="49">
        <f>'Petro 5W30 Gallon'!B74</f>
        <v>695.63</v>
      </c>
    </row>
    <row r="75" spans="1:15" ht="12.75" customHeight="1" x14ac:dyDescent="0.2">
      <c r="E75" s="50"/>
      <c r="M75" s="50"/>
      <c r="N75" s="48"/>
      <c r="O75" s="48"/>
    </row>
    <row r="76" spans="1:15" ht="12.75" customHeight="1" x14ac:dyDescent="0.2">
      <c r="M76" s="50"/>
      <c r="N76" s="48"/>
      <c r="O76" s="48"/>
    </row>
    <row r="77" spans="1:15" ht="12.75" customHeight="1" x14ac:dyDescent="0.2">
      <c r="M77" s="50"/>
      <c r="N77" s="48"/>
      <c r="O77" s="48"/>
    </row>
    <row r="78" spans="1:15" ht="12.75" customHeight="1" x14ac:dyDescent="0.2">
      <c r="M78" s="50"/>
    </row>
    <row r="79" spans="1:15" ht="12.75" customHeight="1" x14ac:dyDescent="0.2">
      <c r="M79" s="50"/>
    </row>
    <row r="80" spans="1:15" ht="12.75" customHeight="1" x14ac:dyDescent="0.2">
      <c r="M80" s="50"/>
    </row>
    <row r="81" spans="13:13" ht="12.75" customHeight="1" x14ac:dyDescent="0.2">
      <c r="M81" s="50"/>
    </row>
    <row r="82" spans="13:13" ht="12.75" customHeight="1" x14ac:dyDescent="0.2">
      <c r="M82" s="50"/>
    </row>
    <row r="83" spans="13:13" ht="12.75" customHeight="1" x14ac:dyDescent="0.2">
      <c r="M83" s="50"/>
    </row>
    <row r="84" spans="13:13" ht="12.75" customHeight="1" x14ac:dyDescent="0.2">
      <c r="M84" s="50"/>
    </row>
    <row r="85" spans="13:13" ht="12.75" customHeight="1" x14ac:dyDescent="0.2">
      <c r="M85" s="50"/>
    </row>
    <row r="86" spans="13:13" ht="12.75" customHeight="1" x14ac:dyDescent="0.2">
      <c r="M86" s="50"/>
    </row>
    <row r="87" spans="13:13" ht="12.75" customHeight="1" x14ac:dyDescent="0.2">
      <c r="M87" s="50"/>
    </row>
    <row r="88" spans="13:13" ht="12.75" customHeight="1" x14ac:dyDescent="0.2">
      <c r="M88" s="50"/>
    </row>
    <row r="89" spans="13:13" ht="12.75" customHeight="1" x14ac:dyDescent="0.2">
      <c r="M89" s="50"/>
    </row>
    <row r="90" spans="13:13" ht="12.75" customHeight="1" x14ac:dyDescent="0.2">
      <c r="M90" s="50"/>
    </row>
    <row r="91" spans="13:13" ht="12.75" customHeight="1" x14ac:dyDescent="0.2">
      <c r="M91" s="5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89"/>
  <sheetViews>
    <sheetView zoomScale="120" zoomScaleNormal="120" workbookViewId="0">
      <pane ySplit="4" topLeftCell="A5" activePane="bottomLeft" state="frozen"/>
      <selection pane="bottomLeft" activeCell="X46" sqref="X46"/>
    </sheetView>
  </sheetViews>
  <sheetFormatPr defaultColWidth="9.140625" defaultRowHeight="12.75" customHeight="1" x14ac:dyDescent="0.2"/>
  <cols>
    <col min="1" max="1" width="35" style="46" customWidth="1"/>
    <col min="2" max="2" width="8.42578125" style="46" hidden="1" customWidth="1"/>
    <col min="3" max="3" width="8.42578125" style="46" customWidth="1"/>
    <col min="4" max="4" width="8" style="46" hidden="1" customWidth="1"/>
    <col min="5" max="5" width="8" style="46" customWidth="1"/>
    <col min="6" max="6" width="9.140625" style="46" hidden="1" customWidth="1"/>
    <col min="7" max="7" width="9.140625" style="46" customWidth="1"/>
    <col min="8" max="8" width="9.5703125" style="46" hidden="1" customWidth="1"/>
    <col min="9" max="9" width="9.7109375" style="46" customWidth="1"/>
    <col min="10" max="10" width="9.140625" style="46" hidden="1" customWidth="1"/>
    <col min="11" max="11" width="9.140625" style="46" customWidth="1"/>
    <col min="12" max="12" width="9.140625" style="46" hidden="1" customWidth="1"/>
    <col min="13" max="13" width="9.140625" style="46" customWidth="1"/>
    <col min="14" max="14" width="9.140625" style="46" hidden="1" customWidth="1"/>
    <col min="15" max="15" width="9.140625" style="46" customWidth="1"/>
    <col min="16" max="16" width="9.140625" style="46" hidden="1" customWidth="1"/>
    <col min="17" max="17" width="9.140625" style="46"/>
    <col min="18" max="18" width="9.140625" style="46" hidden="1" customWidth="1"/>
    <col min="19" max="19" width="9.140625" style="46"/>
    <col min="20" max="20" width="9.140625" style="46" hidden="1" customWidth="1"/>
    <col min="21" max="21" width="9.140625" style="46"/>
    <col min="22" max="23" width="9.140625" style="46" hidden="1" customWidth="1"/>
    <col min="24" max="16384" width="9.140625" style="46"/>
  </cols>
  <sheetData>
    <row r="1" spans="1:26" ht="12.75" customHeight="1" x14ac:dyDescent="0.2">
      <c r="A1" s="112" t="s">
        <v>625</v>
      </c>
      <c r="C1" s="112"/>
      <c r="E1" s="112"/>
      <c r="G1" s="112"/>
      <c r="I1" s="112"/>
      <c r="K1" s="112"/>
      <c r="M1" s="112"/>
      <c r="O1" s="112"/>
      <c r="Q1" s="112"/>
      <c r="S1" s="397"/>
      <c r="U1" s="397"/>
      <c r="V1" s="434"/>
    </row>
    <row r="2" spans="1:26" ht="12.75" customHeight="1" x14ac:dyDescent="0.2">
      <c r="B2" s="62"/>
      <c r="C2" s="62"/>
      <c r="D2" s="62"/>
      <c r="E2" s="62"/>
      <c r="F2" s="62"/>
      <c r="G2" s="62"/>
      <c r="H2" s="62"/>
      <c r="I2" s="62"/>
      <c r="J2" s="62"/>
      <c r="K2" s="62"/>
      <c r="L2" s="62" t="s">
        <v>704</v>
      </c>
      <c r="M2" s="119" t="s">
        <v>704</v>
      </c>
      <c r="N2" s="63" t="s">
        <v>705</v>
      </c>
      <c r="O2" s="116" t="s">
        <v>705</v>
      </c>
      <c r="P2" s="64" t="s">
        <v>705</v>
      </c>
      <c r="Q2" s="120" t="s">
        <v>705</v>
      </c>
      <c r="R2" s="416" t="s">
        <v>1268</v>
      </c>
      <c r="S2" s="416" t="s">
        <v>1268</v>
      </c>
      <c r="T2" s="420" t="s">
        <v>1268</v>
      </c>
      <c r="U2" s="420" t="s">
        <v>1268</v>
      </c>
      <c r="V2" s="434"/>
    </row>
    <row r="3" spans="1:26" ht="12.75" customHeight="1" x14ac:dyDescent="0.2">
      <c r="A3" s="180" t="s">
        <v>1270</v>
      </c>
      <c r="B3" s="65" t="s">
        <v>683</v>
      </c>
      <c r="C3" s="115" t="s">
        <v>683</v>
      </c>
      <c r="D3" s="63" t="s">
        <v>692</v>
      </c>
      <c r="E3" s="116" t="s">
        <v>692</v>
      </c>
      <c r="F3" s="66" t="s">
        <v>706</v>
      </c>
      <c r="G3" s="118" t="s">
        <v>706</v>
      </c>
      <c r="H3" s="391" t="s">
        <v>1267</v>
      </c>
      <c r="I3" s="391" t="s">
        <v>1267</v>
      </c>
      <c r="J3" s="66" t="s">
        <v>698</v>
      </c>
      <c r="K3" s="118" t="s">
        <v>698</v>
      </c>
      <c r="L3" s="392" t="s">
        <v>698</v>
      </c>
      <c r="M3" s="391" t="s">
        <v>698</v>
      </c>
      <c r="N3" s="63" t="s">
        <v>702</v>
      </c>
      <c r="O3" s="116" t="s">
        <v>702</v>
      </c>
      <c r="P3" s="64" t="s">
        <v>702</v>
      </c>
      <c r="Q3" s="120" t="s">
        <v>702</v>
      </c>
      <c r="R3" s="417" t="s">
        <v>702</v>
      </c>
      <c r="S3" s="417" t="s">
        <v>702</v>
      </c>
      <c r="T3" s="421" t="s">
        <v>702</v>
      </c>
      <c r="U3" s="421" t="s">
        <v>702</v>
      </c>
      <c r="V3" s="434"/>
    </row>
    <row r="4" spans="1:26" ht="12.75" customHeight="1" x14ac:dyDescent="0.2">
      <c r="B4" s="67" t="s">
        <v>701</v>
      </c>
      <c r="C4" s="114" t="s">
        <v>701</v>
      </c>
      <c r="D4" s="68" t="s">
        <v>701</v>
      </c>
      <c r="E4" s="117" t="s">
        <v>701</v>
      </c>
      <c r="F4" s="66"/>
      <c r="G4" s="66"/>
      <c r="H4" s="392" t="s">
        <v>701</v>
      </c>
      <c r="I4" s="391" t="s">
        <v>701</v>
      </c>
      <c r="J4" s="66"/>
      <c r="K4" s="66"/>
      <c r="L4" s="404" t="s">
        <v>701</v>
      </c>
      <c r="M4" s="405" t="s">
        <v>701</v>
      </c>
      <c r="N4" s="63"/>
      <c r="O4" s="63"/>
      <c r="P4" s="69" t="s">
        <v>701</v>
      </c>
      <c r="Q4" s="121" t="s">
        <v>701</v>
      </c>
      <c r="R4" s="298"/>
      <c r="S4" s="298"/>
      <c r="T4" s="421" t="s">
        <v>701</v>
      </c>
      <c r="U4" s="421" t="s">
        <v>701</v>
      </c>
      <c r="V4" s="434"/>
      <c r="X4" s="48" t="s">
        <v>692</v>
      </c>
      <c r="Y4" s="48" t="s">
        <v>702</v>
      </c>
    </row>
    <row r="5" spans="1:26" ht="12.75" customHeight="1" x14ac:dyDescent="0.2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V5" s="434"/>
    </row>
    <row r="6" spans="1:26" ht="12.75" customHeight="1" x14ac:dyDescent="0.2">
      <c r="A6" s="99" t="s">
        <v>632</v>
      </c>
      <c r="B6" s="79">
        <f>'15W40 Gallon'!B6</f>
        <v>317.74</v>
      </c>
      <c r="C6" s="79">
        <f>ROUNDUP(B6,0)-0.01</f>
        <v>317.99</v>
      </c>
      <c r="D6" s="182">
        <f>'10W30 Gallon'!B6</f>
        <v>355.3299470899471</v>
      </c>
      <c r="E6" s="80">
        <f>ROUNDUP(D6,0)-0.01</f>
        <v>355.99</v>
      </c>
      <c r="F6" s="381">
        <f>'T5 Gallon'!B6</f>
        <v>372.00666666666666</v>
      </c>
      <c r="G6" s="81">
        <f>ROUNDUP(F6,0)-0.01</f>
        <v>372.99</v>
      </c>
      <c r="H6" s="393">
        <f>'Petro 10W30Gallon'!B6</f>
        <v>319.74</v>
      </c>
      <c r="I6" s="393">
        <f>ROUNDUP(H6,0)-0.01</f>
        <v>319.99</v>
      </c>
      <c r="J6" s="81">
        <f>'T6'!B6</f>
        <v>361.99</v>
      </c>
      <c r="K6" s="81">
        <f>ROUNDUP(J6,0)-0.01</f>
        <v>361.99</v>
      </c>
      <c r="L6" s="393">
        <f>'T6 Gallon'!B6</f>
        <v>433.79</v>
      </c>
      <c r="M6" s="393">
        <f>ROUNDUP(L6,0)-0.01</f>
        <v>433.99</v>
      </c>
      <c r="N6" s="80">
        <f>'Delo 5W30'!B6</f>
        <v>381.99</v>
      </c>
      <c r="O6" s="80">
        <f>ROUNDUP(N6,0)-0.01</f>
        <v>381.99</v>
      </c>
      <c r="P6" s="193">
        <f>'Delo 5W30 Gallon'!B6</f>
        <v>438.94634920634923</v>
      </c>
      <c r="Q6" s="400">
        <f>ROUNDUP(P6,0)-0.01</f>
        <v>438.99</v>
      </c>
      <c r="R6" s="428">
        <f>'Petro 5W30'!B6</f>
        <v>342.24</v>
      </c>
      <c r="S6" s="428">
        <f>ROUNDUP(R6,0)-0.01</f>
        <v>342.99</v>
      </c>
      <c r="T6" s="429">
        <f>'Petro 5W30 Gallon'!B6</f>
        <v>382.74</v>
      </c>
      <c r="U6" s="430">
        <f>ROUNDUP(T6,0)-0.01</f>
        <v>382.99</v>
      </c>
      <c r="V6" s="437">
        <f>'15W40'!B6</f>
        <v>265.99</v>
      </c>
      <c r="W6" s="49">
        <f>K6-S6</f>
        <v>19</v>
      </c>
      <c r="X6" s="49">
        <f>V6+25</f>
        <v>290.99</v>
      </c>
      <c r="Y6" s="470">
        <f>S6-40</f>
        <v>302.99</v>
      </c>
      <c r="Z6" s="49">
        <f>Y6-X6</f>
        <v>12</v>
      </c>
    </row>
    <row r="7" spans="1:26" ht="12.75" customHeight="1" x14ac:dyDescent="0.2">
      <c r="A7" s="99" t="s">
        <v>633</v>
      </c>
      <c r="B7" s="82">
        <f>'15W40 Gallon'!B7</f>
        <v>295.74</v>
      </c>
      <c r="C7" s="79">
        <f t="shared" ref="C7:C73" si="0">ROUNDUP(B7,0)-0.01</f>
        <v>295.99</v>
      </c>
      <c r="D7" s="183">
        <f>'10W30 Gallon'!B7</f>
        <v>333.3299470899471</v>
      </c>
      <c r="E7" s="80">
        <f t="shared" ref="E7:E73" si="1">ROUNDUP(D7,0)-0.01</f>
        <v>333.99</v>
      </c>
      <c r="F7" s="382">
        <f>'T5 Gallon'!B7</f>
        <v>350.00666666666666</v>
      </c>
      <c r="G7" s="81">
        <f t="shared" ref="G7:G73" si="2">ROUNDUP(F7,0)-0.01</f>
        <v>350.99</v>
      </c>
      <c r="H7" s="393">
        <f>'Petro 10W30Gallon'!B7</f>
        <v>297.74</v>
      </c>
      <c r="I7" s="393">
        <f t="shared" ref="I7:I71" si="3">ROUNDUP(H7,0)-0.01</f>
        <v>297.99</v>
      </c>
      <c r="J7" s="81">
        <f>'T6'!B7</f>
        <v>339.99</v>
      </c>
      <c r="K7" s="81">
        <f t="shared" ref="K7:K73" si="4">ROUNDUP(J7,0)-0.01</f>
        <v>339.99</v>
      </c>
      <c r="L7" s="396">
        <f>'T6 Gallon'!B7</f>
        <v>411.79</v>
      </c>
      <c r="M7" s="393">
        <f t="shared" ref="M7:M73" si="5">ROUNDUP(L7,0)-0.01</f>
        <v>411.99</v>
      </c>
      <c r="N7" s="83">
        <f>'Delo 5W30'!B7</f>
        <v>359.99</v>
      </c>
      <c r="O7" s="80">
        <f t="shared" ref="O7:O73" si="6">ROUNDUP(N7,0)-0.01</f>
        <v>359.99</v>
      </c>
      <c r="P7" s="194">
        <f>'Delo 5W30 Gallon'!B7</f>
        <v>416.94634920634923</v>
      </c>
      <c r="Q7" s="402">
        <f t="shared" ref="Q7:Q73" si="7">ROUNDUP(P7,0)-0.01</f>
        <v>416.99</v>
      </c>
      <c r="R7" s="432">
        <f>'Petro 5W30'!B7</f>
        <v>320.24</v>
      </c>
      <c r="S7" s="428">
        <f t="shared" ref="S7:S71" si="8">ROUNDUP(R7,0)-0.01</f>
        <v>320.99</v>
      </c>
      <c r="T7" s="430">
        <f>'Petro 5W30 Gallon'!B7</f>
        <v>360.74</v>
      </c>
      <c r="U7" s="430">
        <f t="shared" ref="U7:U71" si="9">ROUNDUP(T7,0)-0.01</f>
        <v>360.99</v>
      </c>
      <c r="V7" s="437">
        <f>'15W40'!B7</f>
        <v>243.99</v>
      </c>
      <c r="W7" s="49">
        <f t="shared" ref="W7:W70" si="10">K7-S7</f>
        <v>19</v>
      </c>
      <c r="X7" s="49">
        <f t="shared" ref="X7:X69" si="11">V7+25</f>
        <v>268.99</v>
      </c>
      <c r="Y7" s="470">
        <f t="shared" ref="Y7:Y70" si="12">S7-40</f>
        <v>280.99</v>
      </c>
      <c r="Z7" s="49">
        <f t="shared" ref="Z7:Z70" si="13">Y7-X7</f>
        <v>12</v>
      </c>
    </row>
    <row r="8" spans="1:26" ht="12.75" customHeight="1" x14ac:dyDescent="0.2">
      <c r="A8" s="100"/>
      <c r="B8" s="105"/>
      <c r="C8" s="106"/>
      <c r="D8" s="184"/>
      <c r="E8" s="106"/>
      <c r="F8" s="184"/>
      <c r="G8" s="106"/>
      <c r="H8" s="103"/>
      <c r="I8" s="103"/>
      <c r="J8" s="103"/>
      <c r="K8" s="106"/>
      <c r="L8" s="105"/>
      <c r="M8" s="106"/>
      <c r="N8" s="105"/>
      <c r="O8" s="106"/>
      <c r="P8" s="191"/>
      <c r="Q8" s="104"/>
      <c r="R8" s="62"/>
      <c r="S8" s="424"/>
      <c r="T8" s="55"/>
      <c r="U8" s="55"/>
      <c r="V8" s="437"/>
      <c r="W8" s="49"/>
      <c r="X8" s="49"/>
      <c r="Y8" s="470"/>
      <c r="Z8" s="49"/>
    </row>
    <row r="9" spans="1:26" ht="12.75" customHeight="1" x14ac:dyDescent="0.2">
      <c r="A9" s="101" t="s">
        <v>634</v>
      </c>
      <c r="B9" s="91">
        <f>'15W40 Gallon'!B9</f>
        <v>405.85</v>
      </c>
      <c r="C9" s="91">
        <f t="shared" si="0"/>
        <v>405.99</v>
      </c>
      <c r="D9" s="185">
        <f>'10W30 Gallon'!B9</f>
        <v>449.98671957671962</v>
      </c>
      <c r="E9" s="92">
        <f t="shared" si="1"/>
        <v>449.99</v>
      </c>
      <c r="F9" s="383">
        <f>'T5 Gallon'!B9</f>
        <v>475.33533333333332</v>
      </c>
      <c r="G9" s="93">
        <f t="shared" si="2"/>
        <v>475.99</v>
      </c>
      <c r="H9" s="394">
        <f>'Petro 10W30Gallon'!B9</f>
        <v>395.89</v>
      </c>
      <c r="I9" s="394">
        <f t="shared" si="3"/>
        <v>395.99</v>
      </c>
      <c r="J9" s="94">
        <f>'T6'!B9</f>
        <v>454.90999999999997</v>
      </c>
      <c r="K9" s="93">
        <f t="shared" si="4"/>
        <v>454.99</v>
      </c>
      <c r="L9" s="395">
        <f>'T6 Gallon'!B9</f>
        <v>556.24599999999998</v>
      </c>
      <c r="M9" s="395">
        <f t="shared" si="5"/>
        <v>556.99</v>
      </c>
      <c r="N9" s="92">
        <f>'Delo 5W30'!B9</f>
        <v>485.31</v>
      </c>
      <c r="O9" s="92">
        <f t="shared" si="6"/>
        <v>485.99</v>
      </c>
      <c r="P9" s="195">
        <f>'Delo 5W30 Gallon'!B9</f>
        <v>564.0836507936508</v>
      </c>
      <c r="Q9" s="403">
        <f t="shared" si="7"/>
        <v>564.99</v>
      </c>
      <c r="R9" s="419">
        <f>'Petro 5W30'!B9</f>
        <v>424.89</v>
      </c>
      <c r="S9" s="418">
        <f t="shared" si="8"/>
        <v>424.99</v>
      </c>
      <c r="T9" s="422">
        <f>'Petro 5W30 Gallon'!B9</f>
        <v>478.65</v>
      </c>
      <c r="U9" s="422">
        <f t="shared" si="9"/>
        <v>478.99</v>
      </c>
      <c r="V9" s="437">
        <f>'15W40'!B9</f>
        <v>334.99</v>
      </c>
      <c r="W9" s="49">
        <f t="shared" si="10"/>
        <v>30</v>
      </c>
      <c r="X9" s="49">
        <f t="shared" si="11"/>
        <v>359.99</v>
      </c>
      <c r="Y9" s="470">
        <f t="shared" si="12"/>
        <v>384.99</v>
      </c>
      <c r="Z9" s="49">
        <f t="shared" si="13"/>
        <v>25</v>
      </c>
    </row>
    <row r="10" spans="1:26" ht="12.75" customHeight="1" x14ac:dyDescent="0.2">
      <c r="A10" s="101" t="s">
        <v>635</v>
      </c>
      <c r="B10" s="108">
        <f>'15W40 Gallon'!B10</f>
        <v>364.85</v>
      </c>
      <c r="C10" s="96">
        <f t="shared" si="0"/>
        <v>364.99</v>
      </c>
      <c r="D10" s="186">
        <f>'10W30 Gallon'!B10</f>
        <v>408.98671957671962</v>
      </c>
      <c r="E10" s="97">
        <f t="shared" si="1"/>
        <v>408.99</v>
      </c>
      <c r="F10" s="384">
        <f>'T5 Gallon'!B10</f>
        <v>434.33533333333332</v>
      </c>
      <c r="G10" s="98">
        <f t="shared" si="2"/>
        <v>434.99</v>
      </c>
      <c r="H10" s="394">
        <f>'Petro 10W30Gallon'!B10</f>
        <v>354.89</v>
      </c>
      <c r="I10" s="394">
        <f t="shared" si="3"/>
        <v>354.99</v>
      </c>
      <c r="J10" s="94">
        <f>'T6'!B10</f>
        <v>413.90999999999997</v>
      </c>
      <c r="K10" s="98">
        <f t="shared" si="4"/>
        <v>413.99</v>
      </c>
      <c r="L10" s="407">
        <f>'T6 Gallon'!B10</f>
        <v>515.24599999999998</v>
      </c>
      <c r="M10" s="407">
        <f t="shared" si="5"/>
        <v>515.99</v>
      </c>
      <c r="N10" s="97">
        <f>'Delo 5W30'!B10</f>
        <v>444.31</v>
      </c>
      <c r="O10" s="97">
        <f t="shared" si="6"/>
        <v>444.99</v>
      </c>
      <c r="P10" s="196">
        <f>'Delo 5W30 Gallon'!B10</f>
        <v>523.0836507936508</v>
      </c>
      <c r="Q10" s="403">
        <f t="shared" si="7"/>
        <v>523.99</v>
      </c>
      <c r="R10" s="419">
        <f>'Petro 5W30'!B10</f>
        <v>383.89</v>
      </c>
      <c r="S10" s="418">
        <f t="shared" si="8"/>
        <v>383.99</v>
      </c>
      <c r="T10" s="422">
        <f>'Petro 5W30 Gallon'!B10</f>
        <v>437.65</v>
      </c>
      <c r="U10" s="423">
        <f t="shared" si="9"/>
        <v>437.99</v>
      </c>
      <c r="V10" s="437">
        <f>'15W40'!B10</f>
        <v>293.99</v>
      </c>
      <c r="W10" s="49">
        <f t="shared" si="10"/>
        <v>30</v>
      </c>
      <c r="X10" s="49">
        <f t="shared" si="11"/>
        <v>318.99</v>
      </c>
      <c r="Y10" s="470">
        <f t="shared" si="12"/>
        <v>343.99</v>
      </c>
      <c r="Z10" s="49">
        <f t="shared" si="13"/>
        <v>25</v>
      </c>
    </row>
    <row r="11" spans="1:26" ht="12.75" customHeight="1" x14ac:dyDescent="0.2">
      <c r="A11" s="100"/>
      <c r="B11" s="85"/>
      <c r="C11" s="103"/>
      <c r="D11" s="187"/>
      <c r="E11" s="103"/>
      <c r="F11" s="187"/>
      <c r="G11" s="103"/>
      <c r="H11" s="103"/>
      <c r="I11" s="103"/>
      <c r="J11" s="103"/>
      <c r="K11" s="103"/>
      <c r="L11" s="90"/>
      <c r="M11" s="103"/>
      <c r="N11" s="90"/>
      <c r="O11" s="103"/>
      <c r="P11" s="187"/>
      <c r="Q11" s="104"/>
      <c r="R11" s="62"/>
      <c r="S11" s="424"/>
      <c r="T11" s="55"/>
      <c r="U11" s="427"/>
      <c r="V11" s="437"/>
      <c r="W11" s="49"/>
      <c r="X11" s="49"/>
      <c r="Y11" s="470"/>
      <c r="Z11" s="49"/>
    </row>
    <row r="12" spans="1:26" ht="12.75" customHeight="1" x14ac:dyDescent="0.2">
      <c r="A12" s="99" t="s">
        <v>637</v>
      </c>
      <c r="B12" s="82">
        <f>'15W40 Gallon'!B12</f>
        <v>438.2</v>
      </c>
      <c r="C12" s="79">
        <f t="shared" si="0"/>
        <v>438.99</v>
      </c>
      <c r="D12" s="183">
        <f>'10W30 Gallon'!B12</f>
        <v>489.85470899470903</v>
      </c>
      <c r="E12" s="80">
        <f t="shared" si="1"/>
        <v>489.99</v>
      </c>
      <c r="F12" s="382">
        <f>'T5 Gallon'!B12</f>
        <v>518.53866666666659</v>
      </c>
      <c r="G12" s="81">
        <f t="shared" si="2"/>
        <v>518.99</v>
      </c>
      <c r="H12" s="393">
        <f>'Petro 10W30Gallon'!B12</f>
        <v>428.64</v>
      </c>
      <c r="I12" s="393">
        <f t="shared" si="3"/>
        <v>428.99</v>
      </c>
      <c r="J12" s="81">
        <f>'T6'!B12</f>
        <v>494.11</v>
      </c>
      <c r="K12" s="81">
        <f t="shared" si="4"/>
        <v>494.99</v>
      </c>
      <c r="L12" s="396">
        <f>'T6 Gallon'!B12</f>
        <v>611.80600000000004</v>
      </c>
      <c r="M12" s="393">
        <f t="shared" si="5"/>
        <v>611.99</v>
      </c>
      <c r="N12" s="83">
        <f>'Delo 5W30'!B12</f>
        <v>528.51</v>
      </c>
      <c r="O12" s="80">
        <f t="shared" si="6"/>
        <v>528.99</v>
      </c>
      <c r="P12" s="193">
        <f>'Delo 5W30 Gallon'!B12</f>
        <v>620.67492063492068</v>
      </c>
      <c r="Q12" s="402">
        <f t="shared" si="7"/>
        <v>620.99</v>
      </c>
      <c r="R12" s="432">
        <f>'Petro 5W30'!B12</f>
        <v>460.14</v>
      </c>
      <c r="S12" s="428">
        <f t="shared" si="8"/>
        <v>460.99</v>
      </c>
      <c r="T12" s="430">
        <f>'Petro 5W30 Gallon'!B12</f>
        <v>524</v>
      </c>
      <c r="U12" s="431">
        <f t="shared" si="9"/>
        <v>523.99</v>
      </c>
      <c r="V12" s="437">
        <f>'15W40'!B12</f>
        <v>354.99</v>
      </c>
      <c r="W12" s="49">
        <f t="shared" si="10"/>
        <v>34</v>
      </c>
      <c r="X12" s="49">
        <f>V12+30</f>
        <v>384.99</v>
      </c>
      <c r="Y12" s="470">
        <f t="shared" si="12"/>
        <v>420.99</v>
      </c>
      <c r="Z12" s="49">
        <f t="shared" si="13"/>
        <v>36</v>
      </c>
    </row>
    <row r="13" spans="1:26" ht="12.75" customHeight="1" x14ac:dyDescent="0.2">
      <c r="A13" s="99" t="s">
        <v>638</v>
      </c>
      <c r="B13" s="82">
        <f>'15W40 Gallon'!B13</f>
        <v>397.2</v>
      </c>
      <c r="C13" s="79">
        <f t="shared" si="0"/>
        <v>397.99</v>
      </c>
      <c r="D13" s="183">
        <f>'10W30 Gallon'!B13</f>
        <v>448.85470899470903</v>
      </c>
      <c r="E13" s="80">
        <f t="shared" si="1"/>
        <v>448.99</v>
      </c>
      <c r="F13" s="382">
        <f>'T5 Gallon'!B13</f>
        <v>477.53866666666664</v>
      </c>
      <c r="G13" s="81">
        <f t="shared" si="2"/>
        <v>477.99</v>
      </c>
      <c r="H13" s="393">
        <f>'Petro 10W30Gallon'!B13</f>
        <v>387.64</v>
      </c>
      <c r="I13" s="393">
        <f t="shared" si="3"/>
        <v>387.99</v>
      </c>
      <c r="J13" s="81">
        <f>'T6'!B13</f>
        <v>453.11</v>
      </c>
      <c r="K13" s="81">
        <f t="shared" si="4"/>
        <v>453.99</v>
      </c>
      <c r="L13" s="393">
        <f>'T6 Gallon'!B13</f>
        <v>570.80600000000004</v>
      </c>
      <c r="M13" s="393">
        <f t="shared" si="5"/>
        <v>570.99</v>
      </c>
      <c r="N13" s="80">
        <f>'Delo 5W30'!B13</f>
        <v>487.51</v>
      </c>
      <c r="O13" s="80">
        <f t="shared" si="6"/>
        <v>487.99</v>
      </c>
      <c r="P13" s="194">
        <f>'Delo 5W30 Gallon'!B13</f>
        <v>579.67492063492068</v>
      </c>
      <c r="Q13" s="398">
        <f t="shared" si="7"/>
        <v>579.99</v>
      </c>
      <c r="R13" s="435">
        <f>'Petro 5W30'!B13</f>
        <v>419.14</v>
      </c>
      <c r="S13" s="428">
        <f t="shared" si="8"/>
        <v>419.99</v>
      </c>
      <c r="T13" s="431">
        <f>'Petro 5W30 Gallon'!B13</f>
        <v>483</v>
      </c>
      <c r="U13" s="430">
        <f t="shared" si="9"/>
        <v>482.99</v>
      </c>
      <c r="V13" s="437">
        <f>'15W40'!B13</f>
        <v>313.99</v>
      </c>
      <c r="W13" s="49">
        <f t="shared" si="10"/>
        <v>34</v>
      </c>
      <c r="X13" s="49">
        <f>V13+30</f>
        <v>343.99</v>
      </c>
      <c r="Y13" s="470">
        <f t="shared" si="12"/>
        <v>379.99</v>
      </c>
      <c r="Z13" s="49">
        <f t="shared" si="13"/>
        <v>36</v>
      </c>
    </row>
    <row r="14" spans="1:26" ht="12.75" customHeight="1" x14ac:dyDescent="0.2">
      <c r="A14" s="100"/>
      <c r="B14" s="85"/>
      <c r="C14" s="103"/>
      <c r="D14" s="187"/>
      <c r="E14" s="103"/>
      <c r="F14" s="187"/>
      <c r="G14" s="103"/>
      <c r="H14" s="103"/>
      <c r="I14" s="103"/>
      <c r="J14" s="103"/>
      <c r="K14" s="103"/>
      <c r="L14" s="425"/>
      <c r="M14" s="103"/>
      <c r="N14" s="425"/>
      <c r="O14" s="103"/>
      <c r="P14" s="191"/>
      <c r="Q14" s="106"/>
      <c r="R14" s="426"/>
      <c r="S14" s="424"/>
      <c r="T14" s="427"/>
      <c r="U14" s="55"/>
      <c r="V14" s="437"/>
      <c r="W14" s="49"/>
      <c r="X14" s="49"/>
      <c r="Y14" s="470"/>
      <c r="Z14" s="49"/>
    </row>
    <row r="15" spans="1:26" ht="12.75" customHeight="1" x14ac:dyDescent="0.2">
      <c r="A15" s="101" t="s">
        <v>639</v>
      </c>
      <c r="B15" s="91">
        <f>'15W40 Gallon'!B15</f>
        <v>380.79</v>
      </c>
      <c r="C15" s="107">
        <f t="shared" si="0"/>
        <v>380.99</v>
      </c>
      <c r="D15" s="185">
        <f>'10W30 Gallon'!B15</f>
        <v>430.93391534391537</v>
      </c>
      <c r="E15" s="95">
        <f t="shared" si="1"/>
        <v>430.99</v>
      </c>
      <c r="F15" s="383">
        <f>'T5 Gallon'!B15</f>
        <v>457.61666666666667</v>
      </c>
      <c r="G15" s="94">
        <f t="shared" si="2"/>
        <v>457.99</v>
      </c>
      <c r="H15" s="394">
        <f>'Petro 10W30Gallon'!B15</f>
        <v>373.99</v>
      </c>
      <c r="I15" s="394">
        <f t="shared" si="3"/>
        <v>373.99</v>
      </c>
      <c r="J15" s="94">
        <f>'T6'!B15</f>
        <v>435.59000000000003</v>
      </c>
      <c r="K15" s="94">
        <f t="shared" si="4"/>
        <v>435.99</v>
      </c>
      <c r="L15" s="395">
        <f>'T6 Gallon'!B15</f>
        <v>546.47</v>
      </c>
      <c r="M15" s="394">
        <f t="shared" si="5"/>
        <v>546.99</v>
      </c>
      <c r="N15" s="92">
        <f>'Delo 5W30'!B15</f>
        <v>467.59000000000003</v>
      </c>
      <c r="O15" s="95">
        <f t="shared" si="6"/>
        <v>467.99</v>
      </c>
      <c r="P15" s="195">
        <f>'Delo 5W30 Gallon'!B15</f>
        <v>554.7201587301588</v>
      </c>
      <c r="Q15" s="399">
        <f t="shared" si="7"/>
        <v>554.99</v>
      </c>
      <c r="R15" s="416">
        <f>'Petro 5W30'!B15</f>
        <v>403.99</v>
      </c>
      <c r="S15" s="418">
        <f t="shared" si="8"/>
        <v>403.99</v>
      </c>
      <c r="T15" s="423">
        <f>'Petro 5W30 Gallon'!B15</f>
        <v>464.78999999999996</v>
      </c>
      <c r="U15" s="422">
        <f t="shared" si="9"/>
        <v>464.99</v>
      </c>
      <c r="V15" s="437">
        <f>'15W40'!B15</f>
        <v>301.99</v>
      </c>
      <c r="W15" s="49">
        <f t="shared" si="10"/>
        <v>32</v>
      </c>
      <c r="X15" s="49">
        <f>V15+30</f>
        <v>331.99</v>
      </c>
      <c r="Y15" s="470">
        <f t="shared" si="12"/>
        <v>363.99</v>
      </c>
      <c r="Z15" s="49">
        <f t="shared" si="13"/>
        <v>32</v>
      </c>
    </row>
    <row r="16" spans="1:26" ht="12.75" customHeight="1" x14ac:dyDescent="0.2">
      <c r="A16" s="101" t="s">
        <v>640</v>
      </c>
      <c r="B16" s="96">
        <f>'15W40 Gallon'!B16</f>
        <v>201.57</v>
      </c>
      <c r="C16" s="107">
        <f t="shared" si="0"/>
        <v>201.99</v>
      </c>
      <c r="D16" s="188">
        <f>'10W30 Gallon'!B16</f>
        <v>223.62037037037038</v>
      </c>
      <c r="E16" s="95">
        <f t="shared" si="1"/>
        <v>223.99</v>
      </c>
      <c r="F16" s="385">
        <f>'T5 Gallon'!B16</f>
        <v>232.95933333333335</v>
      </c>
      <c r="G16" s="94">
        <f t="shared" si="2"/>
        <v>232.99</v>
      </c>
      <c r="H16" s="394">
        <f>'Petro 10W30Gallon'!B16</f>
        <v>203.69</v>
      </c>
      <c r="I16" s="394">
        <f t="shared" si="3"/>
        <v>203.99</v>
      </c>
      <c r="J16" s="94">
        <f>'T6'!B16</f>
        <v>226.75</v>
      </c>
      <c r="K16" s="94">
        <f t="shared" si="4"/>
        <v>226.99</v>
      </c>
      <c r="L16" s="407">
        <f>'T6 Gallon'!B16</f>
        <v>268.55799999999999</v>
      </c>
      <c r="M16" s="394">
        <f t="shared" si="5"/>
        <v>268.99</v>
      </c>
      <c r="N16" s="97">
        <f>'Delo 5W30'!B16</f>
        <v>237.95</v>
      </c>
      <c r="O16" s="95">
        <f t="shared" si="6"/>
        <v>237.99</v>
      </c>
      <c r="P16" s="196">
        <f>'Delo 5W30 Gallon'!B16</f>
        <v>271.44555555555553</v>
      </c>
      <c r="Q16" s="403">
        <f t="shared" si="7"/>
        <v>271.99</v>
      </c>
      <c r="R16" s="419">
        <f>'Petro 5W30'!B16</f>
        <v>215.69</v>
      </c>
      <c r="S16" s="418">
        <f t="shared" si="8"/>
        <v>215.99</v>
      </c>
      <c r="T16" s="422">
        <f>'Petro 5W30 Gallon'!B16</f>
        <v>239.97</v>
      </c>
      <c r="U16" s="423">
        <f t="shared" si="9"/>
        <v>239.99</v>
      </c>
      <c r="V16" s="437">
        <f>'15W40'!B16</f>
        <v>170.99</v>
      </c>
      <c r="W16" s="49">
        <f t="shared" si="10"/>
        <v>11</v>
      </c>
      <c r="X16" s="49">
        <f>V16+15</f>
        <v>185.99</v>
      </c>
      <c r="Y16" s="470">
        <f t="shared" si="12"/>
        <v>175.99</v>
      </c>
      <c r="Z16" s="49">
        <f t="shared" si="13"/>
        <v>-10</v>
      </c>
    </row>
    <row r="17" spans="1:26" ht="12.75" customHeight="1" x14ac:dyDescent="0.2">
      <c r="A17" s="99" t="s">
        <v>641</v>
      </c>
      <c r="B17" s="82">
        <f>'15W40 Gallon'!B17</f>
        <v>309.74</v>
      </c>
      <c r="C17" s="79">
        <f t="shared" si="0"/>
        <v>309.99</v>
      </c>
      <c r="D17" s="183">
        <f>'10W30 Gallon'!B17</f>
        <v>347.3299470899471</v>
      </c>
      <c r="E17" s="80">
        <f t="shared" si="1"/>
        <v>347.99</v>
      </c>
      <c r="F17" s="382">
        <f>'T5 Gallon'!B17</f>
        <v>364.00666666666666</v>
      </c>
      <c r="G17" s="81">
        <f t="shared" si="2"/>
        <v>364.99</v>
      </c>
      <c r="H17" s="393">
        <f>'Petro 10W30Gallon'!B17</f>
        <v>311.74</v>
      </c>
      <c r="I17" s="393">
        <f t="shared" si="3"/>
        <v>311.99</v>
      </c>
      <c r="J17" s="81">
        <f>'T6'!B17</f>
        <v>353.99</v>
      </c>
      <c r="K17" s="81">
        <f t="shared" si="4"/>
        <v>353.99</v>
      </c>
      <c r="L17" s="396">
        <f>'T6 Gallon'!B17</f>
        <v>425.79</v>
      </c>
      <c r="M17" s="393">
        <f t="shared" si="5"/>
        <v>425.99</v>
      </c>
      <c r="N17" s="83">
        <f>'Delo 5W30'!B17</f>
        <v>373.99</v>
      </c>
      <c r="O17" s="80">
        <f t="shared" si="6"/>
        <v>373.99</v>
      </c>
      <c r="P17" s="194">
        <f>'Delo 5W30 Gallon'!B17</f>
        <v>430.94634920634923</v>
      </c>
      <c r="Q17" s="398">
        <f t="shared" si="7"/>
        <v>430.99</v>
      </c>
      <c r="R17" s="435">
        <f>'Petro 5W30'!B17</f>
        <v>334.24</v>
      </c>
      <c r="S17" s="428">
        <f t="shared" si="8"/>
        <v>334.99</v>
      </c>
      <c r="T17" s="431">
        <f>'Petro 5W30 Gallon'!B17</f>
        <v>374.74</v>
      </c>
      <c r="U17" s="430">
        <f t="shared" si="9"/>
        <v>374.99</v>
      </c>
      <c r="V17" s="437">
        <f>'15W40'!B17</f>
        <v>257.99</v>
      </c>
      <c r="W17" s="49">
        <f t="shared" si="10"/>
        <v>19</v>
      </c>
      <c r="X17" s="49">
        <f t="shared" si="11"/>
        <v>282.99</v>
      </c>
      <c r="Y17" s="470">
        <f t="shared" si="12"/>
        <v>294.99</v>
      </c>
      <c r="Z17" s="49">
        <f t="shared" si="13"/>
        <v>12</v>
      </c>
    </row>
    <row r="18" spans="1:26" ht="12.75" customHeight="1" x14ac:dyDescent="0.2">
      <c r="A18" s="102" t="s">
        <v>642</v>
      </c>
      <c r="B18" s="86">
        <f>'15W40 Gallon'!B18</f>
        <v>307.74</v>
      </c>
      <c r="C18" s="79">
        <f t="shared" si="0"/>
        <v>307.99</v>
      </c>
      <c r="D18" s="189">
        <f>'10W30 Gallon'!B18</f>
        <v>345.3299470899471</v>
      </c>
      <c r="E18" s="80">
        <f t="shared" si="1"/>
        <v>345.99</v>
      </c>
      <c r="F18" s="386">
        <f>'T5 Gallon'!B18</f>
        <v>362.00666666666666</v>
      </c>
      <c r="G18" s="81">
        <f t="shared" si="2"/>
        <v>362.99</v>
      </c>
      <c r="H18" s="393">
        <f>'Petro 10W30Gallon'!B18</f>
        <v>309.74</v>
      </c>
      <c r="I18" s="393">
        <f t="shared" si="3"/>
        <v>309.99</v>
      </c>
      <c r="J18" s="81">
        <f>'T6'!B18</f>
        <v>351.99</v>
      </c>
      <c r="K18" s="81">
        <f t="shared" si="4"/>
        <v>351.99</v>
      </c>
      <c r="L18" s="408">
        <f>'T6 Gallon'!B18</f>
        <v>423.79</v>
      </c>
      <c r="M18" s="393">
        <f t="shared" si="5"/>
        <v>423.99</v>
      </c>
      <c r="N18" s="87">
        <f>'Delo 5W30'!B18</f>
        <v>371.99</v>
      </c>
      <c r="O18" s="80">
        <f t="shared" si="6"/>
        <v>371.99</v>
      </c>
      <c r="P18" s="193">
        <f>'Delo 5W30 Gallon'!B18</f>
        <v>428.94634920634923</v>
      </c>
      <c r="Q18" s="402">
        <f t="shared" si="7"/>
        <v>428.99</v>
      </c>
      <c r="R18" s="432">
        <f>'Petro 5W30'!B18</f>
        <v>332.24</v>
      </c>
      <c r="S18" s="428">
        <f t="shared" si="8"/>
        <v>332.99</v>
      </c>
      <c r="T18" s="430">
        <f>'Petro 5W30 Gallon'!B18</f>
        <v>372.74</v>
      </c>
      <c r="U18" s="431">
        <f t="shared" si="9"/>
        <v>372.99</v>
      </c>
      <c r="V18" s="437">
        <f>'15W40'!B18</f>
        <v>255.99</v>
      </c>
      <c r="W18" s="49">
        <f t="shared" si="10"/>
        <v>19</v>
      </c>
      <c r="X18" s="49">
        <f t="shared" si="11"/>
        <v>280.99</v>
      </c>
      <c r="Y18" s="470">
        <f t="shared" si="12"/>
        <v>292.99</v>
      </c>
      <c r="Z18" s="49">
        <f t="shared" si="13"/>
        <v>12</v>
      </c>
    </row>
    <row r="19" spans="1:26" ht="12.75" customHeight="1" x14ac:dyDescent="0.2">
      <c r="A19" s="101" t="s">
        <v>643</v>
      </c>
      <c r="B19" s="91">
        <f>'15W40 Gallon'!B19</f>
        <v>360.90999999999997</v>
      </c>
      <c r="C19" s="107">
        <f t="shared" si="0"/>
        <v>360.99</v>
      </c>
      <c r="D19" s="185">
        <f>'10W30 Gallon'!B19</f>
        <v>404.03952380952387</v>
      </c>
      <c r="E19" s="95">
        <f t="shared" si="1"/>
        <v>404.99</v>
      </c>
      <c r="F19" s="383">
        <f>'T5 Gallon'!B19</f>
        <v>428.05399999999997</v>
      </c>
      <c r="G19" s="94">
        <f t="shared" si="2"/>
        <v>428.99</v>
      </c>
      <c r="H19" s="394">
        <f>'Petro 10W30Gallon'!B19</f>
        <v>352.79</v>
      </c>
      <c r="I19" s="394">
        <f t="shared" si="3"/>
        <v>352.99</v>
      </c>
      <c r="J19" s="94">
        <f>'T6'!B19</f>
        <v>409.23</v>
      </c>
      <c r="K19" s="94">
        <f t="shared" si="4"/>
        <v>409.99</v>
      </c>
      <c r="L19" s="395">
        <f>'T6 Gallon'!B19</f>
        <v>511.02200000000005</v>
      </c>
      <c r="M19" s="394">
        <f t="shared" si="5"/>
        <v>511.99</v>
      </c>
      <c r="N19" s="92">
        <f>'Delo 5W30'!B19</f>
        <v>438.03</v>
      </c>
      <c r="O19" s="95">
        <f t="shared" si="6"/>
        <v>438.99</v>
      </c>
      <c r="P19" s="195">
        <f>'Delo 5W30 Gallon'!B19</f>
        <v>513.44714285714281</v>
      </c>
      <c r="Q19" s="399">
        <f t="shared" si="7"/>
        <v>513.99</v>
      </c>
      <c r="R19" s="416">
        <f>'Petro 5W30'!B19</f>
        <v>380.79</v>
      </c>
      <c r="S19" s="418">
        <f t="shared" si="8"/>
        <v>380.99</v>
      </c>
      <c r="T19" s="423">
        <f>'Petro 5W30 Gallon'!B19</f>
        <v>432.51</v>
      </c>
      <c r="U19" s="422">
        <f t="shared" si="9"/>
        <v>432.99</v>
      </c>
      <c r="V19" s="437">
        <f>'15W40'!B19</f>
        <v>292.99</v>
      </c>
      <c r="W19" s="49">
        <f t="shared" si="10"/>
        <v>29</v>
      </c>
      <c r="X19" s="49">
        <f t="shared" si="11"/>
        <v>317.99</v>
      </c>
      <c r="Y19" s="470">
        <f t="shared" si="12"/>
        <v>340.99</v>
      </c>
      <c r="Z19" s="49">
        <f t="shared" si="13"/>
        <v>23</v>
      </c>
    </row>
    <row r="20" spans="1:26" ht="12.75" customHeight="1" x14ac:dyDescent="0.2">
      <c r="A20" s="101" t="s">
        <v>645</v>
      </c>
      <c r="B20" s="96">
        <f>'15W40 Gallon'!B20</f>
        <v>463.67</v>
      </c>
      <c r="C20" s="107">
        <f t="shared" si="0"/>
        <v>463.99</v>
      </c>
      <c r="D20" s="188">
        <f>'10W30 Gallon'!B20</f>
        <v>515.82830687830688</v>
      </c>
      <c r="E20" s="95">
        <f t="shared" si="1"/>
        <v>515.99</v>
      </c>
      <c r="F20" s="385">
        <f>'T5 Gallon'!B20</f>
        <v>545.17933333333326</v>
      </c>
      <c r="G20" s="94">
        <f t="shared" si="2"/>
        <v>545.99</v>
      </c>
      <c r="H20" s="394">
        <f>'Petro 10W30Gallon'!B20</f>
        <v>453.19</v>
      </c>
      <c r="I20" s="394">
        <f t="shared" si="3"/>
        <v>453.99</v>
      </c>
      <c r="J20" s="94">
        <f>'T6'!B20</f>
        <v>519.95000000000005</v>
      </c>
      <c r="K20" s="94">
        <f t="shared" si="4"/>
        <v>519.99</v>
      </c>
      <c r="L20" s="409">
        <f>'T6 Gallon'!B20</f>
        <v>639.91800000000012</v>
      </c>
      <c r="M20" s="394">
        <f t="shared" si="5"/>
        <v>639.99</v>
      </c>
      <c r="N20" s="97">
        <f>'Delo 5W30'!B20</f>
        <v>555.15</v>
      </c>
      <c r="O20" s="95">
        <f t="shared" si="6"/>
        <v>555.99</v>
      </c>
      <c r="P20" s="196">
        <f>'Delo 5W30 Gallon'!B20</f>
        <v>648.99317460317457</v>
      </c>
      <c r="Q20" s="403">
        <f t="shared" si="7"/>
        <v>648.99</v>
      </c>
      <c r="R20" s="419">
        <f>'Petro 5W30'!B20</f>
        <v>485.19</v>
      </c>
      <c r="S20" s="418">
        <f t="shared" si="8"/>
        <v>485.99</v>
      </c>
      <c r="T20" s="422">
        <f>'Petro 5W30 Gallon'!B20</f>
        <v>550.06999999999994</v>
      </c>
      <c r="U20" s="423">
        <f t="shared" si="9"/>
        <v>550.99</v>
      </c>
      <c r="V20" s="437">
        <f>'15W40'!B20</f>
        <v>378.99</v>
      </c>
      <c r="W20" s="49">
        <f t="shared" si="10"/>
        <v>34</v>
      </c>
      <c r="X20" s="49">
        <f>V20+30</f>
        <v>408.99</v>
      </c>
      <c r="Y20" s="470">
        <f t="shared" si="12"/>
        <v>445.99</v>
      </c>
      <c r="Z20" s="49">
        <f t="shared" si="13"/>
        <v>37</v>
      </c>
    </row>
    <row r="21" spans="1:26" ht="12.75" customHeight="1" x14ac:dyDescent="0.2">
      <c r="A21" s="101" t="s">
        <v>646</v>
      </c>
      <c r="B21" s="91">
        <f>'15W40 Gallon'!B21</f>
        <v>340.97</v>
      </c>
      <c r="C21" s="107">
        <f t="shared" si="0"/>
        <v>340.99</v>
      </c>
      <c r="D21" s="185">
        <f>'10W30 Gallon'!B21</f>
        <v>383.09232804232806</v>
      </c>
      <c r="E21" s="95">
        <f t="shared" si="1"/>
        <v>383.99</v>
      </c>
      <c r="F21" s="383">
        <f>'T5 Gallon'!B21</f>
        <v>405.77266666666662</v>
      </c>
      <c r="G21" s="94">
        <f t="shared" si="2"/>
        <v>405.99</v>
      </c>
      <c r="H21" s="394">
        <f>'Petro 10W30Gallon'!B21</f>
        <v>334.69</v>
      </c>
      <c r="I21" s="394">
        <f t="shared" si="3"/>
        <v>334.99</v>
      </c>
      <c r="J21" s="94">
        <f>'T6'!B21</f>
        <v>388.55</v>
      </c>
      <c r="K21" s="94">
        <f t="shared" si="4"/>
        <v>388.99</v>
      </c>
      <c r="L21" s="410">
        <f>'T6 Gallon'!B21</f>
        <v>480.798</v>
      </c>
      <c r="M21" s="394">
        <f t="shared" si="5"/>
        <v>480.99</v>
      </c>
      <c r="N21" s="92">
        <f>'Delo 5W30'!B21</f>
        <v>415.75</v>
      </c>
      <c r="O21" s="95">
        <f t="shared" si="6"/>
        <v>415.99</v>
      </c>
      <c r="P21" s="195">
        <f>'Delo 5W30 Gallon'!B21</f>
        <v>487.81063492063493</v>
      </c>
      <c r="Q21" s="399">
        <f t="shared" si="7"/>
        <v>487.99</v>
      </c>
      <c r="R21" s="416">
        <f>'Petro 5W30'!B21</f>
        <v>361.69</v>
      </c>
      <c r="S21" s="418">
        <f t="shared" si="8"/>
        <v>361.99</v>
      </c>
      <c r="T21" s="423">
        <f>'Petro 5W30 Gallon'!B21</f>
        <v>411.37</v>
      </c>
      <c r="U21" s="422">
        <f t="shared" si="9"/>
        <v>411.99</v>
      </c>
      <c r="V21" s="437">
        <f>'15W40'!B21</f>
        <v>275.99</v>
      </c>
      <c r="W21" s="49">
        <f t="shared" si="10"/>
        <v>27</v>
      </c>
      <c r="X21" s="49">
        <f t="shared" si="11"/>
        <v>300.99</v>
      </c>
      <c r="Y21" s="470">
        <f t="shared" si="12"/>
        <v>321.99</v>
      </c>
      <c r="Z21" s="49">
        <f t="shared" si="13"/>
        <v>21</v>
      </c>
    </row>
    <row r="22" spans="1:26" ht="12.75" customHeight="1" x14ac:dyDescent="0.2">
      <c r="A22" s="100"/>
      <c r="B22" s="85"/>
      <c r="C22" s="103"/>
      <c r="D22" s="187"/>
      <c r="E22" s="103"/>
      <c r="F22" s="187"/>
      <c r="G22" s="103"/>
      <c r="H22" s="103"/>
      <c r="I22" s="103"/>
      <c r="J22" s="103"/>
      <c r="K22" s="103"/>
      <c r="L22" s="187"/>
      <c r="M22" s="103"/>
      <c r="N22" s="85"/>
      <c r="O22" s="103"/>
      <c r="P22" s="191"/>
      <c r="Q22" s="106"/>
      <c r="R22" s="426"/>
      <c r="S22" s="424"/>
      <c r="T22" s="427"/>
      <c r="U22" s="55"/>
      <c r="V22" s="437"/>
      <c r="W22" s="49"/>
      <c r="X22" s="49"/>
      <c r="Y22" s="470"/>
      <c r="Z22" s="49"/>
    </row>
    <row r="23" spans="1:26" ht="12.75" customHeight="1" x14ac:dyDescent="0.2">
      <c r="A23" s="99" t="s">
        <v>647</v>
      </c>
      <c r="B23" s="82">
        <f>'15W40 Gallon'!B23</f>
        <v>420.85</v>
      </c>
      <c r="C23" s="79">
        <f t="shared" si="0"/>
        <v>420.99</v>
      </c>
      <c r="D23" s="183">
        <f>'10W30 Gallon'!B23</f>
        <v>464.98671957671962</v>
      </c>
      <c r="E23" s="80">
        <f t="shared" si="1"/>
        <v>464.99</v>
      </c>
      <c r="F23" s="382">
        <f>'T5 Gallon'!B23</f>
        <v>490.33533333333332</v>
      </c>
      <c r="G23" s="81">
        <f t="shared" si="2"/>
        <v>490.99</v>
      </c>
      <c r="H23" s="393">
        <f>'Petro 10W30Gallon'!B23</f>
        <v>410.89</v>
      </c>
      <c r="I23" s="393">
        <f t="shared" si="3"/>
        <v>410.99</v>
      </c>
      <c r="J23" s="81">
        <f>'T6'!B23</f>
        <v>469.90999999999997</v>
      </c>
      <c r="K23" s="81">
        <f t="shared" si="4"/>
        <v>469.99</v>
      </c>
      <c r="L23" s="411">
        <f>'T6 Gallon'!B23</f>
        <v>571.24599999999998</v>
      </c>
      <c r="M23" s="393">
        <f t="shared" si="5"/>
        <v>571.99</v>
      </c>
      <c r="N23" s="83">
        <f>'Delo 5W30'!B23</f>
        <v>500.31</v>
      </c>
      <c r="O23" s="80">
        <f t="shared" si="6"/>
        <v>500.99</v>
      </c>
      <c r="P23" s="194">
        <f>'Delo 5W30 Gallon'!B23</f>
        <v>579.0836507936508</v>
      </c>
      <c r="Q23" s="398">
        <f t="shared" si="7"/>
        <v>579.99</v>
      </c>
      <c r="R23" s="435">
        <f>'Petro 5W30'!B23</f>
        <v>439.89</v>
      </c>
      <c r="S23" s="428">
        <f t="shared" si="8"/>
        <v>439.99</v>
      </c>
      <c r="T23" s="431">
        <f>'Petro 5W30 Gallon'!B23</f>
        <v>493.65</v>
      </c>
      <c r="U23" s="430">
        <f t="shared" si="9"/>
        <v>493.99</v>
      </c>
      <c r="V23" s="437">
        <f>'15W40'!B23</f>
        <v>349.99</v>
      </c>
      <c r="W23" s="49">
        <f t="shared" si="10"/>
        <v>30</v>
      </c>
      <c r="X23" s="49">
        <f t="shared" si="11"/>
        <v>374.99</v>
      </c>
      <c r="Y23" s="470">
        <f t="shared" si="12"/>
        <v>399.99</v>
      </c>
      <c r="Z23" s="49">
        <f t="shared" si="13"/>
        <v>25</v>
      </c>
    </row>
    <row r="24" spans="1:26" ht="12.75" customHeight="1" x14ac:dyDescent="0.2">
      <c r="A24" s="102" t="s">
        <v>648</v>
      </c>
      <c r="B24" s="86">
        <f>'15W40 Gallon'!B24</f>
        <v>472.03</v>
      </c>
      <c r="C24" s="79">
        <f t="shared" si="0"/>
        <v>472.99</v>
      </c>
      <c r="D24" s="189">
        <f>'10W30 Gallon'!B24</f>
        <v>513.14513227513226</v>
      </c>
      <c r="E24" s="80">
        <f t="shared" si="1"/>
        <v>513.99</v>
      </c>
      <c r="F24" s="386">
        <f>'T5 Gallon'!B24</f>
        <v>534.49133333333327</v>
      </c>
      <c r="G24" s="81">
        <f t="shared" si="2"/>
        <v>534.99</v>
      </c>
      <c r="H24" s="393">
        <f>'Petro 10W30Gallon'!B24</f>
        <v>467.59000000000003</v>
      </c>
      <c r="I24" s="393">
        <f t="shared" si="3"/>
        <v>467.99</v>
      </c>
      <c r="J24" s="81">
        <f>'T6'!B24</f>
        <v>518.87</v>
      </c>
      <c r="K24" s="81">
        <f t="shared" si="4"/>
        <v>518.99</v>
      </c>
      <c r="L24" s="412">
        <f>'T6 Gallon'!B24</f>
        <v>606.57400000000007</v>
      </c>
      <c r="M24" s="393">
        <f t="shared" si="5"/>
        <v>606.99</v>
      </c>
      <c r="N24" s="87">
        <f>'Delo 5W30'!B24</f>
        <v>544.47</v>
      </c>
      <c r="O24" s="80">
        <f t="shared" si="6"/>
        <v>544.99</v>
      </c>
      <c r="P24" s="193">
        <f>'Delo 5W30 Gallon'!B24</f>
        <v>613.17412698412704</v>
      </c>
      <c r="Q24" s="402">
        <f t="shared" si="7"/>
        <v>613.99</v>
      </c>
      <c r="R24" s="432">
        <f>'Petro 5W30'!B24</f>
        <v>493.59000000000003</v>
      </c>
      <c r="S24" s="428">
        <f t="shared" si="8"/>
        <v>493.99</v>
      </c>
      <c r="T24" s="430">
        <f>'Petro 5W30 Gallon'!B24</f>
        <v>541.23</v>
      </c>
      <c r="U24" s="431">
        <f t="shared" si="9"/>
        <v>541.99</v>
      </c>
      <c r="V24" s="437">
        <f>'15W40'!B24</f>
        <v>409.99</v>
      </c>
      <c r="W24" s="49">
        <f t="shared" si="10"/>
        <v>25</v>
      </c>
      <c r="X24" s="49">
        <f t="shared" si="11"/>
        <v>434.99</v>
      </c>
      <c r="Y24" s="470">
        <f t="shared" si="12"/>
        <v>453.99</v>
      </c>
      <c r="Z24" s="49">
        <f t="shared" si="13"/>
        <v>19</v>
      </c>
    </row>
    <row r="25" spans="1:26" ht="12.75" customHeight="1" x14ac:dyDescent="0.2">
      <c r="A25" s="101" t="s">
        <v>649</v>
      </c>
      <c r="B25" s="91">
        <f>'15W40 Gallon'!B25</f>
        <v>497.73</v>
      </c>
      <c r="C25" s="107">
        <f t="shared" si="0"/>
        <v>497.99</v>
      </c>
      <c r="D25" s="185">
        <f>'10W30 Gallon'!B25</f>
        <v>548.88111111111118</v>
      </c>
      <c r="E25" s="95">
        <f t="shared" si="1"/>
        <v>548.99</v>
      </c>
      <c r="F25" s="383">
        <f>'T5 Gallon'!B25</f>
        <v>576.89799999999991</v>
      </c>
      <c r="G25" s="94">
        <f t="shared" si="2"/>
        <v>576.99</v>
      </c>
      <c r="H25" s="394">
        <f>'Petro 10W30Gallon'!B25</f>
        <v>489.09000000000003</v>
      </c>
      <c r="I25" s="394">
        <f t="shared" si="3"/>
        <v>489.99</v>
      </c>
      <c r="J25" s="94">
        <f>'T6'!B25</f>
        <v>553.27</v>
      </c>
      <c r="K25" s="94">
        <f t="shared" si="4"/>
        <v>553.99</v>
      </c>
      <c r="L25" s="410">
        <f>'T6 Gallon'!B25</f>
        <v>668.69399999999996</v>
      </c>
      <c r="M25" s="394">
        <f t="shared" si="5"/>
        <v>668.99</v>
      </c>
      <c r="N25" s="92">
        <f>'Delo 5W30'!B25</f>
        <v>586.87</v>
      </c>
      <c r="O25" s="95">
        <f t="shared" si="6"/>
        <v>586.99</v>
      </c>
      <c r="P25" s="195">
        <f>'Delo 5W30 Gallon'!B25</f>
        <v>677.35666666666668</v>
      </c>
      <c r="Q25" s="399">
        <f t="shared" si="7"/>
        <v>677.99</v>
      </c>
      <c r="R25" s="416">
        <f>'Petro 5W30'!B25</f>
        <v>520.09</v>
      </c>
      <c r="S25" s="418">
        <f t="shared" si="8"/>
        <v>520.99</v>
      </c>
      <c r="T25" s="423">
        <f>'Petro 5W30 Gallon'!B25</f>
        <v>582.93000000000006</v>
      </c>
      <c r="U25" s="422">
        <f t="shared" si="9"/>
        <v>582.99</v>
      </c>
      <c r="V25" s="437">
        <f>'15W40'!B25</f>
        <v>415.99</v>
      </c>
      <c r="W25" s="49">
        <f t="shared" si="10"/>
        <v>33</v>
      </c>
      <c r="X25" s="49">
        <f>V25+30</f>
        <v>445.99</v>
      </c>
      <c r="Y25" s="470">
        <f t="shared" si="12"/>
        <v>480.99</v>
      </c>
      <c r="Z25" s="49">
        <f t="shared" si="13"/>
        <v>35</v>
      </c>
    </row>
    <row r="26" spans="1:26" ht="12.75" customHeight="1" x14ac:dyDescent="0.2">
      <c r="A26" s="100" t="s">
        <v>650</v>
      </c>
      <c r="B26" s="91">
        <f>'15W40 Gallon'!B26</f>
        <v>475.73</v>
      </c>
      <c r="C26" s="107">
        <f t="shared" si="0"/>
        <v>475.99</v>
      </c>
      <c r="D26" s="185">
        <f>'10W30 Gallon'!B26</f>
        <v>526.88111111111118</v>
      </c>
      <c r="E26" s="95">
        <f t="shared" si="1"/>
        <v>526.99</v>
      </c>
      <c r="F26" s="383">
        <f>'T5 Gallon'!B26</f>
        <v>554.89799999999991</v>
      </c>
      <c r="G26" s="94">
        <f t="shared" si="2"/>
        <v>554.99</v>
      </c>
      <c r="H26" s="394">
        <f>'Petro 10W30Gallon'!B26</f>
        <v>467.09000000000003</v>
      </c>
      <c r="I26" s="394">
        <f t="shared" si="3"/>
        <v>467.99</v>
      </c>
      <c r="J26" s="94">
        <f>'T6'!B26</f>
        <v>531.27</v>
      </c>
      <c r="K26" s="94">
        <f t="shared" si="4"/>
        <v>531.99</v>
      </c>
      <c r="L26" s="410">
        <f>'T6 Gallon'!B26</f>
        <v>646.69399999999996</v>
      </c>
      <c r="M26" s="394">
        <f t="shared" si="5"/>
        <v>646.99</v>
      </c>
      <c r="N26" s="92">
        <f>'Delo 5W30'!B26</f>
        <v>564.87</v>
      </c>
      <c r="O26" s="95">
        <f t="shared" si="6"/>
        <v>564.99</v>
      </c>
      <c r="P26" s="196">
        <f>'Delo 5W30 Gallon'!B26</f>
        <v>655.35666666666668</v>
      </c>
      <c r="Q26" s="403">
        <f t="shared" si="7"/>
        <v>655.99</v>
      </c>
      <c r="R26" s="419">
        <f>'Petro 5W30'!B26</f>
        <v>498.09000000000003</v>
      </c>
      <c r="S26" s="418">
        <f t="shared" si="8"/>
        <v>498.99</v>
      </c>
      <c r="T26" s="422">
        <f>'Petro 5W30 Gallon'!B26</f>
        <v>560.93000000000006</v>
      </c>
      <c r="U26" s="423">
        <f t="shared" si="9"/>
        <v>560.99</v>
      </c>
      <c r="V26" s="437">
        <f>'15W40'!B26</f>
        <v>393.99</v>
      </c>
      <c r="W26" s="49">
        <f t="shared" si="10"/>
        <v>33</v>
      </c>
      <c r="X26" s="49">
        <f>V26+30</f>
        <v>423.99</v>
      </c>
      <c r="Y26" s="470">
        <f t="shared" si="12"/>
        <v>458.99</v>
      </c>
      <c r="Z26" s="49">
        <f t="shared" si="13"/>
        <v>35</v>
      </c>
    </row>
    <row r="27" spans="1:26" ht="12.75" customHeight="1" x14ac:dyDescent="0.2">
      <c r="A27" s="99" t="s">
        <v>651</v>
      </c>
      <c r="B27" s="86">
        <f>'15W40 Gallon'!B27</f>
        <v>373.85</v>
      </c>
      <c r="C27" s="79">
        <f t="shared" si="0"/>
        <v>373.99</v>
      </c>
      <c r="D27" s="189">
        <f>'10W30 Gallon'!B27</f>
        <v>417.98671957671962</v>
      </c>
      <c r="E27" s="80">
        <f t="shared" si="1"/>
        <v>417.99</v>
      </c>
      <c r="F27" s="386">
        <f>'T5 Gallon'!B27</f>
        <v>443.33533333333332</v>
      </c>
      <c r="G27" s="81">
        <f t="shared" si="2"/>
        <v>443.99</v>
      </c>
      <c r="H27" s="393">
        <f>'Petro 10W30Gallon'!B27</f>
        <v>363.89</v>
      </c>
      <c r="I27" s="393">
        <f t="shared" si="3"/>
        <v>363.99</v>
      </c>
      <c r="J27" s="81">
        <f>'T6'!B27</f>
        <v>422.90999999999997</v>
      </c>
      <c r="K27" s="81">
        <f t="shared" si="4"/>
        <v>422.99</v>
      </c>
      <c r="L27" s="412">
        <f>'T6 Gallon'!B27</f>
        <v>524.24599999999998</v>
      </c>
      <c r="M27" s="393">
        <f t="shared" si="5"/>
        <v>524.99</v>
      </c>
      <c r="N27" s="87">
        <f>'Delo 5W30'!B27</f>
        <v>453.31</v>
      </c>
      <c r="O27" s="80">
        <f t="shared" si="6"/>
        <v>453.99</v>
      </c>
      <c r="P27" s="194">
        <f>'Delo 5W30 Gallon'!B27</f>
        <v>532.0836507936508</v>
      </c>
      <c r="Q27" s="398">
        <f t="shared" si="7"/>
        <v>532.99</v>
      </c>
      <c r="R27" s="435">
        <f>'Petro 5W30'!B27</f>
        <v>392.89</v>
      </c>
      <c r="S27" s="428">
        <f t="shared" si="8"/>
        <v>392.99</v>
      </c>
      <c r="T27" s="431">
        <f>'Petro 5W30 Gallon'!B27</f>
        <v>446.65</v>
      </c>
      <c r="U27" s="430">
        <f t="shared" si="9"/>
        <v>446.99</v>
      </c>
      <c r="V27" s="437">
        <f>'15W40'!B27</f>
        <v>302.99</v>
      </c>
      <c r="W27" s="49">
        <f t="shared" si="10"/>
        <v>30</v>
      </c>
      <c r="X27" s="49">
        <f t="shared" si="11"/>
        <v>327.99</v>
      </c>
      <c r="Y27" s="470">
        <f t="shared" si="12"/>
        <v>352.99</v>
      </c>
      <c r="Z27" s="49">
        <f t="shared" si="13"/>
        <v>25</v>
      </c>
    </row>
    <row r="28" spans="1:26" ht="12.75" customHeight="1" x14ac:dyDescent="0.2">
      <c r="A28" s="99" t="s">
        <v>652</v>
      </c>
      <c r="B28" s="82">
        <f>'15W40 Gallon'!B28</f>
        <v>201.57</v>
      </c>
      <c r="C28" s="79">
        <f t="shared" si="0"/>
        <v>201.99</v>
      </c>
      <c r="D28" s="183">
        <f>'10W30 Gallon'!B28</f>
        <v>223.62037037037038</v>
      </c>
      <c r="E28" s="80">
        <f t="shared" si="1"/>
        <v>223.99</v>
      </c>
      <c r="F28" s="382">
        <f>'T5 Gallon'!B28</f>
        <v>232.95933333333335</v>
      </c>
      <c r="G28" s="81">
        <f t="shared" si="2"/>
        <v>232.99</v>
      </c>
      <c r="H28" s="393">
        <f>'Petro 10W30Gallon'!B28</f>
        <v>203.69</v>
      </c>
      <c r="I28" s="393">
        <f t="shared" si="3"/>
        <v>203.99</v>
      </c>
      <c r="J28" s="81">
        <f>'T6'!B28</f>
        <v>226.75</v>
      </c>
      <c r="K28" s="81">
        <f t="shared" si="4"/>
        <v>226.99</v>
      </c>
      <c r="L28" s="411">
        <f>'T6 Gallon'!B28</f>
        <v>268.55799999999999</v>
      </c>
      <c r="M28" s="393">
        <f t="shared" si="5"/>
        <v>268.99</v>
      </c>
      <c r="N28" s="83">
        <f>'Delo 5W30'!B28</f>
        <v>237.95</v>
      </c>
      <c r="O28" s="80">
        <f t="shared" si="6"/>
        <v>237.99</v>
      </c>
      <c r="P28" s="193">
        <f>'Delo 5W30 Gallon'!B28</f>
        <v>271.44555555555553</v>
      </c>
      <c r="Q28" s="402">
        <f t="shared" si="7"/>
        <v>271.99</v>
      </c>
      <c r="R28" s="432">
        <f>'Petro 5W30'!B28</f>
        <v>215.69</v>
      </c>
      <c r="S28" s="428">
        <f t="shared" si="8"/>
        <v>215.99</v>
      </c>
      <c r="T28" s="430">
        <f>'Petro 5W30 Gallon'!B28</f>
        <v>239.97</v>
      </c>
      <c r="U28" s="431">
        <f t="shared" si="9"/>
        <v>239.99</v>
      </c>
      <c r="V28" s="437">
        <f>'15W40'!B28</f>
        <v>170.99</v>
      </c>
      <c r="W28" s="49">
        <f t="shared" si="10"/>
        <v>11</v>
      </c>
      <c r="X28" s="49">
        <f>V28+15</f>
        <v>185.99</v>
      </c>
      <c r="Y28" s="470">
        <f t="shared" si="12"/>
        <v>175.99</v>
      </c>
      <c r="Z28" s="49">
        <f t="shared" si="13"/>
        <v>-10</v>
      </c>
    </row>
    <row r="29" spans="1:26" ht="12.75" customHeight="1" x14ac:dyDescent="0.2">
      <c r="A29" s="100"/>
      <c r="B29" s="85"/>
      <c r="C29" s="103"/>
      <c r="D29" s="187"/>
      <c r="E29" s="103"/>
      <c r="F29" s="187"/>
      <c r="G29" s="103"/>
      <c r="H29" s="103"/>
      <c r="I29" s="103"/>
      <c r="J29" s="103"/>
      <c r="K29" s="103"/>
      <c r="L29" s="187"/>
      <c r="M29" s="103"/>
      <c r="N29" s="85"/>
      <c r="O29" s="103"/>
      <c r="P29" s="187"/>
      <c r="Q29" s="104"/>
      <c r="R29" s="62"/>
      <c r="S29" s="424"/>
      <c r="T29" s="55"/>
      <c r="U29" s="427"/>
      <c r="V29" s="437"/>
      <c r="W29" s="49"/>
      <c r="X29" s="49"/>
      <c r="Y29" s="470"/>
      <c r="Z29" s="49"/>
    </row>
    <row r="30" spans="1:26" ht="12.75" customHeight="1" x14ac:dyDescent="0.2">
      <c r="A30" s="101" t="s">
        <v>653</v>
      </c>
      <c r="B30" s="91">
        <f>'15W40 Gallon'!B30</f>
        <v>201.57</v>
      </c>
      <c r="C30" s="107">
        <f t="shared" si="0"/>
        <v>201.99</v>
      </c>
      <c r="D30" s="185">
        <f>'10W30 Gallon'!B30</f>
        <v>223.62037037037038</v>
      </c>
      <c r="E30" s="95">
        <f t="shared" si="1"/>
        <v>223.99</v>
      </c>
      <c r="F30" s="383">
        <f>'T5 Gallon'!B30</f>
        <v>232.95933333333335</v>
      </c>
      <c r="G30" s="94">
        <f t="shared" si="2"/>
        <v>232.99</v>
      </c>
      <c r="H30" s="394">
        <f>'Petro 10W30Gallon'!B30</f>
        <v>203.69</v>
      </c>
      <c r="I30" s="394">
        <f t="shared" si="3"/>
        <v>203.99</v>
      </c>
      <c r="J30" s="94">
        <f>'T6'!B30</f>
        <v>226.75</v>
      </c>
      <c r="K30" s="94">
        <f t="shared" si="4"/>
        <v>226.99</v>
      </c>
      <c r="L30" s="410">
        <f>'T6 Gallon'!B30</f>
        <v>268.55799999999999</v>
      </c>
      <c r="M30" s="394">
        <f t="shared" si="5"/>
        <v>268.99</v>
      </c>
      <c r="N30" s="92">
        <f>'Delo 5W30'!B30</f>
        <v>237.95</v>
      </c>
      <c r="O30" s="95">
        <f t="shared" si="6"/>
        <v>237.99</v>
      </c>
      <c r="P30" s="196">
        <f>'Delo 5W30 Gallon'!B30</f>
        <v>271.44555555555553</v>
      </c>
      <c r="Q30" s="403">
        <f t="shared" si="7"/>
        <v>271.99</v>
      </c>
      <c r="R30" s="419">
        <f>'Petro 5W30'!B30</f>
        <v>215.69</v>
      </c>
      <c r="S30" s="418">
        <f t="shared" si="8"/>
        <v>215.99</v>
      </c>
      <c r="T30" s="422">
        <f>'Petro 5W30 Gallon'!B30</f>
        <v>239.97</v>
      </c>
      <c r="U30" s="423">
        <f t="shared" si="9"/>
        <v>239.99</v>
      </c>
      <c r="V30" s="437">
        <f>'15W40'!B30</f>
        <v>170.99</v>
      </c>
      <c r="W30" s="49">
        <f t="shared" si="10"/>
        <v>11</v>
      </c>
      <c r="X30" s="49">
        <f>V30+15</f>
        <v>185.99</v>
      </c>
      <c r="Y30" s="470">
        <f t="shared" si="12"/>
        <v>175.99</v>
      </c>
      <c r="Z30" s="49">
        <f t="shared" si="13"/>
        <v>-10</v>
      </c>
    </row>
    <row r="31" spans="1:26" ht="12.75" customHeight="1" x14ac:dyDescent="0.2">
      <c r="A31" s="100"/>
      <c r="B31" s="85"/>
      <c r="C31" s="103"/>
      <c r="D31" s="187"/>
      <c r="E31" s="103"/>
      <c r="F31" s="187"/>
      <c r="G31" s="103"/>
      <c r="H31" s="103"/>
      <c r="I31" s="103"/>
      <c r="J31" s="103"/>
      <c r="K31" s="103"/>
      <c r="L31" s="187"/>
      <c r="M31" s="103"/>
      <c r="N31" s="85"/>
      <c r="O31" s="103"/>
      <c r="P31" s="187"/>
      <c r="Q31" s="104"/>
      <c r="R31" s="62"/>
      <c r="S31" s="424"/>
      <c r="T31" s="55"/>
      <c r="U31" s="427"/>
      <c r="V31" s="437"/>
      <c r="W31" s="49"/>
      <c r="X31" s="49"/>
      <c r="Y31" s="470"/>
      <c r="Z31" s="49"/>
    </row>
    <row r="32" spans="1:26" ht="12.75" customHeight="1" x14ac:dyDescent="0.2">
      <c r="A32" s="99" t="s">
        <v>423</v>
      </c>
      <c r="B32" s="82">
        <f>'15W40 Gallon'!B32</f>
        <v>300.57</v>
      </c>
      <c r="C32" s="79">
        <f t="shared" si="0"/>
        <v>300.99</v>
      </c>
      <c r="D32" s="183">
        <f>'10W30 Gallon'!B32</f>
        <v>322.62037037037038</v>
      </c>
      <c r="E32" s="80">
        <f t="shared" si="1"/>
        <v>322.99</v>
      </c>
      <c r="F32" s="382">
        <f>'T5 Gallon'!B32</f>
        <v>331.95933333333335</v>
      </c>
      <c r="G32" s="81">
        <f t="shared" si="2"/>
        <v>331.99</v>
      </c>
      <c r="H32" s="393">
        <f>'Petro 10W30Gallon'!B32</f>
        <v>302.69</v>
      </c>
      <c r="I32" s="393">
        <f t="shared" si="3"/>
        <v>302.99</v>
      </c>
      <c r="J32" s="81">
        <f>'T6'!B32</f>
        <v>325.75</v>
      </c>
      <c r="K32" s="81">
        <f t="shared" si="4"/>
        <v>325.99</v>
      </c>
      <c r="L32" s="411">
        <f>'T6 Gallon'!B32</f>
        <v>367.55799999999999</v>
      </c>
      <c r="M32" s="393">
        <f t="shared" si="5"/>
        <v>367.99</v>
      </c>
      <c r="N32" s="83">
        <f>'Delo 5W30'!B32</f>
        <v>336.95</v>
      </c>
      <c r="O32" s="80">
        <f t="shared" si="6"/>
        <v>336.99</v>
      </c>
      <c r="P32" s="193">
        <f>'Delo 5W30 Gallon'!B32</f>
        <v>370.44555555555553</v>
      </c>
      <c r="Q32" s="402">
        <f t="shared" si="7"/>
        <v>370.99</v>
      </c>
      <c r="R32" s="432">
        <f>'Petro 5W30'!B32</f>
        <v>314.69</v>
      </c>
      <c r="S32" s="428">
        <f t="shared" si="8"/>
        <v>314.99</v>
      </c>
      <c r="T32" s="430">
        <f>'Petro 5W30 Gallon'!B32</f>
        <v>338.96999999999997</v>
      </c>
      <c r="U32" s="431">
        <f t="shared" si="9"/>
        <v>338.99</v>
      </c>
      <c r="V32" s="437">
        <f>'15W40'!B32</f>
        <v>269.99</v>
      </c>
      <c r="W32" s="49">
        <f t="shared" si="10"/>
        <v>11</v>
      </c>
      <c r="X32" s="49">
        <f>V32+15</f>
        <v>284.99</v>
      </c>
      <c r="Y32" s="470">
        <f t="shared" si="12"/>
        <v>274.99</v>
      </c>
      <c r="Z32" s="49">
        <f t="shared" si="13"/>
        <v>-10</v>
      </c>
    </row>
    <row r="33" spans="1:26" ht="12.75" customHeight="1" x14ac:dyDescent="0.2">
      <c r="A33" s="99" t="s">
        <v>654</v>
      </c>
      <c r="B33" s="82">
        <f>'15W40 Gallon'!B33</f>
        <v>230.57</v>
      </c>
      <c r="C33" s="79">
        <f t="shared" si="0"/>
        <v>230.99</v>
      </c>
      <c r="D33" s="183">
        <f>'10W30 Gallon'!B33</f>
        <v>252.62037037037038</v>
      </c>
      <c r="E33" s="80">
        <f t="shared" si="1"/>
        <v>252.99</v>
      </c>
      <c r="F33" s="382">
        <f>'T5 Gallon'!B33</f>
        <v>261.95933333333335</v>
      </c>
      <c r="G33" s="81">
        <f t="shared" si="2"/>
        <v>261.99</v>
      </c>
      <c r="H33" s="393">
        <f>'Petro 10W30Gallon'!B33</f>
        <v>232.69</v>
      </c>
      <c r="I33" s="393">
        <f t="shared" si="3"/>
        <v>232.99</v>
      </c>
      <c r="J33" s="81">
        <f>'T6'!B33</f>
        <v>255.75</v>
      </c>
      <c r="K33" s="81">
        <f t="shared" si="4"/>
        <v>255.99</v>
      </c>
      <c r="L33" s="411">
        <f>'T6 Gallon'!B33</f>
        <v>297.55799999999999</v>
      </c>
      <c r="M33" s="393">
        <f t="shared" si="5"/>
        <v>297.99</v>
      </c>
      <c r="N33" s="83">
        <f>'Delo 5W30'!B33</f>
        <v>266.95</v>
      </c>
      <c r="O33" s="80">
        <f t="shared" si="6"/>
        <v>266.99</v>
      </c>
      <c r="P33" s="194">
        <f>'Delo 5W30 Gallon'!B33</f>
        <v>300.44555555555553</v>
      </c>
      <c r="Q33" s="398">
        <f t="shared" si="7"/>
        <v>300.99</v>
      </c>
      <c r="R33" s="435">
        <f>'Petro 5W30'!B33</f>
        <v>244.69</v>
      </c>
      <c r="S33" s="428">
        <f t="shared" si="8"/>
        <v>244.99</v>
      </c>
      <c r="T33" s="431">
        <f>'Petro 5W30 Gallon'!B33</f>
        <v>268.96999999999997</v>
      </c>
      <c r="U33" s="430">
        <f t="shared" si="9"/>
        <v>268.99</v>
      </c>
      <c r="V33" s="437">
        <f>'15W40'!B33</f>
        <v>199.99</v>
      </c>
      <c r="W33" s="49">
        <f t="shared" si="10"/>
        <v>11</v>
      </c>
      <c r="X33" s="49">
        <f>V33+15</f>
        <v>214.99</v>
      </c>
      <c r="Y33" s="470">
        <f t="shared" si="12"/>
        <v>204.99</v>
      </c>
      <c r="Z33" s="49">
        <f t="shared" si="13"/>
        <v>-10</v>
      </c>
    </row>
    <row r="34" spans="1:26" ht="12.75" customHeight="1" x14ac:dyDescent="0.2">
      <c r="A34" s="100"/>
      <c r="B34" s="85"/>
      <c r="C34" s="103"/>
      <c r="D34" s="187"/>
      <c r="E34" s="103"/>
      <c r="F34" s="187"/>
      <c r="G34" s="103"/>
      <c r="H34" s="103"/>
      <c r="I34" s="103"/>
      <c r="J34" s="103"/>
      <c r="K34" s="103"/>
      <c r="L34" s="187"/>
      <c r="M34" s="103"/>
      <c r="N34" s="85"/>
      <c r="O34" s="103"/>
      <c r="P34" s="191"/>
      <c r="Q34" s="106"/>
      <c r="R34" s="426"/>
      <c r="S34" s="424"/>
      <c r="T34" s="427"/>
      <c r="U34" s="55"/>
      <c r="V34" s="437"/>
      <c r="W34" s="49"/>
      <c r="X34" s="49"/>
      <c r="Y34" s="470"/>
      <c r="Z34" s="49"/>
    </row>
    <row r="35" spans="1:26" ht="12.75" customHeight="1" x14ac:dyDescent="0.2">
      <c r="A35" s="101" t="s">
        <v>655</v>
      </c>
      <c r="B35" s="91">
        <f>'15W40 Gallon'!B35</f>
        <v>319.20999999999998</v>
      </c>
      <c r="C35" s="107">
        <f t="shared" si="0"/>
        <v>319.99</v>
      </c>
      <c r="D35" s="185">
        <f>'10W30 Gallon'!B35</f>
        <v>357.303544973545</v>
      </c>
      <c r="E35" s="95">
        <f t="shared" si="1"/>
        <v>357.99</v>
      </c>
      <c r="F35" s="383">
        <f>'T5 Gallon'!B35</f>
        <v>374.64733333333334</v>
      </c>
      <c r="G35" s="94">
        <f t="shared" si="2"/>
        <v>374.99</v>
      </c>
      <c r="H35" s="394">
        <f>'Petro 10W30Gallon'!B35</f>
        <v>320.29000000000002</v>
      </c>
      <c r="I35" s="394">
        <f t="shared" si="3"/>
        <v>320.99</v>
      </c>
      <c r="J35" s="94">
        <f>'T6'!B35</f>
        <v>363.83</v>
      </c>
      <c r="K35" s="94">
        <f t="shared" si="4"/>
        <v>363.99</v>
      </c>
      <c r="L35" s="410">
        <f>'T6 Gallon'!B35</f>
        <v>437.90199999999999</v>
      </c>
      <c r="M35" s="394">
        <f t="shared" si="5"/>
        <v>437.99</v>
      </c>
      <c r="N35" s="92">
        <f>'Delo 5W30'!B35</f>
        <v>384.63</v>
      </c>
      <c r="O35" s="95">
        <f t="shared" si="6"/>
        <v>384.99</v>
      </c>
      <c r="P35" s="195">
        <f>'Delo 5W30 Gallon'!B35</f>
        <v>443.26460317460317</v>
      </c>
      <c r="Q35" s="399">
        <f t="shared" si="7"/>
        <v>443.99</v>
      </c>
      <c r="R35" s="416">
        <f>'Petro 5W30'!B35</f>
        <v>343.29</v>
      </c>
      <c r="S35" s="418">
        <f t="shared" si="8"/>
        <v>343.99</v>
      </c>
      <c r="T35" s="423">
        <f>'Petro 5W30 Gallon'!B35</f>
        <v>384.81</v>
      </c>
      <c r="U35" s="422">
        <f t="shared" si="9"/>
        <v>384.99</v>
      </c>
      <c r="V35" s="437">
        <f>'15W40'!B35</f>
        <v>265.99</v>
      </c>
      <c r="W35" s="49">
        <f t="shared" si="10"/>
        <v>20</v>
      </c>
      <c r="X35" s="49">
        <f t="shared" si="11"/>
        <v>290.99</v>
      </c>
      <c r="Y35" s="470">
        <f t="shared" si="12"/>
        <v>303.99</v>
      </c>
      <c r="Z35" s="49">
        <f t="shared" si="13"/>
        <v>13</v>
      </c>
    </row>
    <row r="36" spans="1:26" ht="12.75" customHeight="1" x14ac:dyDescent="0.2">
      <c r="A36" s="101" t="s">
        <v>1245</v>
      </c>
      <c r="B36" s="91">
        <f>'15W40 Gallon'!B36</f>
        <v>587.61</v>
      </c>
      <c r="C36" s="107">
        <f t="shared" si="0"/>
        <v>587.99</v>
      </c>
      <c r="D36" s="185">
        <f>'10W30 Gallon'!B36</f>
        <v>640.77550264550268</v>
      </c>
      <c r="E36" s="95">
        <f t="shared" si="1"/>
        <v>640.99</v>
      </c>
      <c r="F36" s="383">
        <f>'T5 Gallon'!B36</f>
        <v>671.46066666666661</v>
      </c>
      <c r="G36" s="94">
        <f t="shared" si="2"/>
        <v>671.99</v>
      </c>
      <c r="H36" s="394">
        <f>'Petro 10W30Gallon'!B36</f>
        <v>575.29</v>
      </c>
      <c r="I36" s="394">
        <f t="shared" si="3"/>
        <v>575.99</v>
      </c>
      <c r="J36" s="94">
        <f>'T6'!B36</f>
        <v>644.63</v>
      </c>
      <c r="K36" s="94">
        <f t="shared" si="4"/>
        <v>644.99</v>
      </c>
      <c r="L36" s="410">
        <f>'T6 Gallon'!B36</f>
        <v>769.14200000000005</v>
      </c>
      <c r="M36" s="394">
        <f t="shared" si="5"/>
        <v>769.99</v>
      </c>
      <c r="N36" s="92">
        <f>'Delo 5W30'!B36</f>
        <v>681.43</v>
      </c>
      <c r="O36" s="95">
        <f t="shared" si="6"/>
        <v>681.99</v>
      </c>
      <c r="P36" s="196">
        <f>'Delo 5W30 Gallon'!B36</f>
        <v>778.62968253968245</v>
      </c>
      <c r="Q36" s="403">
        <f t="shared" si="7"/>
        <v>778.99</v>
      </c>
      <c r="R36" s="419">
        <f>'Petro 5W30'!B36</f>
        <v>608.29</v>
      </c>
      <c r="S36" s="418">
        <f t="shared" si="8"/>
        <v>608.99</v>
      </c>
      <c r="T36" s="422">
        <f>'Petro 5W30 Gallon'!B36</f>
        <v>675.20999999999992</v>
      </c>
      <c r="U36" s="423">
        <f t="shared" si="9"/>
        <v>675.99</v>
      </c>
      <c r="V36" s="437">
        <f>'15W40'!B36</f>
        <v>499.99</v>
      </c>
      <c r="W36" s="49">
        <f t="shared" si="10"/>
        <v>36</v>
      </c>
      <c r="X36" s="49">
        <f>V36+30</f>
        <v>529.99</v>
      </c>
      <c r="Y36" s="470">
        <f t="shared" si="12"/>
        <v>568.99</v>
      </c>
      <c r="Z36" s="49">
        <f t="shared" si="13"/>
        <v>39</v>
      </c>
    </row>
    <row r="37" spans="1:26" ht="12.75" customHeight="1" x14ac:dyDescent="0.2">
      <c r="A37" s="48" t="s">
        <v>1249</v>
      </c>
      <c r="B37" s="91"/>
      <c r="C37" s="107"/>
      <c r="D37" s="185"/>
      <c r="E37" s="95"/>
      <c r="F37" s="383"/>
      <c r="G37" s="94"/>
      <c r="H37" s="394"/>
      <c r="I37" s="394"/>
      <c r="J37" s="94"/>
      <c r="K37" s="94"/>
      <c r="L37" s="410"/>
      <c r="M37" s="394"/>
      <c r="N37" s="92"/>
      <c r="O37" s="95"/>
      <c r="P37" s="196"/>
      <c r="Q37" s="399"/>
      <c r="R37" s="416"/>
      <c r="S37" s="418"/>
      <c r="T37" s="423"/>
      <c r="U37" s="468"/>
      <c r="V37" s="437"/>
      <c r="W37" s="49"/>
      <c r="X37" s="49"/>
      <c r="Y37" s="470"/>
      <c r="Z37" s="49"/>
    </row>
    <row r="38" spans="1:26" ht="12.75" customHeight="1" x14ac:dyDescent="0.2">
      <c r="A38" s="101" t="s">
        <v>1125</v>
      </c>
      <c r="B38" s="91">
        <f>'15W40 Gallon'!B38</f>
        <v>246.57</v>
      </c>
      <c r="C38" s="107">
        <f t="shared" si="0"/>
        <v>246.99</v>
      </c>
      <c r="D38" s="185">
        <f>'10W30 Gallon'!B38</f>
        <v>268.62037037037038</v>
      </c>
      <c r="E38" s="95">
        <f t="shared" si="1"/>
        <v>268.99</v>
      </c>
      <c r="F38" s="383">
        <f>'T5 Gallon'!B38</f>
        <v>277.95933333333335</v>
      </c>
      <c r="G38" s="94">
        <f t="shared" si="2"/>
        <v>277.99</v>
      </c>
      <c r="H38" s="394">
        <f>'Petro 10W30Gallon'!B38</f>
        <v>248.69</v>
      </c>
      <c r="I38" s="394">
        <f t="shared" si="3"/>
        <v>248.99</v>
      </c>
      <c r="J38" s="94">
        <f>'T6'!B38</f>
        <v>291.75</v>
      </c>
      <c r="K38" s="94">
        <f t="shared" si="4"/>
        <v>291.99</v>
      </c>
      <c r="L38" s="410">
        <f>'T6 Gallon'!B38</f>
        <v>333.55799999999999</v>
      </c>
      <c r="M38" s="394">
        <f t="shared" si="5"/>
        <v>333.99</v>
      </c>
      <c r="N38" s="92">
        <f>'Delo 5W30'!B38</f>
        <v>302.95</v>
      </c>
      <c r="O38" s="95">
        <f t="shared" si="6"/>
        <v>302.99</v>
      </c>
      <c r="P38" s="196">
        <f>'Delo 5W30 Gallon'!B38</f>
        <v>341.44555555555553</v>
      </c>
      <c r="Q38" s="403">
        <f t="shared" si="7"/>
        <v>341.99</v>
      </c>
      <c r="R38" s="416">
        <f>'Petro 5W30'!B38</f>
        <v>280.69</v>
      </c>
      <c r="S38" s="418">
        <f t="shared" si="8"/>
        <v>280.99</v>
      </c>
      <c r="T38" s="423">
        <f>'Petro 5W30 Gallon'!B38</f>
        <v>309.96999999999997</v>
      </c>
      <c r="U38" s="422">
        <f t="shared" si="9"/>
        <v>309.99</v>
      </c>
      <c r="V38" s="437">
        <f>'15W40'!B38</f>
        <v>215.99</v>
      </c>
      <c r="W38" s="49">
        <f t="shared" si="10"/>
        <v>11</v>
      </c>
      <c r="X38" s="49">
        <f>V38+15</f>
        <v>230.99</v>
      </c>
      <c r="Y38" s="470">
        <f t="shared" si="12"/>
        <v>240.99</v>
      </c>
      <c r="Z38" s="49">
        <f t="shared" si="13"/>
        <v>10</v>
      </c>
    </row>
    <row r="39" spans="1:26" ht="12.75" customHeight="1" x14ac:dyDescent="0.2">
      <c r="A39" s="101" t="s">
        <v>425</v>
      </c>
      <c r="B39" s="91">
        <f>'15W40 Gallon'!B39</f>
        <v>306.57</v>
      </c>
      <c r="C39" s="107">
        <f t="shared" si="0"/>
        <v>306.99</v>
      </c>
      <c r="D39" s="185">
        <f>'10W30 Gallon'!B39</f>
        <v>328.62037037037038</v>
      </c>
      <c r="E39" s="95">
        <f t="shared" si="1"/>
        <v>328.99</v>
      </c>
      <c r="F39" s="383">
        <f>'T5 Gallon'!B39</f>
        <v>337.95933333333335</v>
      </c>
      <c r="G39" s="94">
        <f t="shared" si="2"/>
        <v>337.99</v>
      </c>
      <c r="H39" s="394">
        <f>'Petro 10W30Gallon'!B39</f>
        <v>308.69</v>
      </c>
      <c r="I39" s="394">
        <f t="shared" si="3"/>
        <v>308.99</v>
      </c>
      <c r="J39" s="94">
        <f>'T6'!B39</f>
        <v>361.75</v>
      </c>
      <c r="K39" s="94">
        <f t="shared" si="4"/>
        <v>361.99</v>
      </c>
      <c r="L39" s="410">
        <f>'T6 Gallon'!B39</f>
        <v>403.55799999999999</v>
      </c>
      <c r="M39" s="394">
        <f t="shared" si="5"/>
        <v>403.99</v>
      </c>
      <c r="N39" s="92">
        <f>'Delo 5W30'!B39</f>
        <v>372.95</v>
      </c>
      <c r="O39" s="95">
        <f t="shared" si="6"/>
        <v>372.99</v>
      </c>
      <c r="P39" s="196">
        <f>'Delo 5W30 Gallon'!B39</f>
        <v>416.44555555555553</v>
      </c>
      <c r="Q39" s="403">
        <f t="shared" si="7"/>
        <v>416.99</v>
      </c>
      <c r="R39" s="419">
        <f>'Petro 5W30'!B39</f>
        <v>350.69</v>
      </c>
      <c r="S39" s="418">
        <f t="shared" si="8"/>
        <v>350.99</v>
      </c>
      <c r="T39" s="422">
        <f>'Petro 5W30 Gallon'!B39</f>
        <v>384.96999999999997</v>
      </c>
      <c r="U39" s="423">
        <f t="shared" si="9"/>
        <v>384.99</v>
      </c>
      <c r="V39" s="437">
        <f>'15W40'!B39</f>
        <v>275.99</v>
      </c>
      <c r="W39" s="49">
        <f t="shared" si="10"/>
        <v>11</v>
      </c>
      <c r="X39" s="49">
        <f>V39+15</f>
        <v>290.99</v>
      </c>
      <c r="Y39" s="470">
        <f t="shared" si="12"/>
        <v>310.99</v>
      </c>
      <c r="Z39" s="49">
        <f t="shared" si="13"/>
        <v>20</v>
      </c>
    </row>
    <row r="40" spans="1:26" ht="12.75" customHeight="1" x14ac:dyDescent="0.2">
      <c r="A40" s="100"/>
      <c r="B40" s="90"/>
      <c r="C40" s="106"/>
      <c r="D40" s="191"/>
      <c r="E40" s="106"/>
      <c r="F40" s="191"/>
      <c r="G40" s="106"/>
      <c r="H40" s="103"/>
      <c r="I40" s="103"/>
      <c r="J40" s="103"/>
      <c r="K40" s="106"/>
      <c r="L40" s="191"/>
      <c r="M40" s="106"/>
      <c r="N40" s="90"/>
      <c r="O40" s="106"/>
      <c r="P40" s="191"/>
      <c r="Q40" s="104"/>
      <c r="R40" s="62"/>
      <c r="S40" s="424"/>
      <c r="T40" s="55"/>
      <c r="U40" s="427"/>
      <c r="V40" s="437"/>
      <c r="W40" s="49"/>
      <c r="X40" s="49"/>
      <c r="Y40" s="470"/>
      <c r="Z40" s="49"/>
    </row>
    <row r="41" spans="1:26" ht="12.75" customHeight="1" x14ac:dyDescent="0.2">
      <c r="A41" s="165" t="s">
        <v>907</v>
      </c>
      <c r="B41" s="82">
        <f>'15W40 Gallon'!B41</f>
        <v>434.85</v>
      </c>
      <c r="C41" s="79">
        <f t="shared" si="0"/>
        <v>434.99</v>
      </c>
      <c r="D41" s="183">
        <f>'10W30 Gallon'!B41</f>
        <v>478.98671957671962</v>
      </c>
      <c r="E41" s="80">
        <f t="shared" si="1"/>
        <v>478.99</v>
      </c>
      <c r="F41" s="382">
        <f>'T5 Gallon'!B41</f>
        <v>504.33533333333332</v>
      </c>
      <c r="G41" s="81">
        <f t="shared" si="2"/>
        <v>504.99</v>
      </c>
      <c r="H41" s="393">
        <f>'Petro 10W30Gallon'!B41</f>
        <v>424.89</v>
      </c>
      <c r="I41" s="393">
        <f t="shared" si="3"/>
        <v>424.99</v>
      </c>
      <c r="J41" s="81">
        <f>'T6'!B41</f>
        <v>483.90999999999997</v>
      </c>
      <c r="K41" s="81">
        <f t="shared" si="4"/>
        <v>483.99</v>
      </c>
      <c r="L41" s="411">
        <f>'T6 Gallon'!B41</f>
        <v>585.24599999999998</v>
      </c>
      <c r="M41" s="393">
        <f t="shared" si="5"/>
        <v>585.99</v>
      </c>
      <c r="N41" s="83">
        <f>'Delo 5W30'!B41</f>
        <v>514.30999999999995</v>
      </c>
      <c r="O41" s="80">
        <f t="shared" si="6"/>
        <v>514.99</v>
      </c>
      <c r="P41" s="193">
        <f>'Delo 5W30 Gallon'!B41</f>
        <v>593.08365079365069</v>
      </c>
      <c r="Q41" s="402">
        <f t="shared" si="7"/>
        <v>593.99</v>
      </c>
      <c r="R41" s="432">
        <f>'Petro 5W30'!B41</f>
        <v>453.89</v>
      </c>
      <c r="S41" s="428">
        <f t="shared" si="8"/>
        <v>453.99</v>
      </c>
      <c r="T41" s="430">
        <f>'Petro 5W30 Gallon'!B41</f>
        <v>507.65</v>
      </c>
      <c r="U41" s="431">
        <f t="shared" si="9"/>
        <v>507.99</v>
      </c>
      <c r="V41" s="437">
        <f>'15W40'!B41</f>
        <v>363.99</v>
      </c>
      <c r="W41" s="49">
        <f t="shared" si="10"/>
        <v>30</v>
      </c>
      <c r="X41" s="49">
        <f t="shared" si="11"/>
        <v>388.99</v>
      </c>
      <c r="Y41" s="470">
        <f t="shared" si="12"/>
        <v>413.99</v>
      </c>
      <c r="Z41" s="49">
        <f t="shared" si="13"/>
        <v>25</v>
      </c>
    </row>
    <row r="42" spans="1:26" ht="12.75" customHeight="1" x14ac:dyDescent="0.2">
      <c r="A42" s="163" t="s">
        <v>911</v>
      </c>
      <c r="B42" s="88">
        <f>'15W40 Gallon'!B42</f>
        <v>505.85</v>
      </c>
      <c r="C42" s="82">
        <f t="shared" si="0"/>
        <v>505.99</v>
      </c>
      <c r="D42" s="190">
        <f>'10W30 Gallon'!B42</f>
        <v>549.98671957671968</v>
      </c>
      <c r="E42" s="83">
        <f t="shared" si="1"/>
        <v>549.99</v>
      </c>
      <c r="F42" s="387">
        <f>'T5 Gallon'!B42</f>
        <v>575.33533333333332</v>
      </c>
      <c r="G42" s="84">
        <f t="shared" si="2"/>
        <v>575.99</v>
      </c>
      <c r="H42" s="393">
        <f>'Petro 10W30Gallon'!B42</f>
        <v>495.89</v>
      </c>
      <c r="I42" s="393">
        <f t="shared" si="3"/>
        <v>495.99</v>
      </c>
      <c r="J42" s="81">
        <f>'T6'!B42</f>
        <v>554.91</v>
      </c>
      <c r="K42" s="84">
        <f t="shared" si="4"/>
        <v>554.99</v>
      </c>
      <c r="L42" s="413">
        <f>'T6 Gallon'!B42</f>
        <v>656.24599999999998</v>
      </c>
      <c r="M42" s="396">
        <f t="shared" si="5"/>
        <v>656.99</v>
      </c>
      <c r="N42" s="89">
        <f>'Delo 5W30'!B42</f>
        <v>585.30999999999995</v>
      </c>
      <c r="O42" s="83">
        <f t="shared" si="6"/>
        <v>585.99</v>
      </c>
      <c r="P42" s="194">
        <f>'Delo 5W30 Gallon'!B42</f>
        <v>664.08365079365069</v>
      </c>
      <c r="Q42" s="398">
        <f t="shared" si="7"/>
        <v>664.99</v>
      </c>
      <c r="R42" s="435">
        <f>'Petro 5W30'!B42</f>
        <v>524.89</v>
      </c>
      <c r="S42" s="428">
        <f t="shared" si="8"/>
        <v>524.99</v>
      </c>
      <c r="T42" s="431">
        <f>'Petro 5W30 Gallon'!B42</f>
        <v>578.65</v>
      </c>
      <c r="U42" s="430">
        <f t="shared" si="9"/>
        <v>578.99</v>
      </c>
      <c r="V42" s="437">
        <f>'15W40'!B42</f>
        <v>434.99</v>
      </c>
      <c r="W42" s="49">
        <f t="shared" si="10"/>
        <v>30</v>
      </c>
      <c r="X42" s="49">
        <f t="shared" si="11"/>
        <v>459.99</v>
      </c>
      <c r="Y42" s="470">
        <f t="shared" si="12"/>
        <v>484.99</v>
      </c>
      <c r="Z42" s="49">
        <f t="shared" si="13"/>
        <v>25</v>
      </c>
    </row>
    <row r="43" spans="1:26" ht="12.75" customHeight="1" x14ac:dyDescent="0.2">
      <c r="A43" s="166" t="s">
        <v>909</v>
      </c>
      <c r="B43" s="108">
        <f>'15W40 Gallon'!B43</f>
        <v>542.84</v>
      </c>
      <c r="C43" s="108">
        <f t="shared" si="0"/>
        <v>542.99</v>
      </c>
      <c r="D43" s="186">
        <f>'10W30 Gallon'!B43</f>
        <v>600.53788359788359</v>
      </c>
      <c r="E43" s="109">
        <f t="shared" si="1"/>
        <v>600.99</v>
      </c>
      <c r="F43" s="384">
        <f>'T5 Gallon'!B43</f>
        <v>637.22666666666669</v>
      </c>
      <c r="G43" s="110">
        <f t="shared" si="2"/>
        <v>637.99</v>
      </c>
      <c r="H43" s="394">
        <f>'Petro 10W30Gallon'!B43</f>
        <v>527.24</v>
      </c>
      <c r="I43" s="394">
        <f t="shared" si="3"/>
        <v>527.99</v>
      </c>
      <c r="J43" s="94">
        <f>'T6'!B43</f>
        <v>608.19000000000005</v>
      </c>
      <c r="K43" s="110">
        <f t="shared" si="4"/>
        <v>608.99</v>
      </c>
      <c r="L43" s="414">
        <f>'T6 Gallon'!B43</f>
        <v>758.15000000000009</v>
      </c>
      <c r="M43" s="406">
        <f t="shared" si="5"/>
        <v>758.99</v>
      </c>
      <c r="N43" s="109">
        <f>'Delo 5W30'!B43</f>
        <v>652.19000000000005</v>
      </c>
      <c r="O43" s="109">
        <f t="shared" si="6"/>
        <v>652.99</v>
      </c>
      <c r="P43" s="196">
        <f>'Delo 5W30 Gallon'!B43</f>
        <v>764.49396825396832</v>
      </c>
      <c r="Q43" s="403">
        <f t="shared" si="7"/>
        <v>764.99</v>
      </c>
      <c r="R43" s="419">
        <f>'Petro 5W30'!B43</f>
        <v>564.74</v>
      </c>
      <c r="S43" s="418">
        <f t="shared" si="8"/>
        <v>564.99</v>
      </c>
      <c r="T43" s="422">
        <f>'Petro 5W30 Gallon'!B43</f>
        <v>640.84</v>
      </c>
      <c r="U43" s="423">
        <f t="shared" si="9"/>
        <v>640.99</v>
      </c>
      <c r="V43" s="437">
        <f>'15W40'!B43</f>
        <v>436.99</v>
      </c>
      <c r="W43" s="49">
        <f t="shared" si="10"/>
        <v>44</v>
      </c>
      <c r="X43" s="49">
        <f>V43+35</f>
        <v>471.99</v>
      </c>
      <c r="Y43" s="470">
        <f t="shared" si="12"/>
        <v>524.99</v>
      </c>
      <c r="Z43" s="49">
        <f t="shared" si="13"/>
        <v>53</v>
      </c>
    </row>
    <row r="44" spans="1:26" ht="12.75" customHeight="1" x14ac:dyDescent="0.2">
      <c r="A44" s="48" t="s">
        <v>910</v>
      </c>
      <c r="B44" s="108">
        <f>'15W40 Gallon'!B44</f>
        <v>615.84</v>
      </c>
      <c r="C44" s="96">
        <f t="shared" si="0"/>
        <v>615.99</v>
      </c>
      <c r="D44" s="186">
        <f>'10W30 Gallon'!B44</f>
        <v>673.53788359788359</v>
      </c>
      <c r="E44" s="97">
        <f t="shared" si="1"/>
        <v>673.99</v>
      </c>
      <c r="F44" s="384">
        <f>'T5 Gallon'!B44</f>
        <v>710.22666666666669</v>
      </c>
      <c r="G44" s="98">
        <f t="shared" si="2"/>
        <v>710.99</v>
      </c>
      <c r="H44" s="394">
        <f>'Petro 10W30Gallon'!B44</f>
        <v>600.24</v>
      </c>
      <c r="I44" s="394">
        <f t="shared" si="3"/>
        <v>600.99</v>
      </c>
      <c r="J44" s="94">
        <f>'T6'!B44</f>
        <v>681.19</v>
      </c>
      <c r="K44" s="98">
        <f t="shared" si="4"/>
        <v>681.99</v>
      </c>
      <c r="L44" s="414">
        <f>'T6 Gallon'!B44</f>
        <v>831.15000000000009</v>
      </c>
      <c r="M44" s="407">
        <f t="shared" si="5"/>
        <v>831.99</v>
      </c>
      <c r="N44" s="109">
        <f>'Delo 5W30'!B44</f>
        <v>725.19</v>
      </c>
      <c r="O44" s="97">
        <f t="shared" si="6"/>
        <v>725.99</v>
      </c>
      <c r="P44" s="196">
        <f>'Delo 5W30 Gallon'!B44</f>
        <v>837.49396825396832</v>
      </c>
      <c r="Q44" s="399">
        <f t="shared" si="7"/>
        <v>837.99</v>
      </c>
      <c r="R44" s="416">
        <f>'Petro 5W30'!B44</f>
        <v>637.74</v>
      </c>
      <c r="S44" s="418">
        <f t="shared" si="8"/>
        <v>637.99</v>
      </c>
      <c r="T44" s="423">
        <f>'Petro 5W30 Gallon'!B44</f>
        <v>713.84</v>
      </c>
      <c r="U44" s="422">
        <f t="shared" si="9"/>
        <v>713.99</v>
      </c>
      <c r="V44" s="437">
        <f>'15W40'!B44</f>
        <v>509.99</v>
      </c>
      <c r="W44" s="49">
        <f t="shared" si="10"/>
        <v>44</v>
      </c>
      <c r="X44" s="49">
        <f>V44+35</f>
        <v>544.99</v>
      </c>
      <c r="Y44" s="470">
        <f t="shared" si="12"/>
        <v>597.99</v>
      </c>
      <c r="Z44" s="49">
        <f t="shared" si="13"/>
        <v>53</v>
      </c>
    </row>
    <row r="45" spans="1:26" ht="12.75" customHeight="1" x14ac:dyDescent="0.2">
      <c r="A45" s="165" t="s">
        <v>656</v>
      </c>
      <c r="B45" s="82">
        <f>'15W40 Gallon'!B45</f>
        <v>388.85</v>
      </c>
      <c r="C45" s="79">
        <f t="shared" si="0"/>
        <v>388.99</v>
      </c>
      <c r="D45" s="183">
        <f>'10W30 Gallon'!B45</f>
        <v>437.98671957671962</v>
      </c>
      <c r="E45" s="80">
        <f t="shared" si="1"/>
        <v>437.99</v>
      </c>
      <c r="F45" s="382">
        <f>'T5 Gallon'!B45</f>
        <v>458.33533333333332</v>
      </c>
      <c r="G45" s="81">
        <f t="shared" si="2"/>
        <v>458.99</v>
      </c>
      <c r="H45" s="393">
        <f>'Petro 10W30Gallon'!B45</f>
        <v>378.89</v>
      </c>
      <c r="I45" s="393">
        <f t="shared" si="3"/>
        <v>378.99</v>
      </c>
      <c r="J45" s="81">
        <f>'T6'!B45</f>
        <v>437.90999999999997</v>
      </c>
      <c r="K45" s="81">
        <f t="shared" si="4"/>
        <v>437.99</v>
      </c>
      <c r="L45" s="411">
        <f>'T6 Gallon'!B45</f>
        <v>539.24599999999998</v>
      </c>
      <c r="M45" s="393">
        <f t="shared" si="5"/>
        <v>539.99</v>
      </c>
      <c r="N45" s="83">
        <f>'Delo 5W30'!B45</f>
        <v>468.31</v>
      </c>
      <c r="O45" s="80">
        <f t="shared" si="6"/>
        <v>468.99</v>
      </c>
      <c r="P45" s="193">
        <f>'Delo 5W30 Gallon'!B45</f>
        <v>547.0836507936508</v>
      </c>
      <c r="Q45" s="402">
        <f t="shared" si="7"/>
        <v>547.99</v>
      </c>
      <c r="R45" s="432">
        <f>'Petro 5W30'!B45</f>
        <v>407.89</v>
      </c>
      <c r="S45" s="428">
        <f t="shared" si="8"/>
        <v>407.99</v>
      </c>
      <c r="T45" s="430">
        <f>'Petro 5W30 Gallon'!B45</f>
        <v>461.65</v>
      </c>
      <c r="U45" s="431">
        <f t="shared" si="9"/>
        <v>461.99</v>
      </c>
      <c r="V45" s="437">
        <f>'15W40'!B45</f>
        <v>317.99</v>
      </c>
      <c r="W45" s="49">
        <f t="shared" si="10"/>
        <v>30</v>
      </c>
      <c r="X45" s="49">
        <f t="shared" si="11"/>
        <v>342.99</v>
      </c>
      <c r="Y45" s="470">
        <f t="shared" si="12"/>
        <v>367.99</v>
      </c>
      <c r="Z45" s="49">
        <f t="shared" si="13"/>
        <v>25</v>
      </c>
    </row>
    <row r="46" spans="1:26" ht="12.75" customHeight="1" x14ac:dyDescent="0.2">
      <c r="A46" s="163" t="s">
        <v>657</v>
      </c>
      <c r="B46" s="86">
        <f>'15W40 Gallon'!B46</f>
        <v>479.43</v>
      </c>
      <c r="C46" s="79">
        <f t="shared" si="0"/>
        <v>479.99</v>
      </c>
      <c r="D46" s="189">
        <f>'10W30 Gallon'!B46</f>
        <v>540.61708994708999</v>
      </c>
      <c r="E46" s="80">
        <f t="shared" si="1"/>
        <v>540.99</v>
      </c>
      <c r="F46" s="386">
        <f>'T5 Gallon'!B46</f>
        <v>575.30466666666666</v>
      </c>
      <c r="G46" s="81">
        <f t="shared" si="2"/>
        <v>575.99</v>
      </c>
      <c r="H46" s="393">
        <f>'Petro 10W30Gallon'!B46</f>
        <v>466.59</v>
      </c>
      <c r="I46" s="393">
        <f t="shared" si="3"/>
        <v>466.99</v>
      </c>
      <c r="J46" s="81">
        <f>'T6'!B46</f>
        <v>543.67000000000007</v>
      </c>
      <c r="K46" s="81">
        <f t="shared" si="4"/>
        <v>543.99</v>
      </c>
      <c r="L46" s="412">
        <f>'T6 Gallon'!B46</f>
        <v>686.81400000000008</v>
      </c>
      <c r="M46" s="393">
        <f t="shared" si="5"/>
        <v>686.99</v>
      </c>
      <c r="N46" s="87">
        <f>'Delo 5W30'!B46</f>
        <v>585.27</v>
      </c>
      <c r="O46" s="80">
        <f t="shared" si="6"/>
        <v>585.99</v>
      </c>
      <c r="P46" s="194">
        <f>'Delo 5W30 Gallon'!B46</f>
        <v>697.53920634920632</v>
      </c>
      <c r="Q46" s="398">
        <f t="shared" si="7"/>
        <v>697.99</v>
      </c>
      <c r="R46" s="435">
        <f>'Petro 5W30'!B46</f>
        <v>502.59000000000003</v>
      </c>
      <c r="S46" s="428">
        <f t="shared" si="8"/>
        <v>502.99</v>
      </c>
      <c r="T46" s="431">
        <f>'Petro 5W30 Gallon'!B46</f>
        <v>580.63</v>
      </c>
      <c r="U46" s="430">
        <f t="shared" si="9"/>
        <v>580.99</v>
      </c>
      <c r="V46" s="437">
        <f>'15W40'!B46</f>
        <v>377.99</v>
      </c>
      <c r="W46" s="49">
        <f t="shared" si="10"/>
        <v>41</v>
      </c>
      <c r="X46" s="49">
        <f>V46+35</f>
        <v>412.99</v>
      </c>
      <c r="Y46" s="470">
        <f t="shared" si="12"/>
        <v>462.99</v>
      </c>
      <c r="Z46" s="49">
        <f t="shared" si="13"/>
        <v>50</v>
      </c>
    </row>
    <row r="47" spans="1:26" ht="12.75" customHeight="1" x14ac:dyDescent="0.2">
      <c r="A47" s="166" t="s">
        <v>658</v>
      </c>
      <c r="B47" s="91">
        <f>'15W40 Gallon'!B47</f>
        <v>497.85</v>
      </c>
      <c r="C47" s="107">
        <f t="shared" si="0"/>
        <v>497.99</v>
      </c>
      <c r="D47" s="185">
        <f>'10W30 Gallon'!B47</f>
        <v>541.98671957671968</v>
      </c>
      <c r="E47" s="95">
        <f t="shared" si="1"/>
        <v>541.99</v>
      </c>
      <c r="F47" s="383">
        <f>'T5 Gallon'!B47</f>
        <v>567.33533333333332</v>
      </c>
      <c r="G47" s="94">
        <f t="shared" si="2"/>
        <v>567.99</v>
      </c>
      <c r="H47" s="394">
        <f>'Petro 10W30Gallon'!B47</f>
        <v>487.89</v>
      </c>
      <c r="I47" s="394">
        <f t="shared" si="3"/>
        <v>487.99</v>
      </c>
      <c r="J47" s="94">
        <f>'T6'!B47</f>
        <v>546.91</v>
      </c>
      <c r="K47" s="94">
        <f t="shared" si="4"/>
        <v>546.99</v>
      </c>
      <c r="L47" s="410">
        <f>'T6 Gallon'!B47</f>
        <v>648.24599999999998</v>
      </c>
      <c r="M47" s="394">
        <f t="shared" si="5"/>
        <v>648.99</v>
      </c>
      <c r="N47" s="92">
        <f>'Delo 5W30'!B47</f>
        <v>577.30999999999995</v>
      </c>
      <c r="O47" s="95">
        <f t="shared" si="6"/>
        <v>577.99</v>
      </c>
      <c r="P47" s="196">
        <f>'Delo 5W30 Gallon'!B47</f>
        <v>656.08365079365069</v>
      </c>
      <c r="Q47" s="403">
        <f t="shared" si="7"/>
        <v>656.99</v>
      </c>
      <c r="R47" s="419">
        <f>'Petro 5W30'!B47</f>
        <v>516.89</v>
      </c>
      <c r="S47" s="418">
        <f t="shared" si="8"/>
        <v>516.99</v>
      </c>
      <c r="T47" s="422">
        <f>'Petro 5W30 Gallon'!B47</f>
        <v>570.65</v>
      </c>
      <c r="U47" s="423">
        <f t="shared" si="9"/>
        <v>570.99</v>
      </c>
      <c r="V47" s="437">
        <f>'15W40'!B47</f>
        <v>426.99</v>
      </c>
      <c r="W47" s="49">
        <f t="shared" si="10"/>
        <v>30</v>
      </c>
      <c r="X47" s="49">
        <f t="shared" si="11"/>
        <v>451.99</v>
      </c>
      <c r="Y47" s="470">
        <f t="shared" si="12"/>
        <v>476.99</v>
      </c>
      <c r="Z47" s="49">
        <f t="shared" si="13"/>
        <v>25</v>
      </c>
    </row>
    <row r="48" spans="1:26" ht="12.75" customHeight="1" x14ac:dyDescent="0.2">
      <c r="A48" s="166" t="s">
        <v>659</v>
      </c>
      <c r="B48" s="96">
        <f>'15W40 Gallon'!B48</f>
        <v>591.42999999999995</v>
      </c>
      <c r="C48" s="107">
        <f t="shared" si="0"/>
        <v>591.99</v>
      </c>
      <c r="D48" s="188">
        <f>'10W30 Gallon'!B48</f>
        <v>652.61708994708999</v>
      </c>
      <c r="E48" s="95">
        <f t="shared" si="1"/>
        <v>652.99</v>
      </c>
      <c r="F48" s="385">
        <f>'T5 Gallon'!B48</f>
        <v>687.30466666666666</v>
      </c>
      <c r="G48" s="94">
        <f t="shared" si="2"/>
        <v>687.99</v>
      </c>
      <c r="H48" s="394">
        <f>'Petro 10W30Gallon'!B48</f>
        <v>578.59</v>
      </c>
      <c r="I48" s="394">
        <f t="shared" si="3"/>
        <v>578.99</v>
      </c>
      <c r="J48" s="94">
        <f>'T6'!B48</f>
        <v>655.67</v>
      </c>
      <c r="K48" s="94">
        <f t="shared" si="4"/>
        <v>655.99</v>
      </c>
      <c r="L48" s="409">
        <f>'T6 Gallon'!B48</f>
        <v>798.81399999999996</v>
      </c>
      <c r="M48" s="394">
        <f t="shared" si="5"/>
        <v>798.99</v>
      </c>
      <c r="N48" s="97">
        <f>'Delo 5W30'!B48</f>
        <v>697.27</v>
      </c>
      <c r="O48" s="95">
        <f t="shared" si="6"/>
        <v>697.99</v>
      </c>
      <c r="P48" s="195">
        <f>'Delo 5W30 Gallon'!B48</f>
        <v>809.53920634920632</v>
      </c>
      <c r="Q48" s="399">
        <f t="shared" si="7"/>
        <v>809.99</v>
      </c>
      <c r="R48" s="416">
        <f>'Petro 5W30'!B48</f>
        <v>614.59</v>
      </c>
      <c r="S48" s="418">
        <f t="shared" si="8"/>
        <v>614.99</v>
      </c>
      <c r="T48" s="423">
        <f>'Petro 5W30 Gallon'!B48</f>
        <v>692.63</v>
      </c>
      <c r="U48" s="422">
        <f t="shared" si="9"/>
        <v>692.99</v>
      </c>
      <c r="V48" s="437">
        <f>'15W40'!B48</f>
        <v>489.99</v>
      </c>
      <c r="W48" s="49">
        <f t="shared" si="10"/>
        <v>41</v>
      </c>
      <c r="X48" s="49">
        <f>V48+35</f>
        <v>524.99</v>
      </c>
      <c r="Y48" s="470">
        <f t="shared" si="12"/>
        <v>574.99</v>
      </c>
      <c r="Z48" s="49">
        <f t="shared" si="13"/>
        <v>50</v>
      </c>
    </row>
    <row r="49" spans="1:26" ht="12.75" customHeight="1" x14ac:dyDescent="0.2">
      <c r="A49" s="100"/>
      <c r="B49" s="90"/>
      <c r="C49" s="103"/>
      <c r="D49" s="191"/>
      <c r="E49" s="103"/>
      <c r="F49" s="191"/>
      <c r="G49" s="103"/>
      <c r="H49" s="103"/>
      <c r="I49" s="103"/>
      <c r="J49" s="103"/>
      <c r="K49" s="103"/>
      <c r="L49" s="191"/>
      <c r="M49" s="103"/>
      <c r="N49" s="90"/>
      <c r="O49" s="103"/>
      <c r="P49" s="191"/>
      <c r="Q49" s="106"/>
      <c r="R49" s="426"/>
      <c r="S49" s="424"/>
      <c r="T49" s="427"/>
      <c r="U49" s="55"/>
      <c r="V49" s="437">
        <f>'15W40'!B49</f>
        <v>0</v>
      </c>
      <c r="W49" s="49"/>
      <c r="X49" s="49"/>
      <c r="Y49" s="470"/>
      <c r="Z49" s="49"/>
    </row>
    <row r="50" spans="1:26" ht="12.75" customHeight="1" x14ac:dyDescent="0.2">
      <c r="A50" s="99" t="s">
        <v>660</v>
      </c>
      <c r="B50" s="86">
        <f>'15W40 Gallon'!B50</f>
        <v>489.21</v>
      </c>
      <c r="C50" s="79">
        <f t="shared" si="0"/>
        <v>489.99</v>
      </c>
      <c r="D50" s="189">
        <f>'10W30 Gallon'!B50</f>
        <v>527.30354497354506</v>
      </c>
      <c r="E50" s="80">
        <f t="shared" si="1"/>
        <v>527.99</v>
      </c>
      <c r="F50" s="386">
        <f>'T5 Gallon'!B50</f>
        <v>544.64733333333334</v>
      </c>
      <c r="G50" s="81">
        <f t="shared" si="2"/>
        <v>544.99</v>
      </c>
      <c r="H50" s="393">
        <f>'Petro 10W30Gallon'!B50</f>
        <v>490.29</v>
      </c>
      <c r="I50" s="393">
        <f t="shared" si="3"/>
        <v>490.99</v>
      </c>
      <c r="J50" s="81">
        <f>'T6'!B50</f>
        <v>533.82999999999993</v>
      </c>
      <c r="K50" s="81">
        <f t="shared" si="4"/>
        <v>533.99</v>
      </c>
      <c r="L50" s="412">
        <f>'T6 Gallon'!B50</f>
        <v>607.90199999999993</v>
      </c>
      <c r="M50" s="393">
        <f t="shared" si="5"/>
        <v>607.99</v>
      </c>
      <c r="N50" s="87">
        <f>'Delo 5W30'!B50</f>
        <v>554.63</v>
      </c>
      <c r="O50" s="80">
        <f t="shared" si="6"/>
        <v>554.99</v>
      </c>
      <c r="P50" s="194">
        <f>'Delo 5W30 Gallon'!B50</f>
        <v>613.26460317460317</v>
      </c>
      <c r="Q50" s="398">
        <f t="shared" si="7"/>
        <v>613.99</v>
      </c>
      <c r="R50" s="435">
        <f>'Petro 5W30'!B50</f>
        <v>513.29</v>
      </c>
      <c r="S50" s="428">
        <f t="shared" si="8"/>
        <v>513.99</v>
      </c>
      <c r="T50" s="431">
        <f>'Petro 5W30 Gallon'!B50</f>
        <v>554.80999999999995</v>
      </c>
      <c r="U50" s="430">
        <f t="shared" si="9"/>
        <v>554.99</v>
      </c>
      <c r="V50" s="437">
        <f>'15W40'!B50</f>
        <v>435.99</v>
      </c>
      <c r="W50" s="49">
        <f t="shared" si="10"/>
        <v>20</v>
      </c>
      <c r="X50" s="49">
        <f t="shared" si="11"/>
        <v>460.99</v>
      </c>
      <c r="Y50" s="470">
        <f t="shared" si="12"/>
        <v>473.99</v>
      </c>
      <c r="Z50" s="49">
        <f t="shared" si="13"/>
        <v>13</v>
      </c>
    </row>
    <row r="51" spans="1:26" ht="12.75" customHeight="1" x14ac:dyDescent="0.2">
      <c r="A51" s="102" t="s">
        <v>661</v>
      </c>
      <c r="B51" s="82">
        <f>'15W40 Gallon'!B51</f>
        <v>410.21</v>
      </c>
      <c r="C51" s="79">
        <f t="shared" si="0"/>
        <v>410.99</v>
      </c>
      <c r="D51" s="183">
        <f>'10W30 Gallon'!B51</f>
        <v>448.303544973545</v>
      </c>
      <c r="E51" s="80">
        <f t="shared" si="1"/>
        <v>448.99</v>
      </c>
      <c r="F51" s="382">
        <f>'T5 Gallon'!B51</f>
        <v>465.64733333333334</v>
      </c>
      <c r="G51" s="81">
        <f t="shared" si="2"/>
        <v>465.99</v>
      </c>
      <c r="H51" s="393">
        <f>'Petro 10W30Gallon'!B51</f>
        <v>411.29</v>
      </c>
      <c r="I51" s="393">
        <f t="shared" si="3"/>
        <v>411.99</v>
      </c>
      <c r="J51" s="81">
        <f>'T6'!B51</f>
        <v>454.83</v>
      </c>
      <c r="K51" s="81">
        <f t="shared" si="4"/>
        <v>454.99</v>
      </c>
      <c r="L51" s="411">
        <f>'T6 Gallon'!B51</f>
        <v>528.90200000000004</v>
      </c>
      <c r="M51" s="393">
        <f t="shared" si="5"/>
        <v>528.99</v>
      </c>
      <c r="N51" s="83">
        <f>'Delo 5W30'!B51</f>
        <v>475.63</v>
      </c>
      <c r="O51" s="80">
        <f t="shared" si="6"/>
        <v>475.99</v>
      </c>
      <c r="P51" s="193">
        <f>'Delo 5W30 Gallon'!B51</f>
        <v>534.26460317460317</v>
      </c>
      <c r="Q51" s="402">
        <f t="shared" si="7"/>
        <v>534.99</v>
      </c>
      <c r="R51" s="432">
        <f>'Petro 5W30'!B51</f>
        <v>434.29</v>
      </c>
      <c r="S51" s="428">
        <f t="shared" si="8"/>
        <v>434.99</v>
      </c>
      <c r="T51" s="430">
        <f>'Petro 5W30 Gallon'!B51</f>
        <v>475.81</v>
      </c>
      <c r="U51" s="431">
        <f t="shared" si="9"/>
        <v>475.99</v>
      </c>
      <c r="V51" s="437">
        <f>'15W40'!B51</f>
        <v>356.99</v>
      </c>
      <c r="W51" s="49">
        <f t="shared" si="10"/>
        <v>20</v>
      </c>
      <c r="X51" s="49">
        <f t="shared" si="11"/>
        <v>381.99</v>
      </c>
      <c r="Y51" s="470">
        <f t="shared" si="12"/>
        <v>394.99</v>
      </c>
      <c r="Z51" s="49">
        <f t="shared" si="13"/>
        <v>13</v>
      </c>
    </row>
    <row r="52" spans="1:26" ht="12.75" customHeight="1" x14ac:dyDescent="0.2">
      <c r="A52" s="101" t="s">
        <v>662</v>
      </c>
      <c r="B52" s="96">
        <f>'15W40 Gallon'!B52</f>
        <v>505.85</v>
      </c>
      <c r="C52" s="107">
        <f t="shared" si="0"/>
        <v>505.99</v>
      </c>
      <c r="D52" s="188">
        <f>'10W30 Gallon'!B52</f>
        <v>549.98671957671968</v>
      </c>
      <c r="E52" s="95">
        <f t="shared" si="1"/>
        <v>549.99</v>
      </c>
      <c r="F52" s="385">
        <f>'T5 Gallon'!B52</f>
        <v>575.33533333333332</v>
      </c>
      <c r="G52" s="94">
        <f t="shared" si="2"/>
        <v>575.99</v>
      </c>
      <c r="H52" s="394">
        <f>'Petro 10W30Gallon'!B52</f>
        <v>495.89</v>
      </c>
      <c r="I52" s="394">
        <f t="shared" si="3"/>
        <v>495.99</v>
      </c>
      <c r="J52" s="94">
        <f>'T6'!B52</f>
        <v>554.91</v>
      </c>
      <c r="K52" s="94">
        <f t="shared" si="4"/>
        <v>554.99</v>
      </c>
      <c r="L52" s="409">
        <f>'T6 Gallon'!B52</f>
        <v>656.24599999999998</v>
      </c>
      <c r="M52" s="394">
        <f t="shared" si="5"/>
        <v>656.99</v>
      </c>
      <c r="N52" s="97">
        <f>'Delo 5W30'!B52</f>
        <v>585.30999999999995</v>
      </c>
      <c r="O52" s="95">
        <f t="shared" si="6"/>
        <v>585.99</v>
      </c>
      <c r="P52" s="195">
        <f>'Delo 5W30 Gallon'!B52</f>
        <v>664.08365079365069</v>
      </c>
      <c r="Q52" s="399">
        <f t="shared" si="7"/>
        <v>664.99</v>
      </c>
      <c r="R52" s="416">
        <f>'Petro 5W30'!B52</f>
        <v>524.89</v>
      </c>
      <c r="S52" s="418">
        <f t="shared" si="8"/>
        <v>524.99</v>
      </c>
      <c r="T52" s="423">
        <f>'Petro 5W30 Gallon'!B52</f>
        <v>578.65</v>
      </c>
      <c r="U52" s="422">
        <f t="shared" si="9"/>
        <v>578.99</v>
      </c>
      <c r="V52" s="437">
        <f>'15W40'!B52</f>
        <v>434.99</v>
      </c>
      <c r="W52" s="49">
        <f t="shared" si="10"/>
        <v>30</v>
      </c>
      <c r="X52" s="49">
        <f t="shared" si="11"/>
        <v>459.99</v>
      </c>
      <c r="Y52" s="470">
        <f t="shared" si="12"/>
        <v>484.99</v>
      </c>
      <c r="Z52" s="49">
        <f t="shared" si="13"/>
        <v>25</v>
      </c>
    </row>
    <row r="53" spans="1:26" x14ac:dyDescent="0.2">
      <c r="A53" s="101" t="s">
        <v>663</v>
      </c>
      <c r="B53" s="91">
        <f>'15W40 Gallon'!B53</f>
        <v>427.85</v>
      </c>
      <c r="C53" s="107">
        <f t="shared" si="0"/>
        <v>427.99</v>
      </c>
      <c r="D53" s="185">
        <f>'10W30 Gallon'!B53</f>
        <v>471.98671957671962</v>
      </c>
      <c r="E53" s="95">
        <f t="shared" si="1"/>
        <v>471.99</v>
      </c>
      <c r="F53" s="383">
        <f>'T5 Gallon'!B53</f>
        <v>497.33533333333332</v>
      </c>
      <c r="G53" s="94">
        <f t="shared" si="2"/>
        <v>497.99</v>
      </c>
      <c r="H53" s="394">
        <f>'Petro 10W30Gallon'!B53</f>
        <v>417.89</v>
      </c>
      <c r="I53" s="394">
        <f t="shared" si="3"/>
        <v>417.99</v>
      </c>
      <c r="J53" s="94">
        <f>'T6'!B53</f>
        <v>476.90999999999997</v>
      </c>
      <c r="K53" s="94">
        <f t="shared" si="4"/>
        <v>476.99</v>
      </c>
      <c r="L53" s="410">
        <f>'T6 Gallon'!B53</f>
        <v>578.24599999999998</v>
      </c>
      <c r="M53" s="394">
        <f t="shared" si="5"/>
        <v>578.99</v>
      </c>
      <c r="N53" s="92">
        <f>'Delo 5W30'!B53</f>
        <v>507.31</v>
      </c>
      <c r="O53" s="95">
        <f t="shared" si="6"/>
        <v>507.99</v>
      </c>
      <c r="P53" s="196">
        <f>'Delo 5W30 Gallon'!B53</f>
        <v>586.0836507936508</v>
      </c>
      <c r="Q53" s="403">
        <f t="shared" si="7"/>
        <v>586.99</v>
      </c>
      <c r="R53" s="419">
        <f>'Petro 5W30'!B53</f>
        <v>446.89</v>
      </c>
      <c r="S53" s="418">
        <f t="shared" si="8"/>
        <v>446.99</v>
      </c>
      <c r="T53" s="422">
        <f>'Petro 5W30 Gallon'!B53</f>
        <v>500.65</v>
      </c>
      <c r="U53" s="423">
        <f t="shared" si="9"/>
        <v>500.99</v>
      </c>
      <c r="V53" s="437">
        <f>'15W40'!B53</f>
        <v>356.99</v>
      </c>
      <c r="W53" s="49">
        <f t="shared" si="10"/>
        <v>30</v>
      </c>
      <c r="X53" s="49">
        <f t="shared" si="11"/>
        <v>381.99</v>
      </c>
      <c r="Y53" s="470">
        <f t="shared" si="12"/>
        <v>406.99</v>
      </c>
      <c r="Z53" s="49">
        <f t="shared" si="13"/>
        <v>25</v>
      </c>
    </row>
    <row r="54" spans="1:26" x14ac:dyDescent="0.2">
      <c r="A54" s="100"/>
      <c r="B54" s="85"/>
      <c r="C54" s="103"/>
      <c r="D54" s="187"/>
      <c r="E54" s="103"/>
      <c r="F54" s="187"/>
      <c r="G54" s="103"/>
      <c r="H54" s="103"/>
      <c r="I54" s="103"/>
      <c r="J54" s="103"/>
      <c r="K54" s="103"/>
      <c r="L54" s="187"/>
      <c r="M54" s="103"/>
      <c r="N54" s="85"/>
      <c r="O54" s="103"/>
      <c r="P54" s="187"/>
      <c r="Q54" s="104"/>
      <c r="R54" s="62"/>
      <c r="S54" s="424"/>
      <c r="T54" s="55"/>
      <c r="U54" s="427"/>
      <c r="V54" s="437">
        <f>'15W40'!B54</f>
        <v>0</v>
      </c>
      <c r="W54" s="49"/>
      <c r="X54" s="49"/>
      <c r="Y54" s="470"/>
      <c r="Z54" s="49"/>
    </row>
    <row r="55" spans="1:26" x14ac:dyDescent="0.2">
      <c r="A55" s="99" t="s">
        <v>665</v>
      </c>
      <c r="B55" s="82">
        <f>'15W40 Gallon'!B55</f>
        <v>454.08</v>
      </c>
      <c r="C55" s="79">
        <f t="shared" si="0"/>
        <v>454.99</v>
      </c>
      <c r="D55" s="183">
        <f>'10W30 Gallon'!B55</f>
        <v>507.74910052910059</v>
      </c>
      <c r="E55" s="80">
        <f t="shared" si="1"/>
        <v>507.99</v>
      </c>
      <c r="F55" s="382">
        <f>'T5 Gallon'!B55</f>
        <v>539.10133333333329</v>
      </c>
      <c r="G55" s="81">
        <f t="shared" si="2"/>
        <v>539.99</v>
      </c>
      <c r="H55" s="393">
        <f>'Petro 10W30Gallon'!B55</f>
        <v>440.84</v>
      </c>
      <c r="I55" s="393">
        <f t="shared" si="3"/>
        <v>440.99</v>
      </c>
      <c r="J55" s="81">
        <f>'T6'!B55</f>
        <v>511.47</v>
      </c>
      <c r="K55" s="81">
        <f t="shared" si="4"/>
        <v>511.99</v>
      </c>
      <c r="L55" s="411">
        <f>'T6 Gallon'!B55</f>
        <v>643.25400000000002</v>
      </c>
      <c r="M55" s="393">
        <f t="shared" si="5"/>
        <v>643.99</v>
      </c>
      <c r="N55" s="83">
        <f>'Delo 5W30'!B55</f>
        <v>549.06999999999994</v>
      </c>
      <c r="O55" s="80">
        <f t="shared" si="6"/>
        <v>549.99</v>
      </c>
      <c r="P55" s="193">
        <f>'Delo 5W30 Gallon'!B55</f>
        <v>647.94793650793645</v>
      </c>
      <c r="Q55" s="402">
        <f t="shared" si="7"/>
        <v>647.99</v>
      </c>
      <c r="R55" s="432">
        <f>'Petro 5W30'!B55</f>
        <v>474.34000000000003</v>
      </c>
      <c r="S55" s="428">
        <f t="shared" si="8"/>
        <v>474.99</v>
      </c>
      <c r="T55" s="430">
        <f>'Petro 5W30 Gallon'!B55</f>
        <v>542.28</v>
      </c>
      <c r="U55" s="431">
        <f t="shared" si="9"/>
        <v>542.99</v>
      </c>
      <c r="V55" s="437">
        <f>'15W40'!B55</f>
        <v>364.99</v>
      </c>
      <c r="W55" s="49">
        <f t="shared" si="10"/>
        <v>37</v>
      </c>
      <c r="X55" s="49">
        <f>V55+30</f>
        <v>394.99</v>
      </c>
      <c r="Y55" s="470">
        <f t="shared" si="12"/>
        <v>434.99</v>
      </c>
      <c r="Z55" s="49">
        <f t="shared" si="13"/>
        <v>40</v>
      </c>
    </row>
    <row r="56" spans="1:26" x14ac:dyDescent="0.2">
      <c r="A56" s="111" t="s">
        <v>666</v>
      </c>
      <c r="B56" s="86">
        <f>'15W40 Gallon'!B56</f>
        <v>432.08</v>
      </c>
      <c r="C56" s="79">
        <f t="shared" si="0"/>
        <v>432.99</v>
      </c>
      <c r="D56" s="189">
        <f>'10W30 Gallon'!B56</f>
        <v>485.74910052910059</v>
      </c>
      <c r="E56" s="80">
        <f t="shared" si="1"/>
        <v>485.99</v>
      </c>
      <c r="F56" s="386">
        <f>'T5 Gallon'!B56</f>
        <v>517.10133333333329</v>
      </c>
      <c r="G56" s="81">
        <f t="shared" si="2"/>
        <v>517.99</v>
      </c>
      <c r="H56" s="393">
        <f>'Petro 10W30Gallon'!B56</f>
        <v>418.84</v>
      </c>
      <c r="I56" s="393">
        <f t="shared" si="3"/>
        <v>418.99</v>
      </c>
      <c r="J56" s="81">
        <f>'T6'!B56</f>
        <v>489.47</v>
      </c>
      <c r="K56" s="81">
        <f t="shared" si="4"/>
        <v>489.99</v>
      </c>
      <c r="L56" s="412">
        <f>'T6 Gallon'!B56</f>
        <v>621.25400000000002</v>
      </c>
      <c r="M56" s="393">
        <f t="shared" si="5"/>
        <v>621.99</v>
      </c>
      <c r="N56" s="87">
        <f>'Delo 5W30'!B56</f>
        <v>527.06999999999994</v>
      </c>
      <c r="O56" s="80">
        <f t="shared" si="6"/>
        <v>527.99</v>
      </c>
      <c r="P56" s="194">
        <f>'Delo 5W30 Gallon'!B56</f>
        <v>625.94793650793645</v>
      </c>
      <c r="Q56" s="398">
        <f t="shared" si="7"/>
        <v>625.99</v>
      </c>
      <c r="R56" s="435">
        <f>'Petro 5W30'!B56</f>
        <v>452.34000000000003</v>
      </c>
      <c r="S56" s="428">
        <f t="shared" si="8"/>
        <v>452.99</v>
      </c>
      <c r="T56" s="431">
        <f>'Petro 5W30 Gallon'!B56</f>
        <v>520.28</v>
      </c>
      <c r="U56" s="430">
        <f t="shared" si="9"/>
        <v>520.99</v>
      </c>
      <c r="V56" s="437">
        <f>'15W40'!B56</f>
        <v>342.99</v>
      </c>
      <c r="W56" s="49">
        <f t="shared" si="10"/>
        <v>37</v>
      </c>
      <c r="X56" s="49">
        <f>V56+30</f>
        <v>372.99</v>
      </c>
      <c r="Y56" s="470">
        <f t="shared" si="12"/>
        <v>412.99</v>
      </c>
      <c r="Z56" s="49">
        <f t="shared" si="13"/>
        <v>40</v>
      </c>
    </row>
    <row r="57" spans="1:26" x14ac:dyDescent="0.2">
      <c r="A57" s="101" t="s">
        <v>667</v>
      </c>
      <c r="B57" s="107">
        <f>'15W40 Gallon'!B57</f>
        <v>333.21</v>
      </c>
      <c r="C57" s="107">
        <f t="shared" si="0"/>
        <v>333.99</v>
      </c>
      <c r="D57" s="192">
        <f>'10W30 Gallon'!B57</f>
        <v>371.303544973545</v>
      </c>
      <c r="E57" s="95">
        <f t="shared" si="1"/>
        <v>371.99</v>
      </c>
      <c r="F57" s="388">
        <f>'T5 Gallon'!B57</f>
        <v>388.64733333333334</v>
      </c>
      <c r="G57" s="94">
        <f t="shared" si="2"/>
        <v>388.99</v>
      </c>
      <c r="H57" s="394">
        <f>'Petro 10W30Gallon'!B57</f>
        <v>334.29</v>
      </c>
      <c r="I57" s="394">
        <f t="shared" si="3"/>
        <v>334.99</v>
      </c>
      <c r="J57" s="94">
        <f>'T6'!B57</f>
        <v>377.83</v>
      </c>
      <c r="K57" s="94">
        <f t="shared" si="4"/>
        <v>377.99</v>
      </c>
      <c r="L57" s="415">
        <f>'T6 Gallon'!B57</f>
        <v>451.90199999999999</v>
      </c>
      <c r="M57" s="394">
        <f t="shared" si="5"/>
        <v>451.99</v>
      </c>
      <c r="N57" s="95">
        <f>'Delo 5W30'!B57</f>
        <v>398.63</v>
      </c>
      <c r="O57" s="95">
        <f t="shared" si="6"/>
        <v>398.99</v>
      </c>
      <c r="P57" s="196">
        <f>'Delo 5W30 Gallon'!B57</f>
        <v>457.26460317460317</v>
      </c>
      <c r="Q57" s="403">
        <f t="shared" si="7"/>
        <v>457.99</v>
      </c>
      <c r="R57" s="419">
        <f>'Petro 5W30'!B57</f>
        <v>357.29</v>
      </c>
      <c r="S57" s="418">
        <f t="shared" si="8"/>
        <v>357.99</v>
      </c>
      <c r="T57" s="422">
        <f>'Petro 5W30 Gallon'!B57</f>
        <v>398.81</v>
      </c>
      <c r="U57" s="423">
        <f t="shared" si="9"/>
        <v>398.99</v>
      </c>
      <c r="V57" s="437">
        <f>'15W40'!B57</f>
        <v>279.99</v>
      </c>
      <c r="W57" s="49">
        <f t="shared" si="10"/>
        <v>20</v>
      </c>
      <c r="X57" s="49">
        <f t="shared" si="11"/>
        <v>304.99</v>
      </c>
      <c r="Y57" s="470">
        <f t="shared" si="12"/>
        <v>317.99</v>
      </c>
      <c r="Z57" s="49">
        <f t="shared" si="13"/>
        <v>13</v>
      </c>
    </row>
    <row r="58" spans="1:26" x14ac:dyDescent="0.2">
      <c r="A58" s="101" t="s">
        <v>668</v>
      </c>
      <c r="B58" s="91">
        <f>'15W40 Gallon'!B58</f>
        <v>295.20999999999998</v>
      </c>
      <c r="C58" s="107">
        <f t="shared" si="0"/>
        <v>295.99</v>
      </c>
      <c r="D58" s="185">
        <f>'10W30 Gallon'!B58</f>
        <v>333.303544973545</v>
      </c>
      <c r="E58" s="95">
        <f t="shared" si="1"/>
        <v>333.99</v>
      </c>
      <c r="F58" s="383">
        <f>'T5 Gallon'!B58</f>
        <v>350.64733333333334</v>
      </c>
      <c r="G58" s="94">
        <f t="shared" si="2"/>
        <v>350.99</v>
      </c>
      <c r="H58" s="394">
        <f>'Petro 10W30Gallon'!B58</f>
        <v>296.29000000000002</v>
      </c>
      <c r="I58" s="394">
        <f t="shared" si="3"/>
        <v>296.99</v>
      </c>
      <c r="J58" s="94">
        <f>'T6'!B58</f>
        <v>339.83</v>
      </c>
      <c r="K58" s="94">
        <f t="shared" si="4"/>
        <v>339.99</v>
      </c>
      <c r="L58" s="410">
        <f>'T6 Gallon'!B58</f>
        <v>413.90199999999999</v>
      </c>
      <c r="M58" s="394">
        <f t="shared" si="5"/>
        <v>413.99</v>
      </c>
      <c r="N58" s="92">
        <f>'Delo 5W30'!B58</f>
        <v>360.63</v>
      </c>
      <c r="O58" s="95">
        <f t="shared" si="6"/>
        <v>360.99</v>
      </c>
      <c r="P58" s="195">
        <f>'Delo 5W30 Gallon'!B58</f>
        <v>419.26460317460317</v>
      </c>
      <c r="Q58" s="399">
        <f t="shared" si="7"/>
        <v>419.99</v>
      </c>
      <c r="R58" s="416">
        <f>'Petro 5W30'!B58</f>
        <v>319.29000000000002</v>
      </c>
      <c r="S58" s="418">
        <f t="shared" si="8"/>
        <v>319.99</v>
      </c>
      <c r="T58" s="423">
        <f>'Petro 5W30 Gallon'!B58</f>
        <v>360.81</v>
      </c>
      <c r="U58" s="422">
        <f t="shared" si="9"/>
        <v>360.99</v>
      </c>
      <c r="V58" s="437">
        <f>'15W40'!B58</f>
        <v>241.99</v>
      </c>
      <c r="W58" s="49">
        <f t="shared" si="10"/>
        <v>20</v>
      </c>
      <c r="X58" s="49">
        <f t="shared" si="11"/>
        <v>266.99</v>
      </c>
      <c r="Y58" s="470">
        <f t="shared" si="12"/>
        <v>279.99</v>
      </c>
      <c r="Z58" s="49">
        <f t="shared" si="13"/>
        <v>13</v>
      </c>
    </row>
    <row r="59" spans="1:26" x14ac:dyDescent="0.2">
      <c r="A59" s="99" t="s">
        <v>669</v>
      </c>
      <c r="B59" s="86">
        <f>'15W40 Gallon'!B59</f>
        <v>270.27</v>
      </c>
      <c r="C59" s="79">
        <f t="shared" si="0"/>
        <v>270.99</v>
      </c>
      <c r="D59" s="189">
        <f>'10W30 Gallon'!B59</f>
        <v>302.35634920634925</v>
      </c>
      <c r="E59" s="80">
        <f t="shared" si="1"/>
        <v>302.99</v>
      </c>
      <c r="F59" s="386">
        <f>'T5 Gallon'!B59</f>
        <v>318.36599999999999</v>
      </c>
      <c r="G59" s="81">
        <f t="shared" si="2"/>
        <v>318.99</v>
      </c>
      <c r="H59" s="393">
        <f>'Petro 10W30Gallon'!B59</f>
        <v>273.19</v>
      </c>
      <c r="I59" s="393">
        <f t="shared" si="3"/>
        <v>273.99</v>
      </c>
      <c r="J59" s="81">
        <f>'T6'!B59</f>
        <v>314.14999999999998</v>
      </c>
      <c r="K59" s="81">
        <f t="shared" si="4"/>
        <v>314.99</v>
      </c>
      <c r="L59" s="412">
        <f>'T6 Gallon'!B59</f>
        <v>360.50199999999995</v>
      </c>
      <c r="M59" s="393">
        <f t="shared" si="5"/>
        <v>360.99</v>
      </c>
      <c r="N59" s="87">
        <f>'Delo 5W30'!B59</f>
        <v>333.35</v>
      </c>
      <c r="O59" s="80">
        <f t="shared" si="6"/>
        <v>333.99</v>
      </c>
      <c r="P59" s="193">
        <f>'Delo 5W30 Gallon'!B59</f>
        <v>383.62809523809528</v>
      </c>
      <c r="Q59" s="402">
        <f t="shared" si="7"/>
        <v>383.99</v>
      </c>
      <c r="R59" s="432">
        <f>'Petro 5W30'!B59</f>
        <v>295.19</v>
      </c>
      <c r="S59" s="428">
        <f t="shared" si="8"/>
        <v>295.99</v>
      </c>
      <c r="T59" s="430">
        <f>'Petro 5W30 Gallon'!B59</f>
        <v>329.66999999999996</v>
      </c>
      <c r="U59" s="431">
        <f t="shared" si="9"/>
        <v>329.99</v>
      </c>
      <c r="V59" s="437">
        <f>'15W40'!B59</f>
        <v>219.99</v>
      </c>
      <c r="W59" s="49">
        <f t="shared" si="10"/>
        <v>19</v>
      </c>
      <c r="X59" s="49">
        <f t="shared" si="11"/>
        <v>244.99</v>
      </c>
      <c r="Y59" s="470">
        <f t="shared" si="12"/>
        <v>255.99</v>
      </c>
      <c r="Z59" s="49">
        <f t="shared" si="13"/>
        <v>11</v>
      </c>
    </row>
    <row r="60" spans="1:26" x14ac:dyDescent="0.2">
      <c r="A60" s="99" t="s">
        <v>691</v>
      </c>
      <c r="B60" s="82">
        <f>'15W40 Gallon'!B60</f>
        <v>259.10000000000002</v>
      </c>
      <c r="C60" s="82">
        <f t="shared" si="0"/>
        <v>259.99</v>
      </c>
      <c r="D60" s="183">
        <f>'10W30 Gallon'!B60</f>
        <v>280.64677248677253</v>
      </c>
      <c r="E60" s="83">
        <f t="shared" si="1"/>
        <v>280.99</v>
      </c>
      <c r="F60" s="382">
        <f>'T5 Gallon'!B60</f>
        <v>289.31866666666667</v>
      </c>
      <c r="G60" s="84">
        <f t="shared" si="2"/>
        <v>289.99</v>
      </c>
      <c r="H60" s="393">
        <f>'Petro 10W30Gallon'!B60</f>
        <v>262.14</v>
      </c>
      <c r="I60" s="393">
        <f t="shared" si="3"/>
        <v>262.99</v>
      </c>
      <c r="J60" s="81">
        <f>'T6'!B60</f>
        <v>283.90999999999997</v>
      </c>
      <c r="K60" s="84">
        <f t="shared" si="4"/>
        <v>283.99</v>
      </c>
      <c r="L60" s="411">
        <f>'T6 Gallon'!B60</f>
        <v>323.44599999999997</v>
      </c>
      <c r="M60" s="396">
        <f t="shared" si="5"/>
        <v>323.99</v>
      </c>
      <c r="N60" s="83">
        <f>'Delo 5W30'!B60</f>
        <v>294.31</v>
      </c>
      <c r="O60" s="83">
        <f t="shared" si="6"/>
        <v>294.99</v>
      </c>
      <c r="P60" s="193">
        <f>'Delo 5W30 Gallon'!B60</f>
        <v>326.12730158730159</v>
      </c>
      <c r="Q60" s="402">
        <f t="shared" si="7"/>
        <v>326.99</v>
      </c>
      <c r="R60" s="432">
        <f>'Petro 5W30'!B60</f>
        <v>273.64</v>
      </c>
      <c r="S60" s="428">
        <f t="shared" si="8"/>
        <v>273.99</v>
      </c>
      <c r="T60" s="430">
        <f>'Petro 5W30 Gallon'!B60</f>
        <v>296.89999999999998</v>
      </c>
      <c r="U60" s="430">
        <f t="shared" si="9"/>
        <v>296.99</v>
      </c>
      <c r="V60" s="437">
        <f>'15W40'!B60</f>
        <v>229.99</v>
      </c>
      <c r="W60" s="49">
        <f t="shared" si="10"/>
        <v>10</v>
      </c>
      <c r="X60" s="49">
        <f>V60+15</f>
        <v>244.99</v>
      </c>
      <c r="Y60" s="470">
        <f t="shared" si="12"/>
        <v>233.99</v>
      </c>
      <c r="Z60" s="49">
        <f t="shared" si="13"/>
        <v>-11</v>
      </c>
    </row>
    <row r="61" spans="1:26" x14ac:dyDescent="0.2">
      <c r="A61" s="101"/>
      <c r="B61" s="85"/>
      <c r="C61" s="104"/>
      <c r="D61" s="187"/>
      <c r="E61" s="104"/>
      <c r="F61" s="187"/>
      <c r="G61" s="104"/>
      <c r="H61" s="103"/>
      <c r="I61" s="103"/>
      <c r="J61" s="103"/>
      <c r="K61" s="104"/>
      <c r="L61" s="187"/>
      <c r="M61" s="104"/>
      <c r="N61" s="85"/>
      <c r="O61" s="104"/>
      <c r="P61" s="187"/>
      <c r="Q61" s="104"/>
      <c r="R61" s="62"/>
      <c r="S61" s="424"/>
      <c r="T61" s="55"/>
      <c r="U61" s="55"/>
      <c r="V61" s="437">
        <f>'15W40'!B61</f>
        <v>0</v>
      </c>
      <c r="W61" s="49"/>
      <c r="X61" s="49"/>
      <c r="Y61" s="470"/>
      <c r="Z61" s="49"/>
    </row>
    <row r="62" spans="1:26" x14ac:dyDescent="0.2">
      <c r="A62" s="100"/>
      <c r="B62" s="85"/>
      <c r="C62" s="104"/>
      <c r="D62" s="187"/>
      <c r="E62" s="104"/>
      <c r="F62" s="187"/>
      <c r="G62" s="104"/>
      <c r="H62" s="104"/>
      <c r="I62" s="104"/>
      <c r="J62" s="104"/>
      <c r="K62" s="104"/>
      <c r="L62" s="187"/>
      <c r="M62" s="104"/>
      <c r="N62" s="85"/>
      <c r="O62" s="104"/>
      <c r="P62" s="187"/>
      <c r="Q62" s="104"/>
      <c r="R62" s="62"/>
      <c r="S62" s="62"/>
      <c r="T62" s="55"/>
      <c r="U62" s="55"/>
      <c r="V62" s="437">
        <f>'15W40'!B62</f>
        <v>0</v>
      </c>
      <c r="W62" s="49"/>
      <c r="X62" s="49"/>
      <c r="Y62" s="470"/>
      <c r="Z62" s="49"/>
    </row>
    <row r="63" spans="1:26" x14ac:dyDescent="0.2">
      <c r="A63" s="101" t="s">
        <v>673</v>
      </c>
      <c r="B63" s="91">
        <f>'15W40 Gallon'!B63</f>
        <v>300.20999999999998</v>
      </c>
      <c r="C63" s="107">
        <f t="shared" si="0"/>
        <v>300.99</v>
      </c>
      <c r="D63" s="185">
        <f>'10W30 Gallon'!B63</f>
        <v>338.303544973545</v>
      </c>
      <c r="E63" s="95">
        <f t="shared" si="1"/>
        <v>338.99</v>
      </c>
      <c r="F63" s="383">
        <f>'T5 Gallon'!B63</f>
        <v>355.64733333333334</v>
      </c>
      <c r="G63" s="94">
        <f t="shared" si="2"/>
        <v>355.99</v>
      </c>
      <c r="H63" s="395">
        <f>'Petro 10W30Gallon'!B63</f>
        <v>301.29000000000002</v>
      </c>
      <c r="I63" s="395">
        <f t="shared" si="3"/>
        <v>301.99</v>
      </c>
      <c r="J63" s="93">
        <f>'T6'!B63</f>
        <v>344.83</v>
      </c>
      <c r="K63" s="94">
        <f t="shared" si="4"/>
        <v>344.99</v>
      </c>
      <c r="L63" s="410">
        <f>'T6 Gallon'!B63</f>
        <v>418.90199999999999</v>
      </c>
      <c r="M63" s="394">
        <f t="shared" si="5"/>
        <v>418.99</v>
      </c>
      <c r="N63" s="92">
        <f>'Delo 5W30'!B63</f>
        <v>365.63</v>
      </c>
      <c r="O63" s="95">
        <f t="shared" si="6"/>
        <v>365.99</v>
      </c>
      <c r="P63" s="196">
        <f>'Delo 5W30 Gallon'!B63</f>
        <v>424.26460317460317</v>
      </c>
      <c r="Q63" s="403">
        <f t="shared" si="7"/>
        <v>424.99</v>
      </c>
      <c r="R63" s="419">
        <f>'Petro 5W30'!B63</f>
        <v>324.29000000000002</v>
      </c>
      <c r="S63" s="419">
        <f t="shared" si="8"/>
        <v>324.99</v>
      </c>
      <c r="T63" s="422">
        <f>'Petro 5W30 Gallon'!B63</f>
        <v>365.81</v>
      </c>
      <c r="U63" s="422">
        <f t="shared" si="9"/>
        <v>365.99</v>
      </c>
      <c r="V63" s="437">
        <f>'15W40'!B63</f>
        <v>246.99</v>
      </c>
      <c r="W63" s="49">
        <f t="shared" si="10"/>
        <v>20</v>
      </c>
      <c r="X63" s="49">
        <f t="shared" si="11"/>
        <v>271.99</v>
      </c>
      <c r="Y63" s="470">
        <f t="shared" si="12"/>
        <v>284.99</v>
      </c>
      <c r="Z63" s="49">
        <f t="shared" si="13"/>
        <v>13</v>
      </c>
    </row>
    <row r="64" spans="1:26" x14ac:dyDescent="0.2">
      <c r="A64" s="100"/>
      <c r="B64" s="85"/>
      <c r="C64" s="103"/>
      <c r="D64" s="187"/>
      <c r="E64" s="103"/>
      <c r="F64" s="187"/>
      <c r="G64" s="103"/>
      <c r="H64" s="106"/>
      <c r="I64" s="103"/>
      <c r="J64" s="103"/>
      <c r="K64" s="103"/>
      <c r="L64" s="187"/>
      <c r="M64" s="103"/>
      <c r="N64" s="85"/>
      <c r="O64" s="103"/>
      <c r="P64" s="187"/>
      <c r="Q64" s="104"/>
      <c r="R64" s="62"/>
      <c r="S64" s="424"/>
      <c r="T64" s="55"/>
      <c r="U64" s="55"/>
      <c r="V64" s="437">
        <f>'15W40'!B64</f>
        <v>0</v>
      </c>
      <c r="W64" s="49"/>
      <c r="X64" s="49"/>
      <c r="Y64" s="470"/>
      <c r="Z64" s="49">
        <f t="shared" si="13"/>
        <v>0</v>
      </c>
    </row>
    <row r="65" spans="1:26" x14ac:dyDescent="0.2">
      <c r="A65" s="99" t="s">
        <v>674</v>
      </c>
      <c r="B65" s="82">
        <f>'15W40 Gallon'!B65</f>
        <v>546.61</v>
      </c>
      <c r="C65" s="79">
        <f t="shared" si="0"/>
        <v>546.99</v>
      </c>
      <c r="D65" s="183">
        <f>'10W30 Gallon'!B65</f>
        <v>599.77550264550268</v>
      </c>
      <c r="E65" s="80">
        <f t="shared" si="1"/>
        <v>599.99</v>
      </c>
      <c r="F65" s="382">
        <f>'T5 Gallon'!B65</f>
        <v>630.46066666666661</v>
      </c>
      <c r="G65" s="81">
        <f t="shared" si="2"/>
        <v>630.99</v>
      </c>
      <c r="H65" s="393">
        <f>'Petro 10W30Gallon'!B65</f>
        <v>534.29</v>
      </c>
      <c r="I65" s="393">
        <f t="shared" si="3"/>
        <v>534.99</v>
      </c>
      <c r="J65" s="81">
        <f>'T6'!B65</f>
        <v>603.63</v>
      </c>
      <c r="K65" s="81">
        <f t="shared" si="4"/>
        <v>603.99</v>
      </c>
      <c r="L65" s="411">
        <f>'T6 Gallon'!B65</f>
        <v>728.14200000000005</v>
      </c>
      <c r="M65" s="393">
        <f t="shared" si="5"/>
        <v>728.99</v>
      </c>
      <c r="N65" s="83">
        <f>'Delo 5W30'!B65</f>
        <v>640.42999999999995</v>
      </c>
      <c r="O65" s="80">
        <f t="shared" si="6"/>
        <v>640.99</v>
      </c>
      <c r="P65" s="193">
        <f>'Delo 5W30 Gallon'!B65</f>
        <v>737.62968253968245</v>
      </c>
      <c r="Q65" s="402">
        <f t="shared" si="7"/>
        <v>737.99</v>
      </c>
      <c r="R65" s="432">
        <f>'Petro 5W30'!B65</f>
        <v>567.29</v>
      </c>
      <c r="S65" s="428">
        <f t="shared" si="8"/>
        <v>567.99</v>
      </c>
      <c r="T65" s="430">
        <f>'Petro 5W30 Gallon'!B65</f>
        <v>634.20999999999992</v>
      </c>
      <c r="U65" s="430">
        <f t="shared" si="9"/>
        <v>634.99</v>
      </c>
      <c r="V65" s="437">
        <f>'15W40'!B65</f>
        <v>458.99</v>
      </c>
      <c r="W65" s="49">
        <f t="shared" si="10"/>
        <v>36</v>
      </c>
      <c r="X65" s="49">
        <f>V65+30</f>
        <v>488.99</v>
      </c>
      <c r="Y65" s="470">
        <f t="shared" si="12"/>
        <v>527.99</v>
      </c>
      <c r="Z65" s="49">
        <f t="shared" si="13"/>
        <v>39</v>
      </c>
    </row>
    <row r="66" spans="1:26" x14ac:dyDescent="0.2">
      <c r="A66" s="101" t="s">
        <v>675</v>
      </c>
      <c r="B66" s="96">
        <f>'15W40 Gallon'!B66</f>
        <v>467.61</v>
      </c>
      <c r="C66" s="107">
        <f t="shared" si="0"/>
        <v>467.99</v>
      </c>
      <c r="D66" s="188">
        <f>'10W30 Gallon'!B66</f>
        <v>520.77550264550268</v>
      </c>
      <c r="E66" s="95">
        <f t="shared" si="1"/>
        <v>520.99</v>
      </c>
      <c r="F66" s="385">
        <f>'T5 Gallon'!B66</f>
        <v>551.46066666666661</v>
      </c>
      <c r="G66" s="94">
        <f t="shared" si="2"/>
        <v>551.99</v>
      </c>
      <c r="H66" s="394">
        <f>'Petro 10W30Gallon'!B66</f>
        <v>455.29</v>
      </c>
      <c r="I66" s="394">
        <f t="shared" si="3"/>
        <v>455.99</v>
      </c>
      <c r="J66" s="94">
        <f>'T6'!B66</f>
        <v>524.63</v>
      </c>
      <c r="K66" s="94">
        <f t="shared" si="4"/>
        <v>524.99</v>
      </c>
      <c r="L66" s="409">
        <f>'T6 Gallon'!B66</f>
        <v>649.14200000000005</v>
      </c>
      <c r="M66" s="394">
        <f t="shared" si="5"/>
        <v>649.99</v>
      </c>
      <c r="N66" s="97">
        <f>'Delo 5W30'!B66</f>
        <v>561.43000000000006</v>
      </c>
      <c r="O66" s="95">
        <f t="shared" si="6"/>
        <v>561.99</v>
      </c>
      <c r="P66" s="195">
        <f>'Delo 5W30 Gallon'!B66</f>
        <v>658.62968253968256</v>
      </c>
      <c r="Q66" s="399">
        <f t="shared" si="7"/>
        <v>658.99</v>
      </c>
      <c r="R66" s="416">
        <f>'Petro 5W30'!B66</f>
        <v>488.29</v>
      </c>
      <c r="S66" s="418">
        <f t="shared" si="8"/>
        <v>488.99</v>
      </c>
      <c r="T66" s="423">
        <f>'Petro 5W30 Gallon'!B66</f>
        <v>555.21</v>
      </c>
      <c r="U66" s="423">
        <f t="shared" si="9"/>
        <v>555.99</v>
      </c>
      <c r="V66" s="437">
        <f>'15W40'!B66</f>
        <v>379.99</v>
      </c>
      <c r="W66" s="49">
        <f t="shared" si="10"/>
        <v>36</v>
      </c>
      <c r="X66" s="49">
        <f>V66+30</f>
        <v>409.99</v>
      </c>
      <c r="Y66" s="470">
        <f t="shared" si="12"/>
        <v>448.99</v>
      </c>
      <c r="Z66" s="49">
        <f t="shared" si="13"/>
        <v>39</v>
      </c>
    </row>
    <row r="67" spans="1:26" x14ac:dyDescent="0.2">
      <c r="A67" s="101" t="s">
        <v>676</v>
      </c>
      <c r="B67" s="91">
        <f>'15W40 Gallon'!B67</f>
        <v>280.27</v>
      </c>
      <c r="C67" s="107">
        <f t="shared" si="0"/>
        <v>280.99</v>
      </c>
      <c r="D67" s="185">
        <f>'10W30 Gallon'!B67</f>
        <v>317.35634920634925</v>
      </c>
      <c r="E67" s="95">
        <f t="shared" si="1"/>
        <v>317.99</v>
      </c>
      <c r="F67" s="383">
        <f>'T5 Gallon'!B67</f>
        <v>333.36599999999999</v>
      </c>
      <c r="G67" s="94">
        <f t="shared" si="2"/>
        <v>333.99</v>
      </c>
      <c r="H67" s="394">
        <f>'Petro 10W30Gallon'!B67</f>
        <v>283.19</v>
      </c>
      <c r="I67" s="394">
        <f t="shared" si="3"/>
        <v>283.99</v>
      </c>
      <c r="J67" s="94">
        <f>'T6'!B67</f>
        <v>324.14999999999998</v>
      </c>
      <c r="K67" s="94">
        <f t="shared" si="4"/>
        <v>324.99</v>
      </c>
      <c r="L67" s="410">
        <f>'T6 Gallon'!B67</f>
        <v>393.678</v>
      </c>
      <c r="M67" s="394">
        <f t="shared" si="5"/>
        <v>393.99</v>
      </c>
      <c r="N67" s="92">
        <f>'Delo 5W30'!B67</f>
        <v>343.35</v>
      </c>
      <c r="O67" s="95">
        <f t="shared" si="6"/>
        <v>343.99</v>
      </c>
      <c r="P67" s="196">
        <f>'Delo 5W30 Gallon'!B67</f>
        <v>398.62809523809528</v>
      </c>
      <c r="Q67" s="403">
        <f t="shared" si="7"/>
        <v>398.99</v>
      </c>
      <c r="R67" s="419">
        <f>'Petro 5W30'!B67</f>
        <v>305.19</v>
      </c>
      <c r="S67" s="418">
        <f t="shared" si="8"/>
        <v>305.99</v>
      </c>
      <c r="T67" s="422">
        <f>'Petro 5W30 Gallon'!B67</f>
        <v>344.66999999999996</v>
      </c>
      <c r="U67" s="422">
        <f t="shared" si="9"/>
        <v>344.99</v>
      </c>
      <c r="V67" s="437">
        <f>'15W40'!B67</f>
        <v>229.99</v>
      </c>
      <c r="W67" s="49">
        <f t="shared" si="10"/>
        <v>19</v>
      </c>
      <c r="X67" s="49">
        <f t="shared" si="11"/>
        <v>254.99</v>
      </c>
      <c r="Y67" s="470">
        <f t="shared" si="12"/>
        <v>265.99</v>
      </c>
      <c r="Z67" s="49">
        <f t="shared" si="13"/>
        <v>11</v>
      </c>
    </row>
    <row r="68" spans="1:26" x14ac:dyDescent="0.2">
      <c r="A68" s="100"/>
      <c r="B68" s="85"/>
      <c r="C68" s="103"/>
      <c r="D68" s="187"/>
      <c r="E68" s="103"/>
      <c r="F68" s="187"/>
      <c r="G68" s="103"/>
      <c r="H68" s="106"/>
      <c r="I68" s="103"/>
      <c r="J68" s="103"/>
      <c r="K68" s="103"/>
      <c r="L68" s="187"/>
      <c r="M68" s="103"/>
      <c r="N68" s="85"/>
      <c r="O68" s="103"/>
      <c r="P68" s="187"/>
      <c r="Q68" s="104"/>
      <c r="R68" s="62"/>
      <c r="S68" s="424"/>
      <c r="T68" s="55"/>
      <c r="U68" s="55"/>
      <c r="V68" s="437">
        <f>'15W40'!B68</f>
        <v>0</v>
      </c>
      <c r="W68" s="49"/>
      <c r="X68" s="49"/>
      <c r="Y68" s="470"/>
      <c r="Z68" s="49"/>
    </row>
    <row r="69" spans="1:26" x14ac:dyDescent="0.2">
      <c r="A69" s="99" t="s">
        <v>677</v>
      </c>
      <c r="B69" s="82">
        <f>'15W40 Gallon'!B69</f>
        <v>410.97</v>
      </c>
      <c r="C69" s="79">
        <f t="shared" si="0"/>
        <v>410.99</v>
      </c>
      <c r="D69" s="183">
        <f>'10W30 Gallon'!B69</f>
        <v>453.09232804232806</v>
      </c>
      <c r="E69" s="80">
        <f t="shared" si="1"/>
        <v>453.99</v>
      </c>
      <c r="F69" s="382">
        <f>'T5 Gallon'!B69</f>
        <v>475.77266666666662</v>
      </c>
      <c r="G69" s="81">
        <f t="shared" si="2"/>
        <v>475.99</v>
      </c>
      <c r="H69" s="393">
        <f>'Petro 10W30Gallon'!B69</f>
        <v>404.69</v>
      </c>
      <c r="I69" s="393">
        <f t="shared" si="3"/>
        <v>404.99</v>
      </c>
      <c r="J69" s="81">
        <f>'T6'!B69</f>
        <v>458.55</v>
      </c>
      <c r="K69" s="81">
        <f t="shared" si="4"/>
        <v>458.99</v>
      </c>
      <c r="L69" s="411">
        <f>'T6 Gallon'!B69</f>
        <v>550.798</v>
      </c>
      <c r="M69" s="393">
        <f t="shared" si="5"/>
        <v>550.99</v>
      </c>
      <c r="N69" s="83">
        <f>'Delo 5W30'!B69</f>
        <v>485.75</v>
      </c>
      <c r="O69" s="80">
        <f t="shared" si="6"/>
        <v>485.99</v>
      </c>
      <c r="P69" s="193">
        <f>'Delo 5W30 Gallon'!B69</f>
        <v>557.81063492063493</v>
      </c>
      <c r="Q69" s="402">
        <f t="shared" si="7"/>
        <v>557.99</v>
      </c>
      <c r="R69" s="432">
        <f>'Petro 5W30'!B69</f>
        <v>431.69</v>
      </c>
      <c r="S69" s="428">
        <f t="shared" si="8"/>
        <v>431.99</v>
      </c>
      <c r="T69" s="430">
        <f>'Petro 5W30 Gallon'!B69</f>
        <v>481.37</v>
      </c>
      <c r="U69" s="430">
        <f t="shared" si="9"/>
        <v>481.99</v>
      </c>
      <c r="V69" s="437">
        <f>'15W40'!B69</f>
        <v>345.99</v>
      </c>
      <c r="W69" s="49">
        <f t="shared" si="10"/>
        <v>27</v>
      </c>
      <c r="X69" s="49">
        <f t="shared" si="11"/>
        <v>370.99</v>
      </c>
      <c r="Y69" s="470">
        <f t="shared" si="12"/>
        <v>391.99</v>
      </c>
      <c r="Z69" s="49">
        <f t="shared" si="13"/>
        <v>21</v>
      </c>
    </row>
    <row r="70" spans="1:26" x14ac:dyDescent="0.2">
      <c r="A70" s="99" t="s">
        <v>678</v>
      </c>
      <c r="B70" s="86">
        <f>'15W40 Gallon'!B70</f>
        <v>461.73</v>
      </c>
      <c r="C70" s="79">
        <f t="shared" si="0"/>
        <v>461.99</v>
      </c>
      <c r="D70" s="189">
        <f>'10W30 Gallon'!B70</f>
        <v>512.88111111111118</v>
      </c>
      <c r="E70" s="80">
        <f t="shared" si="1"/>
        <v>512.99</v>
      </c>
      <c r="F70" s="386">
        <f>'T5 Gallon'!B70</f>
        <v>540.89799999999991</v>
      </c>
      <c r="G70" s="81">
        <f t="shared" si="2"/>
        <v>540.99</v>
      </c>
      <c r="H70" s="393">
        <f>'Petro 10W30Gallon'!B70</f>
        <v>453.09000000000003</v>
      </c>
      <c r="I70" s="393">
        <f t="shared" si="3"/>
        <v>453.99</v>
      </c>
      <c r="J70" s="81">
        <f>'T6'!B70</f>
        <v>517.27</v>
      </c>
      <c r="K70" s="81">
        <f t="shared" si="4"/>
        <v>517.99</v>
      </c>
      <c r="L70" s="412">
        <f>'T6 Gallon'!B70</f>
        <v>632.69399999999996</v>
      </c>
      <c r="M70" s="393">
        <f t="shared" si="5"/>
        <v>632.99</v>
      </c>
      <c r="N70" s="87">
        <f>'Delo 5W30'!B70</f>
        <v>550.87</v>
      </c>
      <c r="O70" s="80">
        <f t="shared" si="6"/>
        <v>550.99</v>
      </c>
      <c r="P70" s="194">
        <f>'Delo 5W30 Gallon'!B70</f>
        <v>641.35666666666668</v>
      </c>
      <c r="Q70" s="398">
        <f t="shared" si="7"/>
        <v>641.99</v>
      </c>
      <c r="R70" s="435">
        <f>'Petro 5W30'!B70</f>
        <v>484.09000000000003</v>
      </c>
      <c r="S70" s="428">
        <f t="shared" si="8"/>
        <v>484.99</v>
      </c>
      <c r="T70" s="431">
        <f>'Petro 5W30 Gallon'!B70</f>
        <v>546.93000000000006</v>
      </c>
      <c r="U70" s="431">
        <f t="shared" si="9"/>
        <v>546.99</v>
      </c>
      <c r="V70" s="437">
        <f>'15W40'!B70</f>
        <v>379.99</v>
      </c>
      <c r="W70" s="49">
        <f t="shared" si="10"/>
        <v>33</v>
      </c>
      <c r="X70" s="49">
        <f>V70+30</f>
        <v>409.99</v>
      </c>
      <c r="Y70" s="470">
        <f t="shared" si="12"/>
        <v>444.99</v>
      </c>
      <c r="Z70" s="49">
        <f t="shared" si="13"/>
        <v>35</v>
      </c>
    </row>
    <row r="71" spans="1:26" x14ac:dyDescent="0.2">
      <c r="A71" s="101" t="s">
        <v>679</v>
      </c>
      <c r="B71" s="91">
        <f>'15W40 Gallon'!B71</f>
        <v>526.43000000000006</v>
      </c>
      <c r="C71" s="107">
        <f t="shared" si="0"/>
        <v>526.99</v>
      </c>
      <c r="D71" s="185">
        <f>'10W30 Gallon'!B71</f>
        <v>587.61708994708999</v>
      </c>
      <c r="E71" s="95">
        <f t="shared" si="1"/>
        <v>587.99</v>
      </c>
      <c r="F71" s="383">
        <f>'T5 Gallon'!B71</f>
        <v>622.30466666666666</v>
      </c>
      <c r="G71" s="94">
        <f t="shared" si="2"/>
        <v>622.99</v>
      </c>
      <c r="H71" s="394">
        <f>'Petro 10W30Gallon'!B71</f>
        <v>513.58999999999992</v>
      </c>
      <c r="I71" s="394">
        <f t="shared" si="3"/>
        <v>513.99</v>
      </c>
      <c r="J71" s="94">
        <f>'T6'!B71</f>
        <v>590.66999999999996</v>
      </c>
      <c r="K71" s="94">
        <f t="shared" si="4"/>
        <v>590.99</v>
      </c>
      <c r="L71" s="410">
        <f>'T6 Gallon'!B71</f>
        <v>733.81399999999996</v>
      </c>
      <c r="M71" s="394">
        <f t="shared" si="5"/>
        <v>733.99</v>
      </c>
      <c r="N71" s="92">
        <f>'Delo 5W30'!B71</f>
        <v>632.27</v>
      </c>
      <c r="O71" s="95">
        <f t="shared" si="6"/>
        <v>632.99</v>
      </c>
      <c r="P71" s="196">
        <f>'Delo 5W30 Gallon'!B71</f>
        <v>744.53920634920632</v>
      </c>
      <c r="Q71" s="403">
        <f t="shared" si="7"/>
        <v>744.99</v>
      </c>
      <c r="R71" s="419">
        <f>'Petro 5W30'!B71</f>
        <v>549.59</v>
      </c>
      <c r="S71" s="418">
        <f t="shared" si="8"/>
        <v>549.99</v>
      </c>
      <c r="T71" s="422">
        <f>'Petro 5W30 Gallon'!B71</f>
        <v>627.63</v>
      </c>
      <c r="U71" s="422">
        <f t="shared" si="9"/>
        <v>627.99</v>
      </c>
      <c r="V71" s="437">
        <f>'15W40'!B71</f>
        <v>424.99</v>
      </c>
      <c r="W71" s="49">
        <f t="shared" ref="W71:W74" si="14">K71-S71</f>
        <v>41</v>
      </c>
      <c r="X71" s="49">
        <f>V71+35</f>
        <v>459.99</v>
      </c>
      <c r="Y71" s="470">
        <f t="shared" ref="Y71:Y74" si="15">S71-40</f>
        <v>509.99</v>
      </c>
      <c r="Z71" s="49">
        <f t="shared" ref="Z71:Z74" si="16">Y71-X71</f>
        <v>50</v>
      </c>
    </row>
    <row r="72" spans="1:26" x14ac:dyDescent="0.2">
      <c r="A72" s="101" t="s">
        <v>680</v>
      </c>
      <c r="B72" s="96">
        <f>'15W40 Gallon'!B72</f>
        <v>479.97</v>
      </c>
      <c r="C72" s="107">
        <f t="shared" si="0"/>
        <v>479.99</v>
      </c>
      <c r="D72" s="188">
        <f>'10W30 Gallon'!B72</f>
        <v>522.09232804232806</v>
      </c>
      <c r="E72" s="95">
        <f t="shared" si="1"/>
        <v>522.99</v>
      </c>
      <c r="F72" s="385">
        <f>'T5 Gallon'!B72</f>
        <v>544.77266666666662</v>
      </c>
      <c r="G72" s="94">
        <f t="shared" si="2"/>
        <v>544.99</v>
      </c>
      <c r="H72" s="394">
        <f>'Petro 10W30Gallon'!B72</f>
        <v>473.69</v>
      </c>
      <c r="I72" s="394">
        <f t="shared" ref="I72:I74" si="17">ROUNDUP(H72,0)-0.01</f>
        <v>473.99</v>
      </c>
      <c r="J72" s="94">
        <f>'T6'!B72</f>
        <v>527.54999999999995</v>
      </c>
      <c r="K72" s="94">
        <f t="shared" si="4"/>
        <v>527.99</v>
      </c>
      <c r="L72" s="409">
        <f>'T6 Gallon'!B72</f>
        <v>619.798</v>
      </c>
      <c r="M72" s="394">
        <f t="shared" si="5"/>
        <v>619.99</v>
      </c>
      <c r="N72" s="97">
        <f>'Delo 5W30'!B72</f>
        <v>554.75</v>
      </c>
      <c r="O72" s="95">
        <f t="shared" si="6"/>
        <v>554.99</v>
      </c>
      <c r="P72" s="195">
        <f>'Delo 5W30 Gallon'!B72</f>
        <v>626.81063492063493</v>
      </c>
      <c r="Q72" s="399">
        <f t="shared" si="7"/>
        <v>626.99</v>
      </c>
      <c r="R72" s="416">
        <f>'Petro 5W30'!B72</f>
        <v>500.69</v>
      </c>
      <c r="S72" s="418">
        <f t="shared" ref="S72:S74" si="18">ROUNDUP(R72,0)-0.01</f>
        <v>500.99</v>
      </c>
      <c r="T72" s="423">
        <f>'Petro 5W30 Gallon'!B72</f>
        <v>550.37</v>
      </c>
      <c r="U72" s="423">
        <f t="shared" ref="U72:U74" si="19">ROUNDUP(T72,0)-0.01</f>
        <v>550.99</v>
      </c>
      <c r="V72" s="437">
        <f>'15W40'!B72</f>
        <v>414.99</v>
      </c>
      <c r="W72" s="49">
        <f t="shared" si="14"/>
        <v>27</v>
      </c>
      <c r="X72" s="49">
        <f>V72+25</f>
        <v>439.99</v>
      </c>
      <c r="Y72" s="470">
        <f t="shared" si="15"/>
        <v>460.99</v>
      </c>
      <c r="Z72" s="49">
        <f t="shared" si="16"/>
        <v>21</v>
      </c>
    </row>
    <row r="73" spans="1:26" x14ac:dyDescent="0.2">
      <c r="A73" s="99" t="s">
        <v>681</v>
      </c>
      <c r="B73" s="82">
        <f>'15W40 Gallon'!B73</f>
        <v>531.73</v>
      </c>
      <c r="C73" s="79">
        <f t="shared" si="0"/>
        <v>531.99</v>
      </c>
      <c r="D73" s="183">
        <f>'10W30 Gallon'!B73</f>
        <v>582.88111111111118</v>
      </c>
      <c r="E73" s="80">
        <f t="shared" si="1"/>
        <v>582.99</v>
      </c>
      <c r="F73" s="382">
        <f>'T5 Gallon'!B73</f>
        <v>610.89799999999991</v>
      </c>
      <c r="G73" s="81">
        <f t="shared" si="2"/>
        <v>610.99</v>
      </c>
      <c r="H73" s="393">
        <f>'Petro 10W30Gallon'!B73</f>
        <v>523.09</v>
      </c>
      <c r="I73" s="393">
        <f t="shared" si="17"/>
        <v>523.99</v>
      </c>
      <c r="J73" s="81">
        <f>'T6'!B73</f>
        <v>587.27</v>
      </c>
      <c r="K73" s="81">
        <f t="shared" si="4"/>
        <v>587.99</v>
      </c>
      <c r="L73" s="411">
        <f>'T6 Gallon'!B73</f>
        <v>702.69399999999996</v>
      </c>
      <c r="M73" s="393">
        <f t="shared" si="5"/>
        <v>702.99</v>
      </c>
      <c r="N73" s="83">
        <f>'Delo 5W30'!B73</f>
        <v>620.87</v>
      </c>
      <c r="O73" s="80">
        <f t="shared" si="6"/>
        <v>620.99</v>
      </c>
      <c r="P73" s="193">
        <f>'Delo 5W30 Gallon'!B73</f>
        <v>711.35666666666668</v>
      </c>
      <c r="Q73" s="402">
        <f t="shared" si="7"/>
        <v>711.99</v>
      </c>
      <c r="R73" s="432">
        <f>'Petro 5W30'!B73</f>
        <v>554.09</v>
      </c>
      <c r="S73" s="428">
        <f t="shared" si="18"/>
        <v>554.99</v>
      </c>
      <c r="T73" s="430">
        <f>'Petro 5W30 Gallon'!B73</f>
        <v>616.93000000000006</v>
      </c>
      <c r="U73" s="430">
        <f t="shared" si="19"/>
        <v>616.99</v>
      </c>
      <c r="V73" s="437">
        <f>'15W40'!B73</f>
        <v>449.99</v>
      </c>
      <c r="W73" s="49">
        <f t="shared" si="14"/>
        <v>33</v>
      </c>
      <c r="X73" s="49">
        <f>V73+30</f>
        <v>479.99</v>
      </c>
      <c r="Y73" s="470">
        <f t="shared" si="15"/>
        <v>514.99</v>
      </c>
      <c r="Z73" s="49">
        <f t="shared" si="16"/>
        <v>35</v>
      </c>
    </row>
    <row r="74" spans="1:26" x14ac:dyDescent="0.2">
      <c r="A74" s="99" t="s">
        <v>682</v>
      </c>
      <c r="B74" s="82">
        <f>'15W40 Gallon'!B74</f>
        <v>594.42999999999995</v>
      </c>
      <c r="C74" s="82">
        <f t="shared" ref="C74" si="20">ROUNDUP(B74,0)-0.01</f>
        <v>594.99</v>
      </c>
      <c r="D74" s="183">
        <f>'10W30 Gallon'!B74</f>
        <v>655.61708994708999</v>
      </c>
      <c r="E74" s="83">
        <f t="shared" ref="E74" si="21">ROUNDUP(D74,0)-0.01</f>
        <v>655.99</v>
      </c>
      <c r="F74" s="382">
        <f>'T5 Gallon'!B74</f>
        <v>690.30466666666666</v>
      </c>
      <c r="G74" s="84">
        <f t="shared" ref="G74" si="22">ROUNDUP(F74,0)-0.01</f>
        <v>690.99</v>
      </c>
      <c r="H74" s="396">
        <f>'Petro 10W30Gallon'!B74</f>
        <v>556.59</v>
      </c>
      <c r="I74" s="396">
        <f t="shared" si="17"/>
        <v>556.99</v>
      </c>
      <c r="J74" s="84">
        <f>'T6'!B74</f>
        <v>658.67</v>
      </c>
      <c r="K74" s="84">
        <f t="shared" ref="K74" si="23">ROUNDUP(J74,0)-0.01</f>
        <v>658.99</v>
      </c>
      <c r="L74" s="411">
        <f>'T6 Gallon'!B74</f>
        <v>801.81399999999996</v>
      </c>
      <c r="M74" s="396">
        <f t="shared" ref="M74" si="24">ROUNDUP(L74,0)-0.01</f>
        <v>801.99</v>
      </c>
      <c r="N74" s="83">
        <f>'Delo 5W30'!B74</f>
        <v>700.27</v>
      </c>
      <c r="O74" s="83">
        <f t="shared" ref="O74" si="25">ROUNDUP(N74,0)-0.01</f>
        <v>700.99</v>
      </c>
      <c r="P74" s="193">
        <f>'Delo 5W30 Gallon'!B74</f>
        <v>812.53920634920632</v>
      </c>
      <c r="Q74" s="401">
        <f t="shared" ref="Q74" si="26">ROUNDUP(P74,0)-0.01</f>
        <v>812.99</v>
      </c>
      <c r="R74" s="436">
        <f>'Petro 5W30'!B74</f>
        <v>617.59</v>
      </c>
      <c r="S74" s="432">
        <f t="shared" si="18"/>
        <v>617.99</v>
      </c>
      <c r="T74" s="433">
        <f>'Petro 5W30 Gallon'!B74</f>
        <v>695.63</v>
      </c>
      <c r="U74" s="430">
        <f t="shared" si="19"/>
        <v>695.99</v>
      </c>
      <c r="V74" s="437">
        <f>'15W40'!B74</f>
        <v>492.99</v>
      </c>
      <c r="W74" s="49">
        <f t="shared" si="14"/>
        <v>41</v>
      </c>
      <c r="X74" s="49">
        <f>V74+35</f>
        <v>527.99</v>
      </c>
      <c r="Y74" s="470">
        <f t="shared" si="15"/>
        <v>577.99</v>
      </c>
      <c r="Z74" s="49">
        <f t="shared" si="16"/>
        <v>50</v>
      </c>
    </row>
    <row r="75" spans="1:26" ht="12.75" customHeight="1" x14ac:dyDescent="0.2">
      <c r="D75" s="50"/>
      <c r="F75" s="50"/>
      <c r="L75" s="50"/>
      <c r="P75" s="50"/>
    </row>
    <row r="76" spans="1:26" ht="12.75" customHeight="1" x14ac:dyDescent="0.2">
      <c r="D76" s="50"/>
      <c r="F76" s="50"/>
      <c r="L76" s="50"/>
      <c r="P76" s="50"/>
    </row>
    <row r="77" spans="1:26" ht="12.75" customHeight="1" x14ac:dyDescent="0.2">
      <c r="D77" s="50"/>
      <c r="F77" s="50"/>
      <c r="L77" s="50"/>
      <c r="P77" s="50"/>
    </row>
    <row r="78" spans="1:26" ht="12.75" customHeight="1" x14ac:dyDescent="0.2">
      <c r="D78" s="50"/>
      <c r="F78" s="50"/>
      <c r="L78" s="50"/>
      <c r="P78" s="50"/>
    </row>
    <row r="79" spans="1:26" ht="12.75" customHeight="1" x14ac:dyDescent="0.2">
      <c r="D79" s="50"/>
      <c r="F79" s="50"/>
      <c r="L79" s="50"/>
      <c r="P79" s="50"/>
    </row>
    <row r="80" spans="1:26" ht="12.75" customHeight="1" x14ac:dyDescent="0.2">
      <c r="D80" s="50"/>
      <c r="F80" s="50"/>
      <c r="L80" s="50"/>
      <c r="P80" s="50"/>
    </row>
    <row r="81" spans="4:16" ht="12.75" customHeight="1" x14ac:dyDescent="0.2">
      <c r="D81" s="50"/>
      <c r="F81" s="50"/>
      <c r="L81" s="50"/>
      <c r="P81" s="50"/>
    </row>
    <row r="82" spans="4:16" ht="12.75" customHeight="1" x14ac:dyDescent="0.2">
      <c r="D82" s="50"/>
      <c r="F82" s="50"/>
      <c r="L82" s="50"/>
      <c r="P82" s="50"/>
    </row>
    <row r="83" spans="4:16" ht="12.75" customHeight="1" x14ac:dyDescent="0.2">
      <c r="D83" s="50"/>
      <c r="P83" s="50"/>
    </row>
    <row r="84" spans="4:16" ht="12.75" customHeight="1" x14ac:dyDescent="0.2">
      <c r="D84" s="50"/>
      <c r="P84" s="50"/>
    </row>
    <row r="85" spans="4:16" ht="12.75" customHeight="1" x14ac:dyDescent="0.2">
      <c r="D85" s="50"/>
      <c r="P85" s="50"/>
    </row>
    <row r="86" spans="4:16" ht="12.75" customHeight="1" x14ac:dyDescent="0.2">
      <c r="D86" s="50"/>
      <c r="P86" s="50"/>
    </row>
    <row r="87" spans="4:16" ht="12.75" customHeight="1" x14ac:dyDescent="0.2">
      <c r="D87" s="50"/>
      <c r="P87" s="50"/>
    </row>
    <row r="88" spans="4:16" ht="12.75" customHeight="1" x14ac:dyDescent="0.2">
      <c r="D88" s="50"/>
      <c r="P88" s="50"/>
    </row>
    <row r="89" spans="4:16" ht="12.75" customHeight="1" x14ac:dyDescent="0.2">
      <c r="D89" s="50"/>
    </row>
  </sheetData>
  <pageMargins left="0.70866141732283505" right="0.70866141732283505" top="0.74803149606299202" bottom="0.74803149606299202" header="0.31496062992126" footer="0.31496062992126"/>
  <pageSetup scale="80" fitToHeight="0" orientation="landscape" r:id="rId1"/>
  <ignoredErrors>
    <ignoredError sqref="D40:G74 D39 F39:G39 K40:Q74 K38:Q38 K39:P39 J38:J74 J6:Q36 D38:G38 H6 H38:H74 R38:R74 T38:T74 T6:T36 R6:R36 H7:H36 D6:G36 X20 X45:X47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8"/>
  <sheetViews>
    <sheetView tabSelected="1" workbookViewId="0">
      <pane ySplit="4" topLeftCell="A5" activePane="bottomLeft" state="frozen"/>
      <selection pane="bottomLeft" activeCell="E33" sqref="E33"/>
    </sheetView>
  </sheetViews>
  <sheetFormatPr defaultColWidth="9.140625" defaultRowHeight="12.75" customHeight="1" x14ac:dyDescent="0.2"/>
  <cols>
    <col min="1" max="1" width="32.85546875" style="46" customWidth="1"/>
    <col min="2" max="2" width="7.5703125" style="46" hidden="1" customWidth="1"/>
    <col min="3" max="3" width="7" style="46" customWidth="1"/>
    <col min="4" max="4" width="7.5703125" style="46" customWidth="1"/>
    <col min="5" max="6" width="6.28515625" style="46" customWidth="1"/>
    <col min="7" max="7" width="6.28515625" style="46" hidden="1" customWidth="1"/>
    <col min="8" max="8" width="10.42578125" style="46" hidden="1" customWidth="1"/>
    <col min="9" max="9" width="6.28515625" style="46" customWidth="1"/>
    <col min="10" max="10" width="7.85546875" style="46" customWidth="1"/>
    <col min="11" max="11" width="7.42578125" style="46" customWidth="1"/>
    <col min="12" max="12" width="7.85546875" style="46" customWidth="1"/>
    <col min="13" max="13" width="12.7109375" style="46" customWidth="1"/>
    <col min="14" max="15" width="9.140625" style="46" customWidth="1"/>
    <col min="16" max="18" width="9.140625" style="46"/>
    <col min="19" max="19" width="24" style="46" customWidth="1"/>
    <col min="20" max="16384" width="9.140625" style="46"/>
  </cols>
  <sheetData>
    <row r="1" spans="1:26" ht="12.75" customHeight="1" x14ac:dyDescent="0.2">
      <c r="A1" s="46" t="s">
        <v>625</v>
      </c>
      <c r="E1" s="46">
        <v>4</v>
      </c>
    </row>
    <row r="2" spans="1:26" ht="12.75" customHeight="1" x14ac:dyDescent="0.2">
      <c r="C2" s="46" t="s">
        <v>1045</v>
      </c>
      <c r="F2" s="61" t="s">
        <v>630</v>
      </c>
      <c r="G2" s="46" t="s">
        <v>1148</v>
      </c>
      <c r="H2" s="61" t="s">
        <v>1145</v>
      </c>
      <c r="M2" s="46" t="s">
        <v>1153</v>
      </c>
      <c r="N2" s="46" t="s">
        <v>1045</v>
      </c>
    </row>
    <row r="3" spans="1:26" ht="12.75" customHeight="1" x14ac:dyDescent="0.2">
      <c r="A3" s="180" t="s">
        <v>1189</v>
      </c>
      <c r="C3" s="46" t="s">
        <v>707</v>
      </c>
      <c r="D3" s="46" t="s">
        <v>707</v>
      </c>
      <c r="E3" s="46" t="s">
        <v>686</v>
      </c>
      <c r="F3" s="61" t="s">
        <v>1146</v>
      </c>
      <c r="G3" s="46" t="s">
        <v>1149</v>
      </c>
      <c r="H3" s="61" t="s">
        <v>707</v>
      </c>
      <c r="I3" s="46" t="s">
        <v>628</v>
      </c>
      <c r="J3" s="46" t="s">
        <v>687</v>
      </c>
      <c r="K3" s="61" t="s">
        <v>628</v>
      </c>
      <c r="L3" s="61" t="s">
        <v>687</v>
      </c>
      <c r="M3" s="46" t="s">
        <v>1150</v>
      </c>
      <c r="N3" s="46" t="s">
        <v>1152</v>
      </c>
    </row>
    <row r="4" spans="1:26" ht="12.75" customHeight="1" x14ac:dyDescent="0.2">
      <c r="F4" s="61" t="s">
        <v>628</v>
      </c>
      <c r="G4" s="61"/>
      <c r="H4" s="61" t="s">
        <v>1146</v>
      </c>
      <c r="K4" s="61" t="s">
        <v>1147</v>
      </c>
      <c r="L4" s="61" t="s">
        <v>1147</v>
      </c>
      <c r="M4" s="46" t="s">
        <v>1151</v>
      </c>
    </row>
    <row r="5" spans="1:26" ht="12.75" customHeight="1" x14ac:dyDescent="0.2">
      <c r="M5" s="61"/>
    </row>
    <row r="6" spans="1:26" ht="12.75" customHeight="1" x14ac:dyDescent="0.2">
      <c r="A6" s="122" t="s">
        <v>708</v>
      </c>
      <c r="B6" s="123">
        <v>389.99</v>
      </c>
      <c r="C6" s="124">
        <f>C33</f>
        <v>25.99</v>
      </c>
      <c r="D6" s="123">
        <v>389.99</v>
      </c>
      <c r="E6" s="123">
        <v>16</v>
      </c>
      <c r="F6" s="124">
        <v>13.61</v>
      </c>
      <c r="G6" s="124">
        <v>11.5</v>
      </c>
      <c r="H6" s="124">
        <f>SUM(F6:G6)</f>
        <v>25.11</v>
      </c>
      <c r="I6" s="124">
        <f>E6*F6</f>
        <v>217.76</v>
      </c>
      <c r="J6" s="124">
        <f>D6-I6</f>
        <v>172.23000000000002</v>
      </c>
      <c r="K6" s="125">
        <f>I6/D6</f>
        <v>0.55837329162286209</v>
      </c>
      <c r="L6" s="126">
        <f>1-K6</f>
        <v>0.44162670837713791</v>
      </c>
      <c r="M6" s="130">
        <f>B6/E6</f>
        <v>24.374375000000001</v>
      </c>
      <c r="N6" s="50">
        <f>C33</f>
        <v>25.99</v>
      </c>
      <c r="O6" s="50">
        <f>N6-M6</f>
        <v>1.6156249999999979</v>
      </c>
      <c r="W6" s="46" t="s">
        <v>701</v>
      </c>
      <c r="X6" s="46" t="s">
        <v>1025</v>
      </c>
      <c r="Y6" s="46" t="s">
        <v>687</v>
      </c>
    </row>
    <row r="7" spans="1:26" ht="12.75" customHeight="1" x14ac:dyDescent="0.2">
      <c r="A7" s="300" t="s">
        <v>709</v>
      </c>
      <c r="B7" s="300">
        <v>549.99</v>
      </c>
      <c r="C7" s="306"/>
      <c r="D7" s="300">
        <v>549.99</v>
      </c>
      <c r="E7" s="300">
        <v>26</v>
      </c>
      <c r="F7" s="348">
        <v>13.61</v>
      </c>
      <c r="G7" s="353"/>
      <c r="H7" s="353"/>
      <c r="I7" s="301">
        <f>E7*F7</f>
        <v>353.86</v>
      </c>
      <c r="J7" s="301">
        <f>D7-I7</f>
        <v>196.13</v>
      </c>
      <c r="K7" s="302">
        <f>I7/D7</f>
        <v>0.64339351624574992</v>
      </c>
      <c r="L7" s="303">
        <f t="shared" ref="L7:L29" si="0">1-K7</f>
        <v>0.35660648375425008</v>
      </c>
      <c r="M7" s="130">
        <f t="shared" ref="M7:M8" si="1">B7/E7</f>
        <v>21.153461538461539</v>
      </c>
      <c r="O7" s="50"/>
      <c r="V7" s="46" t="s">
        <v>701</v>
      </c>
      <c r="W7" s="46" t="s">
        <v>628</v>
      </c>
      <c r="X7" s="46" t="s">
        <v>628</v>
      </c>
    </row>
    <row r="8" spans="1:26" ht="12.75" customHeight="1" x14ac:dyDescent="0.2">
      <c r="A8" s="122" t="s">
        <v>710</v>
      </c>
      <c r="B8" s="123">
        <v>659.99</v>
      </c>
      <c r="C8" s="124"/>
      <c r="D8" s="123">
        <v>659.99</v>
      </c>
      <c r="E8" s="123">
        <v>33</v>
      </c>
      <c r="F8" s="124">
        <v>13.61</v>
      </c>
      <c r="G8" s="124"/>
      <c r="H8" s="124"/>
      <c r="I8" s="124">
        <f>E8*F8</f>
        <v>449.13</v>
      </c>
      <c r="J8" s="124">
        <f>D8-I8</f>
        <v>210.86</v>
      </c>
      <c r="K8" s="125">
        <f>I8/D8</f>
        <v>0.6805103107622843</v>
      </c>
      <c r="L8" s="126">
        <f t="shared" si="0"/>
        <v>0.3194896892377157</v>
      </c>
      <c r="M8" s="130">
        <f t="shared" si="1"/>
        <v>19.99969696969697</v>
      </c>
      <c r="O8" s="50"/>
      <c r="S8" s="46" t="s">
        <v>1076</v>
      </c>
      <c r="T8" s="50">
        <f>Z8</f>
        <v>246</v>
      </c>
      <c r="V8" s="46">
        <v>10</v>
      </c>
      <c r="W8" s="50">
        <f>W15</f>
        <v>12.1</v>
      </c>
      <c r="X8" s="50">
        <f>V8*W8</f>
        <v>121</v>
      </c>
      <c r="Y8" s="46">
        <v>125</v>
      </c>
      <c r="Z8" s="50">
        <f>SUM(X8:Y8)</f>
        <v>246</v>
      </c>
    </row>
    <row r="9" spans="1:26" ht="12.75" customHeight="1" x14ac:dyDescent="0.2">
      <c r="A9" s="207"/>
      <c r="B9" s="208"/>
      <c r="C9" s="50"/>
      <c r="D9" s="208"/>
      <c r="E9" s="208"/>
      <c r="F9" s="209"/>
      <c r="G9" s="209"/>
      <c r="H9" s="209"/>
      <c r="I9" s="209"/>
      <c r="J9" s="209"/>
      <c r="K9" s="210"/>
      <c r="L9" s="211"/>
      <c r="M9" s="130"/>
      <c r="O9" s="50"/>
      <c r="S9" s="46" t="s">
        <v>1075</v>
      </c>
      <c r="T9" s="50">
        <f t="shared" ref="T9:T10" si="2">Z9</f>
        <v>227.65</v>
      </c>
      <c r="V9" s="46">
        <v>10</v>
      </c>
      <c r="W9" s="50">
        <f>W21</f>
        <v>10.265000000000001</v>
      </c>
      <c r="X9" s="50">
        <f t="shared" ref="X9:X10" si="3">V9*W9</f>
        <v>102.65</v>
      </c>
      <c r="Y9" s="46">
        <v>125</v>
      </c>
      <c r="Z9" s="50">
        <f t="shared" ref="Z9:Z10" si="4">SUM(X9:Y9)</f>
        <v>227.65</v>
      </c>
    </row>
    <row r="10" spans="1:26" ht="12.75" customHeight="1" x14ac:dyDescent="0.2">
      <c r="C10" s="50"/>
      <c r="F10" s="50"/>
      <c r="G10" s="50"/>
      <c r="H10" s="50"/>
      <c r="I10" s="50"/>
      <c r="J10" s="50"/>
      <c r="K10" s="57"/>
      <c r="L10" s="57"/>
      <c r="M10" s="130"/>
      <c r="O10" s="50"/>
      <c r="S10" s="46" t="s">
        <v>1077</v>
      </c>
      <c r="T10" s="50">
        <f t="shared" si="2"/>
        <v>200</v>
      </c>
      <c r="V10" s="46">
        <v>10</v>
      </c>
      <c r="W10" s="50">
        <f>W13</f>
        <v>7.5</v>
      </c>
      <c r="X10" s="50">
        <f t="shared" si="3"/>
        <v>75</v>
      </c>
      <c r="Y10" s="46">
        <v>125</v>
      </c>
      <c r="Z10" s="50">
        <f t="shared" si="4"/>
        <v>200</v>
      </c>
    </row>
    <row r="11" spans="1:26" ht="12.75" customHeight="1" x14ac:dyDescent="0.2">
      <c r="A11" s="309" t="s">
        <v>712</v>
      </c>
      <c r="B11" s="352">
        <v>164.99</v>
      </c>
      <c r="C11" s="124">
        <f>C34</f>
        <v>10.99</v>
      </c>
      <c r="D11" s="352">
        <v>175.99</v>
      </c>
      <c r="E11" s="123">
        <v>15</v>
      </c>
      <c r="F11" s="124">
        <f>'Oil Price'!C45</f>
        <v>5.92</v>
      </c>
      <c r="G11" s="124">
        <v>4.5</v>
      </c>
      <c r="H11" s="124">
        <f>SUM(F11:G11)</f>
        <v>10.42</v>
      </c>
      <c r="I11" s="124">
        <f>E11*F11</f>
        <v>88.8</v>
      </c>
      <c r="J11" s="124">
        <f>D11-I11</f>
        <v>87.190000000000012</v>
      </c>
      <c r="K11" s="125">
        <f>I11/D11</f>
        <v>0.50457412352974595</v>
      </c>
      <c r="L11" s="310">
        <f>1-K11</f>
        <v>0.49542587647025405</v>
      </c>
      <c r="M11" s="130">
        <f>B11/E11</f>
        <v>10.999333333333334</v>
      </c>
      <c r="N11" s="50">
        <f>C34</f>
        <v>10.99</v>
      </c>
      <c r="O11" s="50">
        <f t="shared" ref="O11:O29" si="5">N11-M11</f>
        <v>-9.3333333333340818E-3</v>
      </c>
    </row>
    <row r="12" spans="1:26" ht="12.75" customHeight="1" x14ac:dyDescent="0.2">
      <c r="A12" s="311" t="s">
        <v>711</v>
      </c>
      <c r="B12" s="298">
        <v>275.99</v>
      </c>
      <c r="C12" s="299"/>
      <c r="D12" s="298">
        <v>275.99</v>
      </c>
      <c r="E12" s="298">
        <v>28</v>
      </c>
      <c r="F12" s="299">
        <f>F11</f>
        <v>5.92</v>
      </c>
      <c r="G12" s="299"/>
      <c r="H12" s="299"/>
      <c r="I12" s="299">
        <f>E12*F12</f>
        <v>165.76</v>
      </c>
      <c r="J12" s="299">
        <f>D12-I12</f>
        <v>110.23000000000002</v>
      </c>
      <c r="K12" s="312">
        <f>I12/D12</f>
        <v>0.60060147106779227</v>
      </c>
      <c r="L12" s="313">
        <f t="shared" si="0"/>
        <v>0.39939852893220773</v>
      </c>
      <c r="M12" s="130">
        <f t="shared" ref="M12:M15" si="6">B12/E12</f>
        <v>9.8567857142857154</v>
      </c>
      <c r="O12" s="50"/>
    </row>
    <row r="13" spans="1:26" ht="12.75" customHeight="1" x14ac:dyDescent="0.25">
      <c r="A13" s="309" t="s">
        <v>715</v>
      </c>
      <c r="B13" s="123">
        <v>365.99</v>
      </c>
      <c r="C13" s="124"/>
      <c r="D13" s="123">
        <v>365.99</v>
      </c>
      <c r="E13" s="123">
        <f>E11+E12</f>
        <v>43</v>
      </c>
      <c r="F13" s="124">
        <f>F11</f>
        <v>5.92</v>
      </c>
      <c r="G13" s="124"/>
      <c r="H13" s="124"/>
      <c r="I13" s="124">
        <f>E13*F13</f>
        <v>254.56</v>
      </c>
      <c r="J13" s="124">
        <f>D13-I13</f>
        <v>111.43</v>
      </c>
      <c r="K13" s="125">
        <f>I13/D13</f>
        <v>0.69553812945708893</v>
      </c>
      <c r="L13" s="310">
        <f>1-K13</f>
        <v>0.30446187054291107</v>
      </c>
      <c r="M13" s="130">
        <f t="shared" si="6"/>
        <v>8.5113953488372101</v>
      </c>
      <c r="O13" s="50"/>
      <c r="S13" s="45" t="s">
        <v>609</v>
      </c>
      <c r="T13" s="8" t="s">
        <v>898</v>
      </c>
      <c r="W13" s="50">
        <f>'Price List'!C189</f>
        <v>7.5</v>
      </c>
    </row>
    <row r="14" spans="1:26" ht="12.75" customHeight="1" x14ac:dyDescent="0.25">
      <c r="A14" s="314" t="s">
        <v>719</v>
      </c>
      <c r="B14" s="315">
        <v>279.99</v>
      </c>
      <c r="C14" s="316"/>
      <c r="D14" s="315">
        <v>279.99</v>
      </c>
      <c r="E14" s="315">
        <f>E15+E11</f>
        <v>29</v>
      </c>
      <c r="F14" s="316">
        <f>F11</f>
        <v>5.92</v>
      </c>
      <c r="G14" s="316"/>
      <c r="H14" s="316"/>
      <c r="I14" s="316">
        <f>E14*F14</f>
        <v>171.68</v>
      </c>
      <c r="J14" s="316">
        <f>D14-I14</f>
        <v>108.31</v>
      </c>
      <c r="K14" s="317">
        <f>I14/D14</f>
        <v>0.61316475588413877</v>
      </c>
      <c r="L14" s="318">
        <f>1-K14</f>
        <v>0.38683524411586123</v>
      </c>
      <c r="M14" s="130">
        <f t="shared" si="6"/>
        <v>9.6548275862068973</v>
      </c>
      <c r="O14" s="50"/>
      <c r="S14" s="45" t="s">
        <v>610</v>
      </c>
      <c r="T14" s="8" t="s">
        <v>899</v>
      </c>
      <c r="W14" s="50">
        <f>'Price List'!C190</f>
        <v>9.9499999999999993</v>
      </c>
    </row>
    <row r="15" spans="1:26" ht="12.75" customHeight="1" x14ac:dyDescent="0.25">
      <c r="A15" s="309" t="s">
        <v>717</v>
      </c>
      <c r="B15" s="352">
        <v>165.99</v>
      </c>
      <c r="C15" s="124"/>
      <c r="D15" s="352">
        <v>175.99</v>
      </c>
      <c r="E15" s="123">
        <v>14</v>
      </c>
      <c r="F15" s="124">
        <f>F11</f>
        <v>5.92</v>
      </c>
      <c r="G15" s="124"/>
      <c r="H15" s="124"/>
      <c r="I15" s="124">
        <f>E15*F15</f>
        <v>82.88</v>
      </c>
      <c r="J15" s="124">
        <f>D15-I15</f>
        <v>93.110000000000014</v>
      </c>
      <c r="K15" s="125">
        <f>I15/D15</f>
        <v>0.47093584862776289</v>
      </c>
      <c r="L15" s="310">
        <f>1-K15</f>
        <v>0.52906415137223717</v>
      </c>
      <c r="M15" s="130">
        <f t="shared" si="6"/>
        <v>11.856428571428571</v>
      </c>
      <c r="O15" s="50"/>
      <c r="S15" s="45">
        <v>23539623</v>
      </c>
      <c r="T15" s="8" t="s">
        <v>900</v>
      </c>
      <c r="W15" s="50">
        <f>'Price List'!C191</f>
        <v>12.1</v>
      </c>
    </row>
    <row r="16" spans="1:26" ht="12.75" customHeight="1" x14ac:dyDescent="0.25">
      <c r="C16" s="50"/>
      <c r="F16" s="50"/>
      <c r="G16" s="50"/>
      <c r="H16" s="50"/>
      <c r="I16" s="50"/>
      <c r="J16" s="50"/>
      <c r="K16" s="57"/>
      <c r="L16" s="57"/>
      <c r="M16" s="130"/>
      <c r="O16" s="50"/>
      <c r="S16" s="45" t="s">
        <v>611</v>
      </c>
      <c r="T16" s="8" t="s">
        <v>901</v>
      </c>
      <c r="W16" s="50">
        <f>'Price List'!C192</f>
        <v>10.25</v>
      </c>
    </row>
    <row r="17" spans="1:23" ht="12.75" customHeight="1" x14ac:dyDescent="0.25">
      <c r="C17" s="50"/>
      <c r="F17" s="50"/>
      <c r="G17" s="50"/>
      <c r="H17" s="50"/>
      <c r="I17" s="50"/>
      <c r="J17" s="50"/>
      <c r="K17" s="57"/>
      <c r="L17" s="57"/>
      <c r="M17" s="130"/>
      <c r="O17" s="50"/>
      <c r="S17" s="45" t="s">
        <v>904</v>
      </c>
      <c r="T17" s="8" t="s">
        <v>902</v>
      </c>
      <c r="W17" s="50">
        <f>'Price List'!C193</f>
        <v>10.58</v>
      </c>
    </row>
    <row r="18" spans="1:23" ht="12.75" customHeight="1" x14ac:dyDescent="0.25">
      <c r="C18" s="50"/>
      <c r="F18" s="50"/>
      <c r="G18" s="50"/>
      <c r="H18" s="50"/>
      <c r="I18" s="50"/>
      <c r="J18" s="50"/>
      <c r="K18" s="57"/>
      <c r="L18" s="57"/>
      <c r="M18" s="130"/>
      <c r="O18" s="50"/>
      <c r="S18" s="45" t="s">
        <v>612</v>
      </c>
      <c r="T18" s="8" t="s">
        <v>903</v>
      </c>
      <c r="W18" s="50">
        <f>'Price List'!C194</f>
        <v>9.5</v>
      </c>
    </row>
    <row r="19" spans="1:23" ht="12.75" customHeight="1" x14ac:dyDescent="0.2">
      <c r="A19" s="213" t="s">
        <v>714</v>
      </c>
      <c r="B19" s="354">
        <v>229.99</v>
      </c>
      <c r="C19" s="349">
        <f>C35</f>
        <v>16.989999999999998</v>
      </c>
      <c r="D19" s="354">
        <v>255.99</v>
      </c>
      <c r="E19" s="214">
        <v>15</v>
      </c>
      <c r="F19" s="215">
        <f>'Oil Price'!C37</f>
        <v>10.88</v>
      </c>
      <c r="G19" s="215">
        <v>6</v>
      </c>
      <c r="H19" s="215">
        <f>SUM(F19:G19)</f>
        <v>16.880000000000003</v>
      </c>
      <c r="I19" s="215">
        <f>E19*F19</f>
        <v>163.20000000000002</v>
      </c>
      <c r="J19" s="215">
        <f>D19-I19</f>
        <v>92.789999999999992</v>
      </c>
      <c r="K19" s="216">
        <f>I19/D19</f>
        <v>0.63752490331653588</v>
      </c>
      <c r="L19" s="217">
        <f>1-K19</f>
        <v>0.36247509668346412</v>
      </c>
      <c r="M19" s="130">
        <f>B19/E19</f>
        <v>15.332666666666666</v>
      </c>
      <c r="N19" s="50">
        <f>C35</f>
        <v>16.989999999999998</v>
      </c>
      <c r="O19" s="50">
        <f t="shared" si="5"/>
        <v>1.657333333333332</v>
      </c>
    </row>
    <row r="20" spans="1:23" ht="12.75" customHeight="1" x14ac:dyDescent="0.2">
      <c r="A20" s="46" t="s">
        <v>713</v>
      </c>
      <c r="B20" s="46">
        <v>389.99</v>
      </c>
      <c r="C20" s="124"/>
      <c r="D20" s="46">
        <v>415.99</v>
      </c>
      <c r="E20" s="46">
        <v>28</v>
      </c>
      <c r="F20" s="50">
        <f>F19</f>
        <v>10.88</v>
      </c>
      <c r="G20" s="50"/>
      <c r="H20" s="50"/>
      <c r="I20" s="50">
        <f>E20*F20</f>
        <v>304.64000000000004</v>
      </c>
      <c r="J20" s="50">
        <f>D20-I20</f>
        <v>111.34999999999997</v>
      </c>
      <c r="K20" s="57">
        <f>I20/D20</f>
        <v>0.73232529628116072</v>
      </c>
      <c r="L20" s="126">
        <f t="shared" si="0"/>
        <v>0.26767470371883928</v>
      </c>
      <c r="M20" s="130">
        <f t="shared" ref="M20:M21" si="7">B20/E20</f>
        <v>13.928214285714287</v>
      </c>
      <c r="O20" s="50"/>
    </row>
    <row r="21" spans="1:23" ht="12.75" customHeight="1" x14ac:dyDescent="0.2">
      <c r="A21" s="218" t="s">
        <v>716</v>
      </c>
      <c r="B21" s="219">
        <v>584.99</v>
      </c>
      <c r="C21" s="350"/>
      <c r="D21" s="219">
        <v>625.99</v>
      </c>
      <c r="E21" s="219">
        <f>E19+E20</f>
        <v>43</v>
      </c>
      <c r="F21" s="220"/>
      <c r="G21" s="220"/>
      <c r="H21" s="220"/>
      <c r="I21" s="220">
        <f>I20+I24</f>
        <v>487.62000000000006</v>
      </c>
      <c r="J21" s="220">
        <f>D21-I21</f>
        <v>138.36999999999995</v>
      </c>
      <c r="K21" s="221">
        <f>I21/D21</f>
        <v>0.77895813032157069</v>
      </c>
      <c r="L21" s="222">
        <f>1-K21</f>
        <v>0.22104186967842931</v>
      </c>
      <c r="M21" s="130">
        <f t="shared" si="7"/>
        <v>13.604418604651164</v>
      </c>
      <c r="O21" s="50"/>
      <c r="S21" s="46" t="s">
        <v>1078</v>
      </c>
      <c r="W21" s="50">
        <f>(W14+W17)/2</f>
        <v>10.265000000000001</v>
      </c>
    </row>
    <row r="22" spans="1:23" ht="12.75" customHeight="1" x14ac:dyDescent="0.2">
      <c r="C22" s="209"/>
      <c r="F22" s="50"/>
      <c r="G22" s="50"/>
      <c r="H22" s="50"/>
      <c r="I22" s="50"/>
      <c r="J22" s="50"/>
      <c r="K22" s="57"/>
      <c r="L22" s="57"/>
      <c r="M22" s="130"/>
      <c r="O22" s="50"/>
    </row>
    <row r="23" spans="1:23" ht="12.75" customHeight="1" x14ac:dyDescent="0.2">
      <c r="C23" s="308"/>
      <c r="F23" s="50"/>
      <c r="G23" s="50"/>
      <c r="H23" s="50"/>
      <c r="I23" s="50"/>
      <c r="J23" s="50"/>
      <c r="K23" s="57"/>
      <c r="L23" s="57"/>
      <c r="M23" s="130"/>
      <c r="O23" s="50"/>
    </row>
    <row r="24" spans="1:23" ht="12.75" customHeight="1" x14ac:dyDescent="0.2">
      <c r="A24" s="304" t="s">
        <v>718</v>
      </c>
      <c r="B24" s="305">
        <v>259.99</v>
      </c>
      <c r="C24" s="306">
        <f>C36</f>
        <v>19.989999999999998</v>
      </c>
      <c r="D24" s="305">
        <v>275.99</v>
      </c>
      <c r="E24" s="305">
        <v>14</v>
      </c>
      <c r="F24" s="306">
        <f>'Oil Price'!C41</f>
        <v>13.07</v>
      </c>
      <c r="G24" s="306">
        <v>6.5</v>
      </c>
      <c r="H24" s="306">
        <f>SUM(F24:G24)</f>
        <v>19.57</v>
      </c>
      <c r="I24" s="306">
        <f>E24*F24</f>
        <v>182.98000000000002</v>
      </c>
      <c r="J24" s="306">
        <f>D24-I24</f>
        <v>93.009999999999991</v>
      </c>
      <c r="K24" s="307">
        <f>I24/D24</f>
        <v>0.66299503605203092</v>
      </c>
      <c r="L24" s="303">
        <f t="shared" si="0"/>
        <v>0.33700496394796908</v>
      </c>
      <c r="M24" s="130">
        <f>B24/E24</f>
        <v>18.570714285714285</v>
      </c>
      <c r="N24" s="50">
        <f>C36</f>
        <v>19.989999999999998</v>
      </c>
      <c r="O24" s="50">
        <f t="shared" si="5"/>
        <v>1.4192857142857136</v>
      </c>
    </row>
    <row r="25" spans="1:23" ht="12.75" customHeight="1" x14ac:dyDescent="0.2">
      <c r="A25" s="122" t="s">
        <v>720</v>
      </c>
      <c r="B25" s="352">
        <v>419.99</v>
      </c>
      <c r="C25" s="124"/>
      <c r="D25" s="123">
        <v>449.99</v>
      </c>
      <c r="E25" s="123">
        <f>E24+E19</f>
        <v>29</v>
      </c>
      <c r="F25" s="124"/>
      <c r="G25" s="124"/>
      <c r="H25" s="124"/>
      <c r="I25" s="351">
        <f>I24+I19</f>
        <v>346.18000000000006</v>
      </c>
      <c r="J25" s="351">
        <f>D25-I25</f>
        <v>103.80999999999995</v>
      </c>
      <c r="K25" s="125">
        <f>I25/D25</f>
        <v>0.76930598457743515</v>
      </c>
      <c r="L25" s="126">
        <f>1-K25</f>
        <v>0.23069401542256485</v>
      </c>
      <c r="M25" s="130">
        <f>B25/E25</f>
        <v>14.482413793103449</v>
      </c>
      <c r="O25" s="50"/>
    </row>
    <row r="26" spans="1:23" ht="12.75" customHeight="1" x14ac:dyDescent="0.2">
      <c r="C26" s="209"/>
      <c r="F26" s="50"/>
      <c r="G26" s="50"/>
      <c r="H26" s="50"/>
      <c r="I26" s="50"/>
      <c r="J26" s="50"/>
      <c r="K26" s="57"/>
      <c r="L26" s="57"/>
      <c r="M26" s="130"/>
      <c r="O26" s="50"/>
    </row>
    <row r="27" spans="1:23" ht="12.75" customHeight="1" x14ac:dyDescent="0.2">
      <c r="C27" s="50"/>
      <c r="F27" s="50"/>
      <c r="G27" s="50"/>
      <c r="H27" s="50"/>
      <c r="I27" s="50"/>
      <c r="J27" s="50"/>
      <c r="K27" s="57"/>
      <c r="L27" s="57"/>
      <c r="M27" s="130"/>
      <c r="O27" s="50"/>
    </row>
    <row r="28" spans="1:23" ht="12.75" customHeight="1" x14ac:dyDescent="0.2">
      <c r="A28" s="122" t="s">
        <v>721</v>
      </c>
      <c r="B28" s="123">
        <v>349.99</v>
      </c>
      <c r="C28" s="124">
        <f>C37</f>
        <v>24.99</v>
      </c>
      <c r="D28" s="123">
        <v>359.99</v>
      </c>
      <c r="E28" s="123">
        <v>14</v>
      </c>
      <c r="F28" s="124">
        <f>'Oil Price'!L53</f>
        <v>15.1149762832714</v>
      </c>
      <c r="G28" s="124">
        <v>9.5</v>
      </c>
      <c r="H28" s="124">
        <f>SUM(F28:G28)</f>
        <v>24.6149762832714</v>
      </c>
      <c r="I28" s="124">
        <f>E28*F28</f>
        <v>211.60966796579959</v>
      </c>
      <c r="J28" s="124">
        <f>D28-I28</f>
        <v>148.38033203420042</v>
      </c>
      <c r="K28" s="125">
        <f>I28/D28</f>
        <v>0.5878209615983766</v>
      </c>
      <c r="L28" s="126">
        <f t="shared" si="0"/>
        <v>0.4121790384016234</v>
      </c>
      <c r="M28" s="130">
        <f>I28/E28</f>
        <v>15.1149762832714</v>
      </c>
      <c r="N28" s="50">
        <f>C37</f>
        <v>24.99</v>
      </c>
      <c r="O28" s="50">
        <f t="shared" si="5"/>
        <v>9.8750237167285988</v>
      </c>
    </row>
    <row r="29" spans="1:23" ht="12.75" customHeight="1" x14ac:dyDescent="0.2">
      <c r="A29" s="122" t="s">
        <v>722</v>
      </c>
      <c r="B29" s="123">
        <v>349.99</v>
      </c>
      <c r="C29" s="124">
        <f>C38</f>
        <v>25.99</v>
      </c>
      <c r="D29" s="123">
        <v>359.99</v>
      </c>
      <c r="E29" s="123">
        <v>17</v>
      </c>
      <c r="F29" s="124">
        <f>'Oil Price'!L49</f>
        <v>11.826553672316386</v>
      </c>
      <c r="G29" s="124">
        <v>13.5</v>
      </c>
      <c r="H29" s="124">
        <f>SUM(F29:G29)</f>
        <v>25.326553672316386</v>
      </c>
      <c r="I29" s="124">
        <f>E29*F29</f>
        <v>201.05141242937856</v>
      </c>
      <c r="J29" s="124">
        <f>D29-I29</f>
        <v>158.93858757062145</v>
      </c>
      <c r="K29" s="125">
        <f>I29/D29</f>
        <v>0.55849165929436528</v>
      </c>
      <c r="L29" s="126">
        <f t="shared" si="0"/>
        <v>0.44150834070563472</v>
      </c>
      <c r="M29" s="130">
        <f>I29/E29</f>
        <v>11.826553672316386</v>
      </c>
      <c r="N29" s="50">
        <f>C38</f>
        <v>25.99</v>
      </c>
      <c r="O29" s="50">
        <f t="shared" si="5"/>
        <v>14.163446327683612</v>
      </c>
    </row>
    <row r="30" spans="1:23" ht="12.75" customHeight="1" x14ac:dyDescent="0.2">
      <c r="C30" s="323" t="s">
        <v>1045</v>
      </c>
      <c r="F30" s="50"/>
      <c r="G30" s="50"/>
      <c r="H30" s="50"/>
      <c r="I30" s="50"/>
      <c r="J30" s="50"/>
      <c r="K30" s="57"/>
      <c r="L30" s="57"/>
      <c r="M30" s="50"/>
    </row>
    <row r="31" spans="1:23" ht="12.75" customHeight="1" x14ac:dyDescent="0.2">
      <c r="C31" s="180" t="s">
        <v>707</v>
      </c>
    </row>
    <row r="33" spans="1:3" ht="12.75" customHeight="1" x14ac:dyDescent="0.2">
      <c r="A33" s="46" t="s">
        <v>1056</v>
      </c>
      <c r="C33" s="50">
        <f>ROUNDUP(H6,0)-0.01</f>
        <v>25.99</v>
      </c>
    </row>
    <row r="34" spans="1:3" ht="12.75" customHeight="1" x14ac:dyDescent="0.2">
      <c r="A34" s="46" t="s">
        <v>1057</v>
      </c>
      <c r="C34" s="50">
        <f>ROUNDUP(H11,0)-0.01</f>
        <v>10.99</v>
      </c>
    </row>
    <row r="35" spans="1:3" ht="12.75" customHeight="1" x14ac:dyDescent="0.2">
      <c r="A35" s="46" t="s">
        <v>1058</v>
      </c>
      <c r="C35" s="50">
        <f>ROUNDUP(H19,0)-0.01</f>
        <v>16.989999999999998</v>
      </c>
    </row>
    <row r="36" spans="1:3" ht="12.75" customHeight="1" x14ac:dyDescent="0.2">
      <c r="A36" s="46" t="s">
        <v>1059</v>
      </c>
      <c r="C36" s="50">
        <f>ROUNDUP(H24,0)-0.01</f>
        <v>19.989999999999998</v>
      </c>
    </row>
    <row r="37" spans="1:3" ht="12.75" customHeight="1" x14ac:dyDescent="0.2">
      <c r="A37" s="46" t="s">
        <v>1060</v>
      </c>
      <c r="C37" s="50">
        <f>ROUNDUP(H28,0)-0.01</f>
        <v>24.99</v>
      </c>
    </row>
    <row r="38" spans="1:3" ht="12.75" customHeight="1" x14ac:dyDescent="0.2">
      <c r="A38" s="46" t="s">
        <v>1061</v>
      </c>
      <c r="C38" s="50">
        <f>ROUNDUP(H29,0)-0.01</f>
        <v>25.99</v>
      </c>
    </row>
  </sheetData>
  <pageMargins left="0.7" right="0.7" top="0.75" bottom="0.75" header="0.3" footer="0.3"/>
  <pageSetup paperSize="9" orientation="landscape" r:id="rId1"/>
  <ignoredErrors>
    <ignoredError sqref="H6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81"/>
  <sheetViews>
    <sheetView workbookViewId="0">
      <pane ySplit="2" topLeftCell="A21" activePane="bottomLeft" state="frozen"/>
      <selection pane="bottomLeft" activeCell="L41" sqref="L41"/>
    </sheetView>
  </sheetViews>
  <sheetFormatPr defaultColWidth="9.140625" defaultRowHeight="12.75" customHeight="1" x14ac:dyDescent="0.25"/>
  <cols>
    <col min="1" max="1" width="29" style="46" customWidth="1"/>
    <col min="2" max="2" width="8.42578125" style="46" customWidth="1"/>
    <col min="3" max="3" width="12.42578125" style="46" customWidth="1"/>
    <col min="4" max="4" width="11.42578125" style="46" customWidth="1"/>
    <col min="5" max="5" width="10.42578125" style="46" customWidth="1"/>
    <col min="6" max="6" width="14.140625" style="46" customWidth="1"/>
    <col min="7" max="7" width="11.140625" style="46" customWidth="1"/>
    <col min="8" max="8" width="11" style="46" customWidth="1"/>
    <col min="9" max="9" width="10.5703125" style="46" customWidth="1"/>
    <col min="10" max="10" width="13.140625" style="46" customWidth="1"/>
    <col min="11" max="11" width="10.42578125" style="46" customWidth="1"/>
    <col min="12" max="12" width="13.140625" style="46" customWidth="1"/>
    <col min="13" max="13" width="9.7109375" style="46" customWidth="1"/>
    <col min="14" max="14" width="9" style="46" customWidth="1"/>
    <col min="15" max="15" width="10" style="46" customWidth="1"/>
    <col min="16" max="17" width="7.28515625" style="46" customWidth="1"/>
    <col min="18" max="18" width="9.140625" style="46" customWidth="1"/>
    <col min="20" max="20" width="9.140625" style="46" customWidth="1"/>
    <col min="21" max="16384" width="9.140625" style="46"/>
  </cols>
  <sheetData>
    <row r="1" spans="1:20" ht="12.75" customHeight="1" x14ac:dyDescent="0.25">
      <c r="G1" s="61">
        <v>10</v>
      </c>
      <c r="M1" s="61">
        <v>30</v>
      </c>
      <c r="N1" s="61"/>
    </row>
    <row r="2" spans="1:20" ht="26.25" customHeight="1" x14ac:dyDescent="0.25">
      <c r="B2" s="131" t="s">
        <v>750</v>
      </c>
      <c r="C2" s="73" t="s">
        <v>754</v>
      </c>
      <c r="D2" s="128" t="s">
        <v>741</v>
      </c>
      <c r="E2" s="128" t="s">
        <v>742</v>
      </c>
      <c r="F2" s="128" t="s">
        <v>748</v>
      </c>
      <c r="G2" s="131" t="s">
        <v>751</v>
      </c>
      <c r="H2" s="131" t="s">
        <v>751</v>
      </c>
      <c r="I2" s="129" t="s">
        <v>743</v>
      </c>
      <c r="J2" s="129" t="s">
        <v>744</v>
      </c>
      <c r="K2" s="127" t="s">
        <v>776</v>
      </c>
      <c r="L2" s="127" t="s">
        <v>749</v>
      </c>
      <c r="M2" s="137" t="s">
        <v>753</v>
      </c>
      <c r="N2" s="137" t="s">
        <v>753</v>
      </c>
      <c r="O2" s="138" t="s">
        <v>765</v>
      </c>
      <c r="P2" s="138" t="s">
        <v>766</v>
      </c>
    </row>
    <row r="3" spans="1:20" ht="12.75" customHeight="1" x14ac:dyDescent="0.25">
      <c r="B3" s="132"/>
      <c r="G3" s="132"/>
      <c r="H3" s="132"/>
      <c r="M3" s="132"/>
      <c r="N3" s="132"/>
    </row>
    <row r="4" spans="1:20" ht="12.75" customHeight="1" thickBot="1" x14ac:dyDescent="0.3">
      <c r="A4" s="206" t="s">
        <v>723</v>
      </c>
      <c r="B4" s="134"/>
      <c r="C4" s="58">
        <v>500010048</v>
      </c>
      <c r="D4" s="130"/>
      <c r="E4" s="58">
        <v>550045135</v>
      </c>
      <c r="F4" s="130"/>
      <c r="G4" s="133"/>
      <c r="H4" s="133"/>
      <c r="I4" s="130"/>
      <c r="J4" s="130"/>
      <c r="K4" s="130"/>
      <c r="L4" s="130"/>
      <c r="M4" s="133"/>
      <c r="N4" s="133"/>
      <c r="O4" s="50"/>
      <c r="P4" s="50"/>
      <c r="Q4" s="50"/>
      <c r="R4" s="50"/>
      <c r="T4" s="50"/>
    </row>
    <row r="5" spans="1:20" ht="12.75" customHeight="1" thickBot="1" x14ac:dyDescent="0.25">
      <c r="A5" s="169" t="s">
        <v>767</v>
      </c>
      <c r="B5" s="170">
        <v>4.8899999999999997</v>
      </c>
      <c r="C5" s="171">
        <v>3.84</v>
      </c>
      <c r="D5" s="171">
        <v>76.45</v>
      </c>
      <c r="E5" s="171">
        <f>D5/3+O5</f>
        <v>26.333333333333336</v>
      </c>
      <c r="F5" s="171">
        <f>(D5/3)/5+(O5/5)</f>
        <v>5.2666666666666666</v>
      </c>
      <c r="G5" s="170">
        <f>E5+G1</f>
        <v>36.333333333333336</v>
      </c>
      <c r="H5" s="170">
        <f>ROUNDUP(G5,0)-0.01</f>
        <v>36.99</v>
      </c>
      <c r="I5" s="171"/>
      <c r="J5" s="171"/>
      <c r="K5" s="171"/>
      <c r="L5" s="171"/>
      <c r="M5" s="171"/>
      <c r="N5" s="171"/>
      <c r="O5" s="172">
        <v>0.85</v>
      </c>
      <c r="P5" s="173"/>
      <c r="Q5" s="50"/>
      <c r="R5" s="50" t="s">
        <v>871</v>
      </c>
      <c r="S5" s="46"/>
      <c r="T5" s="50"/>
    </row>
    <row r="6" spans="1:20" ht="12.75" customHeight="1" x14ac:dyDescent="0.2">
      <c r="B6" s="134"/>
      <c r="C6" s="130"/>
      <c r="D6" s="130"/>
      <c r="E6" s="130"/>
      <c r="F6" s="130"/>
      <c r="G6" s="134"/>
      <c r="H6" s="134"/>
      <c r="I6" s="130"/>
      <c r="J6" s="130"/>
      <c r="K6" s="130"/>
      <c r="L6" s="130"/>
      <c r="M6" s="133"/>
      <c r="N6" s="133"/>
      <c r="O6" s="50"/>
      <c r="P6" s="50"/>
      <c r="Q6" s="50"/>
      <c r="R6" s="143" t="s">
        <v>872</v>
      </c>
      <c r="S6" s="46"/>
      <c r="T6" s="50"/>
    </row>
    <row r="7" spans="1:20" ht="12.75" customHeight="1" x14ac:dyDescent="0.2">
      <c r="B7" s="134"/>
      <c r="D7" s="130"/>
      <c r="E7" s="130"/>
      <c r="F7" s="130"/>
      <c r="G7" s="134"/>
      <c r="H7" s="134"/>
      <c r="I7" s="130"/>
      <c r="J7" s="130"/>
      <c r="K7" s="130"/>
      <c r="L7" s="130"/>
      <c r="M7" s="133"/>
      <c r="N7" s="133"/>
      <c r="O7" s="50"/>
      <c r="P7" s="50"/>
      <c r="Q7" s="50"/>
      <c r="R7" s="50"/>
      <c r="S7" s="46"/>
      <c r="T7" s="50"/>
    </row>
    <row r="8" spans="1:20" ht="12.75" customHeight="1" thickBot="1" x14ac:dyDescent="0.3">
      <c r="B8" s="134"/>
      <c r="C8" s="58">
        <v>500010047</v>
      </c>
      <c r="D8" s="130"/>
      <c r="E8" s="58">
        <v>550045018</v>
      </c>
      <c r="F8" s="130"/>
      <c r="G8" s="134"/>
      <c r="H8" s="134"/>
      <c r="I8" s="130"/>
      <c r="J8" s="130"/>
      <c r="K8" s="130"/>
      <c r="L8" s="130"/>
      <c r="M8" s="133"/>
      <c r="N8" s="133"/>
      <c r="O8" s="50"/>
      <c r="P8" s="50"/>
      <c r="Q8" s="50"/>
      <c r="R8" s="50"/>
      <c r="T8" s="50"/>
    </row>
    <row r="9" spans="1:20" ht="12.75" customHeight="1" thickBot="1" x14ac:dyDescent="0.25">
      <c r="A9" s="169" t="s">
        <v>768</v>
      </c>
      <c r="B9" s="170">
        <v>5.19</v>
      </c>
      <c r="C9" s="171">
        <v>3.89</v>
      </c>
      <c r="D9" s="171">
        <v>95.41</v>
      </c>
      <c r="E9" s="171">
        <f>D9/3+O9</f>
        <v>32.653333333333329</v>
      </c>
      <c r="F9" s="171">
        <f>(D9/3)/5+(O9/5)</f>
        <v>6.530666666666666</v>
      </c>
      <c r="G9" s="170">
        <f>E9+G1</f>
        <v>42.653333333333329</v>
      </c>
      <c r="H9" s="170">
        <f t="shared" ref="H9:H33" si="0">ROUNDUP(G9,0)-0.01</f>
        <v>42.99</v>
      </c>
      <c r="I9" s="171"/>
      <c r="J9" s="171"/>
      <c r="K9" s="171"/>
      <c r="L9" s="171"/>
      <c r="M9" s="171"/>
      <c r="N9" s="171"/>
      <c r="O9" s="172">
        <v>0.85</v>
      </c>
      <c r="P9" s="173"/>
      <c r="Q9" s="50"/>
      <c r="R9" s="50"/>
      <c r="S9" s="46"/>
      <c r="T9" s="50"/>
    </row>
    <row r="10" spans="1:20" ht="12.75" customHeight="1" x14ac:dyDescent="0.2">
      <c r="B10" s="134"/>
      <c r="C10" s="130"/>
      <c r="D10" s="130"/>
      <c r="E10" s="130"/>
      <c r="F10" s="130"/>
      <c r="G10" s="134"/>
      <c r="H10" s="134"/>
      <c r="I10" s="130"/>
      <c r="J10" s="130"/>
      <c r="K10" s="130"/>
      <c r="L10" s="130"/>
      <c r="M10" s="133"/>
      <c r="N10" s="133"/>
      <c r="O10" s="50"/>
      <c r="P10" s="50"/>
      <c r="Q10" s="50"/>
      <c r="R10" s="50"/>
      <c r="S10" s="46"/>
      <c r="T10" s="50"/>
    </row>
    <row r="11" spans="1:20" ht="12.75" customHeight="1" x14ac:dyDescent="0.2">
      <c r="B11" s="134"/>
      <c r="C11" s="130"/>
      <c r="D11" s="130"/>
      <c r="E11" s="130"/>
      <c r="F11" s="130"/>
      <c r="G11" s="134"/>
      <c r="H11" s="134"/>
      <c r="I11" s="130"/>
      <c r="J11" s="130"/>
      <c r="K11" s="130"/>
      <c r="L11" s="130"/>
      <c r="M11" s="133"/>
      <c r="N11" s="133"/>
      <c r="O11" s="50"/>
      <c r="P11" s="50"/>
      <c r="Q11" s="50"/>
      <c r="R11" s="50"/>
      <c r="S11" s="46"/>
      <c r="T11" s="50"/>
    </row>
    <row r="12" spans="1:20" ht="12.75" customHeight="1" thickBot="1" x14ac:dyDescent="0.3">
      <c r="B12" s="134"/>
      <c r="C12" s="130"/>
      <c r="D12" s="130"/>
      <c r="E12" s="130"/>
      <c r="F12" s="130"/>
      <c r="G12" s="134"/>
      <c r="H12" s="134"/>
      <c r="I12" s="58">
        <v>550046249</v>
      </c>
      <c r="K12" s="142" t="s">
        <v>1243</v>
      </c>
      <c r="L12" s="130"/>
      <c r="M12" s="133"/>
      <c r="N12" s="133"/>
      <c r="O12" s="50"/>
      <c r="P12" s="50"/>
      <c r="Q12" s="50"/>
      <c r="R12" s="50"/>
      <c r="T12" s="50"/>
    </row>
    <row r="13" spans="1:20" ht="12.75" customHeight="1" thickBot="1" x14ac:dyDescent="0.25">
      <c r="A13" s="169" t="s">
        <v>769</v>
      </c>
      <c r="B13" s="170">
        <v>8.99</v>
      </c>
      <c r="C13" s="171">
        <v>5.99</v>
      </c>
      <c r="D13" s="171">
        <v>100</v>
      </c>
      <c r="E13" s="171">
        <f>D13/3+O13</f>
        <v>34.183333333333337</v>
      </c>
      <c r="F13" s="171">
        <f>(D13/3)/5+(O13/5)</f>
        <v>6.8366666666666669</v>
      </c>
      <c r="G13" s="170">
        <f>E13+G1</f>
        <v>44.183333333333337</v>
      </c>
      <c r="H13" s="170">
        <f t="shared" si="0"/>
        <v>44.99</v>
      </c>
      <c r="I13" s="171"/>
      <c r="J13" s="171">
        <v>6.24</v>
      </c>
      <c r="K13" s="171">
        <v>125.5</v>
      </c>
      <c r="L13" s="171">
        <f>K13/18.9</f>
        <v>6.6402116402116409</v>
      </c>
      <c r="M13" s="171"/>
      <c r="N13" s="171"/>
      <c r="O13" s="172">
        <v>0.85</v>
      </c>
      <c r="P13" s="173"/>
      <c r="Q13" s="50"/>
      <c r="R13" s="50"/>
      <c r="S13" s="46"/>
      <c r="T13" s="50"/>
    </row>
    <row r="14" spans="1:20" ht="12.75" customHeight="1" x14ac:dyDescent="0.2">
      <c r="B14" s="134"/>
      <c r="C14" s="130"/>
      <c r="D14" s="130"/>
      <c r="E14" s="130"/>
      <c r="F14" s="130"/>
      <c r="G14" s="134"/>
      <c r="H14" s="134"/>
      <c r="I14" s="130"/>
      <c r="J14" s="130"/>
      <c r="K14" s="130"/>
      <c r="L14" s="130"/>
      <c r="M14" s="133"/>
      <c r="N14" s="133"/>
      <c r="O14" s="50"/>
      <c r="P14" s="50"/>
      <c r="Q14" s="50"/>
      <c r="R14" s="50"/>
      <c r="S14" s="46"/>
      <c r="T14" s="50"/>
    </row>
    <row r="15" spans="1:20" ht="12.75" customHeight="1" x14ac:dyDescent="0.2">
      <c r="B15" s="134"/>
      <c r="C15" s="130"/>
      <c r="D15" s="130"/>
      <c r="E15" s="130"/>
      <c r="F15" s="130"/>
      <c r="G15" s="134"/>
      <c r="H15" s="134"/>
      <c r="I15" s="130"/>
      <c r="J15" s="130"/>
      <c r="K15" s="130"/>
      <c r="L15" s="130"/>
      <c r="M15" s="133"/>
      <c r="N15" s="133"/>
      <c r="O15" s="50"/>
      <c r="P15" s="50"/>
      <c r="Q15" s="50"/>
      <c r="R15" s="50"/>
      <c r="S15" s="46"/>
      <c r="T15" s="50"/>
    </row>
    <row r="16" spans="1:20" ht="12.75" customHeight="1" thickBot="1" x14ac:dyDescent="0.25">
      <c r="B16" s="134"/>
      <c r="C16" s="130"/>
      <c r="D16" s="130"/>
      <c r="E16" s="130"/>
      <c r="F16" s="130"/>
      <c r="G16" s="134"/>
      <c r="H16" s="134"/>
      <c r="I16" s="130"/>
      <c r="J16" s="130"/>
      <c r="K16" s="130"/>
      <c r="L16" s="130"/>
      <c r="M16" s="133"/>
      <c r="N16" s="133"/>
      <c r="O16" s="50"/>
      <c r="P16" s="50"/>
      <c r="Q16" s="50"/>
      <c r="R16" s="50"/>
      <c r="S16" s="46"/>
      <c r="T16" s="50"/>
    </row>
    <row r="17" spans="1:23" ht="12.75" customHeight="1" thickBot="1" x14ac:dyDescent="0.3">
      <c r="A17" s="174" t="s">
        <v>739</v>
      </c>
      <c r="B17" s="170"/>
      <c r="C17" s="171"/>
      <c r="D17" s="171">
        <v>120.93</v>
      </c>
      <c r="E17" s="171">
        <f>D17/3+O17</f>
        <v>41.31</v>
      </c>
      <c r="F17" s="171">
        <f>(D17/3)/5+(O17/5)</f>
        <v>8.2620000000000005</v>
      </c>
      <c r="G17" s="170">
        <f>E17+G1</f>
        <v>51.31</v>
      </c>
      <c r="H17" s="170">
        <f t="shared" si="0"/>
        <v>51.99</v>
      </c>
      <c r="I17" s="171"/>
      <c r="J17" s="171"/>
      <c r="K17" s="171"/>
      <c r="L17" s="171"/>
      <c r="M17" s="171"/>
      <c r="N17" s="171"/>
      <c r="O17" s="172">
        <v>1</v>
      </c>
      <c r="P17" s="173"/>
      <c r="Q17" s="50"/>
      <c r="R17" s="50"/>
      <c r="T17" s="50"/>
    </row>
    <row r="18" spans="1:23" ht="12.75" customHeight="1" x14ac:dyDescent="0.25">
      <c r="B18" s="134"/>
      <c r="C18" s="130"/>
      <c r="D18" s="130"/>
      <c r="E18" s="130"/>
      <c r="F18" s="130"/>
      <c r="G18" s="134"/>
      <c r="H18" s="134"/>
      <c r="I18" s="130"/>
      <c r="J18" s="130"/>
      <c r="K18" s="130"/>
      <c r="L18" s="130"/>
      <c r="M18" s="133"/>
      <c r="N18" s="133"/>
      <c r="O18" s="50"/>
      <c r="P18" s="50"/>
      <c r="Q18" s="50"/>
      <c r="R18" s="50"/>
      <c r="T18" s="50"/>
    </row>
    <row r="19" spans="1:23" ht="12.75" customHeight="1" x14ac:dyDescent="0.25">
      <c r="B19" s="134"/>
      <c r="C19" s="142" t="s">
        <v>755</v>
      </c>
      <c r="D19" s="130"/>
      <c r="E19" s="130"/>
      <c r="F19" s="130"/>
      <c r="G19" s="134"/>
      <c r="H19" s="134"/>
      <c r="I19" s="130"/>
      <c r="J19" s="130"/>
      <c r="K19" s="130"/>
      <c r="L19" s="130"/>
      <c r="M19" s="133"/>
      <c r="N19" s="133"/>
      <c r="O19" s="50"/>
      <c r="P19" s="50"/>
      <c r="Q19" s="50"/>
      <c r="R19" s="50"/>
      <c r="T19" s="50"/>
    </row>
    <row r="20" spans="1:23" ht="12.75" customHeight="1" thickBot="1" x14ac:dyDescent="0.3">
      <c r="A20" s="206" t="s">
        <v>703</v>
      </c>
      <c r="B20" s="134"/>
      <c r="C20" s="58" t="s">
        <v>1081</v>
      </c>
      <c r="D20" s="130"/>
      <c r="E20" s="130"/>
      <c r="F20" s="142" t="s">
        <v>777</v>
      </c>
      <c r="G20" s="134"/>
      <c r="H20" s="134"/>
      <c r="I20" s="130"/>
      <c r="J20" s="130"/>
      <c r="K20" s="130"/>
      <c r="L20" s="130"/>
      <c r="M20" s="133"/>
      <c r="N20" s="133"/>
      <c r="O20" s="50"/>
      <c r="P20" s="50"/>
      <c r="Q20" s="50"/>
      <c r="R20" s="50"/>
      <c r="T20" s="50"/>
      <c r="W20" s="70"/>
    </row>
    <row r="21" spans="1:23" ht="12.75" customHeight="1" thickBot="1" x14ac:dyDescent="0.25">
      <c r="A21" s="174" t="s">
        <v>1080</v>
      </c>
      <c r="B21" s="170">
        <v>4.8899999999999997</v>
      </c>
      <c r="C21" s="171">
        <v>4.3099999999999996</v>
      </c>
      <c r="D21" s="171">
        <v>68.150000000000006</v>
      </c>
      <c r="E21" s="171">
        <f t="shared" ref="E21:E33" si="1">D21/3+O21</f>
        <v>23.436666666666667</v>
      </c>
      <c r="F21" s="171">
        <f>(D21/3)/3.78+(O21/3.78)</f>
        <v>6.200176366843035</v>
      </c>
      <c r="G21" s="170">
        <f>E21+G1+O21</f>
        <v>34.156666666666666</v>
      </c>
      <c r="H21" s="170">
        <f t="shared" si="0"/>
        <v>34.99</v>
      </c>
      <c r="I21" s="171"/>
      <c r="J21" s="171"/>
      <c r="K21" s="171"/>
      <c r="L21" s="171"/>
      <c r="M21" s="171"/>
      <c r="N21" s="171"/>
      <c r="O21" s="172">
        <v>0.72</v>
      </c>
      <c r="P21" s="173"/>
      <c r="Q21" s="50"/>
      <c r="R21" s="50"/>
      <c r="S21" s="46"/>
      <c r="T21" s="50"/>
    </row>
    <row r="22" spans="1:23" ht="12.75" customHeight="1" x14ac:dyDescent="0.2">
      <c r="B22" s="134"/>
      <c r="C22" s="130"/>
      <c r="D22" s="130"/>
      <c r="E22" s="130"/>
      <c r="F22" s="130"/>
      <c r="G22" s="134"/>
      <c r="H22" s="134"/>
      <c r="I22" s="130"/>
      <c r="J22" s="130"/>
      <c r="K22" s="130"/>
      <c r="L22" s="130"/>
      <c r="M22" s="133"/>
      <c r="N22" s="133"/>
      <c r="O22" s="50"/>
      <c r="P22" s="50"/>
      <c r="Q22" s="50"/>
      <c r="R22" s="50"/>
      <c r="S22" s="46"/>
      <c r="T22" s="50"/>
    </row>
    <row r="23" spans="1:23" ht="12.75" customHeight="1" x14ac:dyDescent="0.2">
      <c r="B23" s="134"/>
      <c r="C23" s="130"/>
      <c r="D23" s="130"/>
      <c r="E23" s="130"/>
      <c r="F23" s="130"/>
      <c r="G23" s="134"/>
      <c r="H23" s="134"/>
      <c r="I23" s="130"/>
      <c r="J23" s="130"/>
      <c r="K23" s="130"/>
      <c r="L23" s="130"/>
      <c r="M23" s="133"/>
      <c r="N23" s="133"/>
      <c r="O23" s="50"/>
      <c r="P23" s="50"/>
      <c r="Q23" s="50"/>
      <c r="R23" s="50"/>
      <c r="S23" s="46"/>
      <c r="T23" s="50"/>
    </row>
    <row r="24" spans="1:23" ht="12.75" customHeight="1" thickBot="1" x14ac:dyDescent="0.25">
      <c r="B24" s="134"/>
      <c r="C24" s="142" t="s">
        <v>778</v>
      </c>
      <c r="D24" s="130"/>
      <c r="E24" s="130"/>
      <c r="F24" s="142" t="s">
        <v>779</v>
      </c>
      <c r="G24" s="134"/>
      <c r="H24" s="134"/>
      <c r="I24" s="130"/>
      <c r="J24" s="130"/>
      <c r="K24" s="130"/>
      <c r="L24" s="130"/>
      <c r="M24" s="133"/>
      <c r="N24" s="133"/>
      <c r="O24" s="50"/>
      <c r="P24" s="50"/>
      <c r="Q24" s="50"/>
      <c r="R24" s="50"/>
      <c r="S24" s="46"/>
      <c r="T24" s="50"/>
    </row>
    <row r="25" spans="1:23" ht="12.75" customHeight="1" thickBot="1" x14ac:dyDescent="0.25">
      <c r="A25" s="169" t="s">
        <v>780</v>
      </c>
      <c r="B25" s="170">
        <v>5.19</v>
      </c>
      <c r="C25" s="171">
        <v>4.41</v>
      </c>
      <c r="D25" s="171">
        <v>70.23</v>
      </c>
      <c r="E25" s="171">
        <f t="shared" si="1"/>
        <v>24.13</v>
      </c>
      <c r="F25" s="171">
        <f>(D25/3)/3.78+(O25/3.78)</f>
        <v>6.3835978835978846</v>
      </c>
      <c r="G25" s="170">
        <f>E25+G1+O25</f>
        <v>34.849999999999994</v>
      </c>
      <c r="H25" s="170">
        <f t="shared" si="0"/>
        <v>34.99</v>
      </c>
      <c r="I25" s="171"/>
      <c r="J25" s="171"/>
      <c r="K25" s="171">
        <v>90.72</v>
      </c>
      <c r="L25" s="171"/>
      <c r="M25" s="171">
        <f>K25+O25+M1</f>
        <v>121.44</v>
      </c>
      <c r="N25" s="171"/>
      <c r="O25" s="172">
        <v>0.72</v>
      </c>
      <c r="P25" s="173"/>
      <c r="Q25" s="50"/>
      <c r="R25" s="50"/>
      <c r="S25" s="46"/>
      <c r="T25" s="50"/>
    </row>
    <row r="26" spans="1:23" ht="12.75" customHeight="1" x14ac:dyDescent="0.2">
      <c r="B26" s="134"/>
      <c r="C26" s="139"/>
      <c r="D26" s="130"/>
      <c r="E26" s="130"/>
      <c r="F26" s="130"/>
      <c r="G26" s="134"/>
      <c r="H26" s="134"/>
      <c r="I26" s="130"/>
      <c r="J26" s="130"/>
      <c r="K26" s="130"/>
      <c r="L26" s="130"/>
      <c r="M26" s="133"/>
      <c r="N26" s="133"/>
      <c r="O26" s="50"/>
      <c r="P26" s="50"/>
      <c r="Q26" s="50"/>
      <c r="R26" s="50"/>
      <c r="S26" s="46"/>
      <c r="T26" s="50"/>
    </row>
    <row r="27" spans="1:23" ht="12.75" customHeight="1" x14ac:dyDescent="0.2">
      <c r="B27" s="134"/>
      <c r="C27" s="139"/>
      <c r="D27" s="130"/>
      <c r="E27" s="130"/>
      <c r="F27" s="130"/>
      <c r="G27" s="134"/>
      <c r="H27" s="134"/>
      <c r="I27" s="130"/>
      <c r="J27" s="130"/>
      <c r="K27" s="130"/>
      <c r="L27" s="130"/>
      <c r="M27" s="133"/>
      <c r="N27" s="133"/>
      <c r="O27" s="50"/>
      <c r="P27" s="50"/>
      <c r="Q27" s="50"/>
      <c r="R27" s="50"/>
      <c r="S27" s="46"/>
      <c r="T27" s="50"/>
    </row>
    <row r="28" spans="1:23" ht="12.75" customHeight="1" thickBot="1" x14ac:dyDescent="0.25">
      <c r="B28" s="134"/>
      <c r="C28" s="142" t="s">
        <v>781</v>
      </c>
      <c r="D28" s="130"/>
      <c r="E28" s="130"/>
      <c r="F28" s="142" t="s">
        <v>784</v>
      </c>
      <c r="G28" s="134"/>
      <c r="H28" s="134"/>
      <c r="I28" s="142" t="s">
        <v>782</v>
      </c>
      <c r="J28" s="130"/>
      <c r="K28" s="142" t="s">
        <v>783</v>
      </c>
      <c r="L28" s="130"/>
      <c r="M28" s="133"/>
      <c r="N28" s="133"/>
      <c r="O28" s="50"/>
      <c r="P28" s="50"/>
      <c r="Q28" s="50"/>
      <c r="R28" s="50"/>
      <c r="S28" s="46"/>
      <c r="T28" s="50"/>
    </row>
    <row r="29" spans="1:23" ht="12.75" customHeight="1" thickBot="1" x14ac:dyDescent="0.25">
      <c r="A29" s="169" t="s">
        <v>795</v>
      </c>
      <c r="B29" s="170">
        <v>8.99</v>
      </c>
      <c r="C29" s="171">
        <v>6.79</v>
      </c>
      <c r="D29" s="171">
        <v>93.87</v>
      </c>
      <c r="E29" s="171">
        <f t="shared" si="1"/>
        <v>32.010000000000005</v>
      </c>
      <c r="F29" s="171">
        <f>(D29/3)/3.78+(O29/3.78)</f>
        <v>8.4682539682539684</v>
      </c>
      <c r="G29" s="170">
        <f>E29+G1</f>
        <v>42.010000000000005</v>
      </c>
      <c r="H29" s="170">
        <f t="shared" si="0"/>
        <v>42.99</v>
      </c>
      <c r="I29" s="171">
        <v>1843.23</v>
      </c>
      <c r="J29" s="171">
        <f>I29/208</f>
        <v>8.8616826923076921</v>
      </c>
      <c r="K29" s="171">
        <v>166.35</v>
      </c>
      <c r="L29" s="171">
        <f>K29/18.7+(O29/18.7)</f>
        <v>8.9342245989304825</v>
      </c>
      <c r="M29" s="171">
        <f>K29+O29+M1</f>
        <v>197.07</v>
      </c>
      <c r="N29" s="171"/>
      <c r="O29" s="172">
        <v>0.72</v>
      </c>
      <c r="P29" s="173"/>
      <c r="Q29" s="50"/>
      <c r="R29" s="50"/>
      <c r="S29" s="46"/>
      <c r="T29" s="50"/>
    </row>
    <row r="30" spans="1:23" ht="12.75" customHeight="1" x14ac:dyDescent="0.2">
      <c r="B30" s="134"/>
      <c r="C30" s="130"/>
      <c r="D30" s="130"/>
      <c r="E30" s="130"/>
      <c r="F30" s="130"/>
      <c r="G30" s="134"/>
      <c r="H30" s="134"/>
      <c r="I30" s="130"/>
      <c r="J30" s="130"/>
      <c r="K30" s="130"/>
      <c r="L30" s="130"/>
      <c r="M30" s="133"/>
      <c r="N30" s="133"/>
      <c r="O30" s="50"/>
      <c r="P30" s="50"/>
      <c r="Q30" s="50"/>
      <c r="R30" s="50"/>
      <c r="S30" s="46"/>
      <c r="T30" s="50"/>
    </row>
    <row r="31" spans="1:23" ht="12.75" customHeight="1" x14ac:dyDescent="0.2">
      <c r="B31" s="134"/>
      <c r="C31" s="130"/>
      <c r="D31" s="130"/>
      <c r="E31" s="130"/>
      <c r="F31" s="130"/>
      <c r="G31" s="134"/>
      <c r="H31" s="134"/>
      <c r="I31" s="130"/>
      <c r="J31" s="130"/>
      <c r="K31" s="130"/>
      <c r="L31" s="130"/>
      <c r="M31" s="133"/>
      <c r="N31" s="133"/>
      <c r="O31" s="50"/>
      <c r="P31" s="50"/>
      <c r="Q31" s="50"/>
      <c r="R31" s="50"/>
      <c r="S31" s="46"/>
      <c r="T31" s="50"/>
    </row>
    <row r="32" spans="1:23" ht="12.75" customHeight="1" thickBot="1" x14ac:dyDescent="0.25">
      <c r="B32" s="134"/>
      <c r="C32" s="130"/>
      <c r="D32" s="130"/>
      <c r="E32" s="130"/>
      <c r="F32" s="142" t="s">
        <v>785</v>
      </c>
      <c r="G32" s="134"/>
      <c r="H32" s="134"/>
      <c r="I32" s="130"/>
      <c r="J32" s="130"/>
      <c r="K32" s="130"/>
      <c r="L32" s="130"/>
      <c r="M32" s="133"/>
      <c r="N32" s="133"/>
      <c r="O32" s="50"/>
      <c r="P32" s="50"/>
      <c r="Q32" s="50"/>
      <c r="R32" s="50"/>
      <c r="S32" s="46"/>
      <c r="T32" s="50"/>
    </row>
    <row r="33" spans="1:19" ht="12.75" customHeight="1" thickBot="1" x14ac:dyDescent="0.25">
      <c r="A33" s="169" t="s">
        <v>796</v>
      </c>
      <c r="B33" s="175"/>
      <c r="C33" s="176"/>
      <c r="D33" s="171">
        <v>105.28</v>
      </c>
      <c r="E33" s="171">
        <f t="shared" si="1"/>
        <v>35.813333333333333</v>
      </c>
      <c r="F33" s="171">
        <f>(D33/3)/3.78+(O33/3.78)</f>
        <v>9.4744268077601408</v>
      </c>
      <c r="G33" s="170">
        <f>E33+G1</f>
        <v>45.813333333333333</v>
      </c>
      <c r="H33" s="170">
        <f t="shared" si="0"/>
        <v>45.99</v>
      </c>
      <c r="I33" s="176"/>
      <c r="J33" s="171"/>
      <c r="K33" s="176"/>
      <c r="L33" s="171"/>
      <c r="M33" s="171"/>
      <c r="N33" s="171"/>
      <c r="O33" s="172">
        <v>0.72</v>
      </c>
      <c r="P33" s="173"/>
      <c r="Q33" s="50"/>
      <c r="R33" s="50"/>
      <c r="S33" s="46"/>
    </row>
    <row r="34" spans="1:19" ht="12.75" customHeight="1" x14ac:dyDescent="0.2">
      <c r="B34" s="136"/>
      <c r="C34" s="61"/>
      <c r="D34" s="61"/>
      <c r="E34" s="130"/>
      <c r="F34" s="61"/>
      <c r="G34" s="133"/>
      <c r="H34" s="135"/>
      <c r="I34" s="61"/>
      <c r="J34" s="61"/>
      <c r="K34" s="61"/>
      <c r="L34" s="61"/>
      <c r="M34" s="135"/>
      <c r="N34" s="135"/>
      <c r="S34" s="46"/>
    </row>
    <row r="35" spans="1:19" ht="12.75" customHeight="1" x14ac:dyDescent="0.2">
      <c r="B35" s="136"/>
      <c r="C35" s="61"/>
      <c r="D35" s="61"/>
      <c r="E35" s="130"/>
      <c r="F35" s="61"/>
      <c r="G35" s="133"/>
      <c r="H35" s="135"/>
      <c r="I35" s="61"/>
      <c r="J35" s="61"/>
      <c r="K35" s="61"/>
      <c r="L35" s="61"/>
      <c r="M35" s="135"/>
      <c r="N35" s="135"/>
      <c r="S35" s="46"/>
    </row>
    <row r="36" spans="1:19" ht="12.75" customHeight="1" thickBot="1" x14ac:dyDescent="0.25">
      <c r="B36" s="136"/>
      <c r="C36" s="58" t="s">
        <v>790</v>
      </c>
      <c r="D36" s="130"/>
      <c r="E36" s="130"/>
      <c r="F36" s="130"/>
      <c r="G36" s="133"/>
      <c r="H36" s="133"/>
      <c r="I36" s="58" t="s">
        <v>791</v>
      </c>
      <c r="J36" s="130"/>
      <c r="K36" s="61"/>
      <c r="L36" s="130"/>
      <c r="M36" s="133"/>
      <c r="N36" s="133"/>
      <c r="O36" s="50"/>
      <c r="P36" s="50"/>
      <c r="Q36" s="50"/>
      <c r="R36" s="50"/>
      <c r="S36" s="46"/>
    </row>
    <row r="37" spans="1:19" ht="12.75" customHeight="1" thickBot="1" x14ac:dyDescent="0.25">
      <c r="A37" s="174" t="s">
        <v>746</v>
      </c>
      <c r="B37" s="175">
        <v>13.49</v>
      </c>
      <c r="C37" s="176">
        <v>10.88</v>
      </c>
      <c r="D37" s="171"/>
      <c r="E37" s="171"/>
      <c r="F37" s="171"/>
      <c r="G37" s="171"/>
      <c r="H37" s="171"/>
      <c r="I37" s="176">
        <v>2051.98</v>
      </c>
      <c r="J37" s="171">
        <f>I37/196.6</f>
        <v>10.437334689725331</v>
      </c>
      <c r="K37" s="176">
        <v>249.17</v>
      </c>
      <c r="L37" s="171">
        <f>K37/17.7</f>
        <v>14.077401129943503</v>
      </c>
      <c r="M37" s="171"/>
      <c r="N37" s="171"/>
      <c r="O37" s="172">
        <v>0.72</v>
      </c>
      <c r="P37" s="173"/>
      <c r="Q37" s="50"/>
      <c r="R37" s="50"/>
      <c r="S37" s="46"/>
    </row>
    <row r="38" spans="1:19" ht="12.75" customHeight="1" x14ac:dyDescent="0.2">
      <c r="B38" s="136"/>
      <c r="C38" s="61"/>
      <c r="D38" s="130"/>
      <c r="E38" s="130"/>
      <c r="F38" s="130"/>
      <c r="G38" s="133"/>
      <c r="H38" s="133"/>
      <c r="I38" s="61"/>
      <c r="J38" s="130"/>
      <c r="K38" s="61"/>
      <c r="L38" s="130"/>
      <c r="M38" s="133"/>
      <c r="N38" s="133"/>
      <c r="O38" s="50"/>
      <c r="P38" s="50"/>
      <c r="Q38" s="50"/>
      <c r="R38" s="50"/>
      <c r="S38" s="46"/>
    </row>
    <row r="39" spans="1:19" ht="12.75" customHeight="1" x14ac:dyDescent="0.2">
      <c r="B39" s="136"/>
      <c r="C39" s="61"/>
      <c r="D39" s="130"/>
      <c r="E39" s="130"/>
      <c r="F39" s="130"/>
      <c r="G39" s="133"/>
      <c r="H39" s="133"/>
      <c r="I39" s="61"/>
      <c r="J39" s="130"/>
      <c r="K39" s="61"/>
      <c r="L39" s="130"/>
      <c r="M39" s="133"/>
      <c r="N39" s="133"/>
      <c r="O39" s="50"/>
      <c r="P39" s="50"/>
      <c r="Q39" s="50"/>
      <c r="R39" s="50"/>
      <c r="S39" s="46"/>
    </row>
    <row r="40" spans="1:19" ht="12.75" customHeight="1" thickBot="1" x14ac:dyDescent="0.25">
      <c r="B40" s="136"/>
      <c r="C40" s="58" t="s">
        <v>788</v>
      </c>
      <c r="D40" s="130"/>
      <c r="E40" s="130"/>
      <c r="F40" s="130"/>
      <c r="G40" s="133"/>
      <c r="H40" s="133"/>
      <c r="I40" s="58" t="s">
        <v>789</v>
      </c>
      <c r="J40" s="130"/>
      <c r="K40" s="61"/>
      <c r="L40" s="130"/>
      <c r="M40" s="133"/>
      <c r="N40" s="133"/>
      <c r="O40" s="50"/>
      <c r="P40" s="50"/>
      <c r="Q40" s="50"/>
      <c r="R40" s="50"/>
      <c r="S40" s="46"/>
    </row>
    <row r="41" spans="1:19" ht="12.75" customHeight="1" thickBot="1" x14ac:dyDescent="0.25">
      <c r="A41" s="174" t="s">
        <v>747</v>
      </c>
      <c r="B41" s="175">
        <v>15.49</v>
      </c>
      <c r="C41" s="176">
        <v>13.07</v>
      </c>
      <c r="D41" s="171"/>
      <c r="E41" s="171"/>
      <c r="F41" s="171"/>
      <c r="G41" s="171"/>
      <c r="H41" s="171"/>
      <c r="I41" s="176">
        <v>2521.77</v>
      </c>
      <c r="J41" s="171">
        <f>I41/200</f>
        <v>12.60885</v>
      </c>
      <c r="K41" s="175">
        <v>181.77</v>
      </c>
      <c r="L41" s="171"/>
      <c r="M41" s="171"/>
      <c r="N41" s="171"/>
      <c r="O41" s="172">
        <v>0.72</v>
      </c>
      <c r="P41" s="173"/>
      <c r="Q41" s="50"/>
      <c r="R41" s="50" t="s">
        <v>969</v>
      </c>
      <c r="S41" s="46"/>
    </row>
    <row r="42" spans="1:19" ht="12.75" customHeight="1" x14ac:dyDescent="0.2">
      <c r="B42" s="136"/>
      <c r="C42" s="61"/>
      <c r="D42" s="130"/>
      <c r="E42" s="130"/>
      <c r="F42" s="130"/>
      <c r="G42" s="133"/>
      <c r="H42" s="133"/>
      <c r="I42" s="61"/>
      <c r="J42" s="130"/>
      <c r="K42" s="61"/>
      <c r="L42" s="130"/>
      <c r="M42" s="133"/>
      <c r="N42" s="133"/>
      <c r="O42" s="50"/>
      <c r="P42" s="50"/>
      <c r="Q42" s="50"/>
      <c r="R42" s="50"/>
      <c r="S42" s="46"/>
    </row>
    <row r="43" spans="1:19" ht="12.75" customHeight="1" x14ac:dyDescent="0.2">
      <c r="B43" s="136"/>
      <c r="C43" s="61"/>
      <c r="D43" s="130"/>
      <c r="E43" s="130"/>
      <c r="F43" s="130"/>
      <c r="G43" s="133"/>
      <c r="H43" s="133"/>
      <c r="I43" s="61"/>
      <c r="J43" s="130"/>
      <c r="K43" s="61"/>
      <c r="L43" s="130"/>
      <c r="M43" s="133"/>
      <c r="N43" s="133"/>
      <c r="O43" s="50"/>
      <c r="P43" s="50"/>
      <c r="Q43" s="50"/>
      <c r="R43" s="50"/>
      <c r="S43" s="46"/>
    </row>
    <row r="44" spans="1:19" ht="12.75" customHeight="1" thickBot="1" x14ac:dyDescent="0.25">
      <c r="B44" s="136"/>
      <c r="C44" s="58" t="s">
        <v>786</v>
      </c>
      <c r="D44" s="61"/>
      <c r="E44" s="130"/>
      <c r="F44" s="61"/>
      <c r="G44" s="133"/>
      <c r="H44" s="135"/>
      <c r="I44" s="58" t="s">
        <v>787</v>
      </c>
      <c r="J44" s="61"/>
      <c r="K44" s="61"/>
      <c r="L44" s="130"/>
      <c r="M44" s="135"/>
      <c r="N44" s="135"/>
      <c r="S44" s="46"/>
    </row>
    <row r="45" spans="1:19" ht="12.75" customHeight="1" thickBot="1" x14ac:dyDescent="0.25">
      <c r="A45" s="169" t="s">
        <v>794</v>
      </c>
      <c r="B45" s="175">
        <v>7.99</v>
      </c>
      <c r="C45" s="176">
        <v>5.92</v>
      </c>
      <c r="D45" s="176"/>
      <c r="E45" s="171"/>
      <c r="F45" s="176"/>
      <c r="G45" s="171"/>
      <c r="H45" s="176"/>
      <c r="I45" s="176">
        <v>1217.08</v>
      </c>
      <c r="J45" s="171">
        <f>I45/203.4</f>
        <v>5.9836774827925261</v>
      </c>
      <c r="K45" s="176">
        <v>104.25</v>
      </c>
      <c r="L45" s="171">
        <f t="shared" ref="L45" si="2">(K45/17.7)+(O45/17.7)</f>
        <v>6.348022598870056</v>
      </c>
      <c r="M45" s="176">
        <f>K45+O45+M1</f>
        <v>142.36000000000001</v>
      </c>
      <c r="N45" s="176">
        <f>ROUNDUP(M45,0)-0.01</f>
        <v>142.99</v>
      </c>
      <c r="O45" s="177">
        <v>8.11</v>
      </c>
      <c r="P45" s="178"/>
      <c r="S45" s="46"/>
    </row>
    <row r="46" spans="1:19" ht="12.75" customHeight="1" x14ac:dyDescent="0.2">
      <c r="B46" s="136"/>
      <c r="C46" s="61"/>
      <c r="D46" s="61"/>
      <c r="E46" s="130"/>
      <c r="F46" s="61"/>
      <c r="G46" s="133"/>
      <c r="H46" s="135"/>
      <c r="I46" s="61"/>
      <c r="J46" s="130"/>
      <c r="K46" s="61"/>
      <c r="L46" s="130"/>
      <c r="M46" s="135"/>
      <c r="N46" s="135"/>
      <c r="S46" s="46"/>
    </row>
    <row r="47" spans="1:19" ht="12.75" customHeight="1" x14ac:dyDescent="0.2">
      <c r="B47" s="136"/>
      <c r="C47" s="61"/>
      <c r="D47" s="61"/>
      <c r="E47" s="130"/>
      <c r="F47" s="61"/>
      <c r="G47" s="133"/>
      <c r="H47" s="135"/>
      <c r="I47" s="61"/>
      <c r="J47" s="130"/>
      <c r="K47" s="61"/>
      <c r="L47" s="130"/>
      <c r="M47" s="135"/>
      <c r="N47" s="135"/>
      <c r="S47" s="46"/>
    </row>
    <row r="48" spans="1:19" ht="12.75" customHeight="1" thickBot="1" x14ac:dyDescent="0.25">
      <c r="B48" s="136"/>
      <c r="C48" s="61"/>
      <c r="D48" s="61"/>
      <c r="E48" s="130"/>
      <c r="F48" s="61"/>
      <c r="G48" s="133"/>
      <c r="H48" s="135"/>
      <c r="I48" s="61"/>
      <c r="J48" s="130"/>
      <c r="K48" s="58" t="s">
        <v>792</v>
      </c>
      <c r="L48" s="130"/>
      <c r="M48" s="135"/>
      <c r="N48" s="135"/>
      <c r="S48" s="46"/>
    </row>
    <row r="49" spans="1:19" ht="12.75" customHeight="1" thickBot="1" x14ac:dyDescent="0.25">
      <c r="A49" s="174" t="s">
        <v>770</v>
      </c>
      <c r="B49" s="175">
        <v>19.989999999999998</v>
      </c>
      <c r="C49" s="176"/>
      <c r="D49" s="171"/>
      <c r="E49" s="171"/>
      <c r="F49" s="171"/>
      <c r="G49" s="171"/>
      <c r="H49" s="171"/>
      <c r="I49" s="176"/>
      <c r="J49" s="171"/>
      <c r="K49" s="176">
        <v>206.62</v>
      </c>
      <c r="L49" s="171">
        <f>(K49/17.7)+(O49/17.7)</f>
        <v>11.826553672316386</v>
      </c>
      <c r="M49" s="171">
        <f>K49+O49+M1</f>
        <v>239.33</v>
      </c>
      <c r="N49" s="176">
        <f t="shared" ref="N49:N53" si="3">ROUNDUP(M49,0)-0.01</f>
        <v>239.99</v>
      </c>
      <c r="O49" s="172">
        <v>2.71</v>
      </c>
      <c r="P49" s="173">
        <v>20.399999999999999</v>
      </c>
      <c r="Q49" s="50"/>
      <c r="R49" s="50"/>
      <c r="S49" s="46"/>
    </row>
    <row r="50" spans="1:19" ht="12.75" customHeight="1" x14ac:dyDescent="0.2">
      <c r="B50" s="136"/>
      <c r="C50" s="61"/>
      <c r="D50" s="130"/>
      <c r="E50" s="130"/>
      <c r="F50" s="130"/>
      <c r="G50" s="133"/>
      <c r="H50" s="133"/>
      <c r="I50" s="61"/>
      <c r="J50" s="130"/>
      <c r="K50" s="61"/>
      <c r="L50" s="130"/>
      <c r="M50" s="135"/>
      <c r="N50" s="135"/>
      <c r="O50" s="50"/>
      <c r="P50" s="50"/>
      <c r="Q50" s="50"/>
      <c r="R50" s="50"/>
      <c r="S50" s="46"/>
    </row>
    <row r="51" spans="1:19" ht="12.75" customHeight="1" x14ac:dyDescent="0.2">
      <c r="B51" s="136"/>
      <c r="C51" s="61"/>
      <c r="D51" s="130"/>
      <c r="E51" s="130"/>
      <c r="F51" s="130"/>
      <c r="G51" s="133"/>
      <c r="H51" s="133"/>
      <c r="I51" s="61"/>
      <c r="J51" s="130"/>
      <c r="K51" s="61"/>
      <c r="L51" s="130"/>
      <c r="M51" s="135"/>
      <c r="N51" s="135"/>
      <c r="O51" s="50"/>
      <c r="P51" s="50"/>
      <c r="Q51" s="50"/>
      <c r="R51" s="50"/>
      <c r="S51" s="46"/>
    </row>
    <row r="52" spans="1:19" ht="12.75" customHeight="1" thickBot="1" x14ac:dyDescent="0.25">
      <c r="B52" s="136"/>
      <c r="C52" s="61"/>
      <c r="D52" s="130"/>
      <c r="E52" s="130"/>
      <c r="F52" s="130"/>
      <c r="G52" s="133"/>
      <c r="H52" s="133"/>
      <c r="I52" s="61"/>
      <c r="J52" s="130"/>
      <c r="K52" s="58" t="s">
        <v>793</v>
      </c>
      <c r="L52" s="130"/>
      <c r="M52" s="135"/>
      <c r="N52" s="135"/>
      <c r="O52" s="50"/>
      <c r="P52" s="50"/>
      <c r="Q52" s="50"/>
      <c r="R52" s="50"/>
      <c r="S52" s="46"/>
    </row>
    <row r="53" spans="1:19" ht="12.75" customHeight="1" thickBot="1" x14ac:dyDescent="0.25">
      <c r="A53" s="174" t="s">
        <v>771</v>
      </c>
      <c r="B53" s="175">
        <v>26.99</v>
      </c>
      <c r="C53" s="171">
        <f>L53</f>
        <v>15.1149762832714</v>
      </c>
      <c r="D53" s="176"/>
      <c r="E53" s="171"/>
      <c r="F53" s="176"/>
      <c r="G53" s="171"/>
      <c r="H53" s="176"/>
      <c r="I53" s="176">
        <v>3178.47</v>
      </c>
      <c r="J53" s="171">
        <f>I53/196.6</f>
        <v>16.167192268565614</v>
      </c>
      <c r="K53" s="176">
        <v>264.97000000000003</v>
      </c>
      <c r="L53" s="171">
        <f>(K53/17.7)+(O53/18.7)</f>
        <v>15.1149762832714</v>
      </c>
      <c r="M53" s="176">
        <f>K53+O53+M1</f>
        <v>297.68</v>
      </c>
      <c r="N53" s="176">
        <f t="shared" si="3"/>
        <v>297.99</v>
      </c>
      <c r="O53" s="177">
        <v>2.71</v>
      </c>
      <c r="P53" s="178">
        <v>27.03</v>
      </c>
      <c r="S53" s="46"/>
    </row>
    <row r="54" spans="1:19" ht="12.75" customHeight="1" x14ac:dyDescent="0.2">
      <c r="B54" s="132"/>
      <c r="G54" s="132"/>
      <c r="H54" s="132"/>
      <c r="M54" s="132"/>
      <c r="N54" s="132"/>
      <c r="S54" s="46"/>
    </row>
    <row r="55" spans="1:19" ht="12.75" customHeight="1" x14ac:dyDescent="0.2">
      <c r="B55" s="132"/>
      <c r="G55" s="132"/>
      <c r="H55" s="132"/>
      <c r="M55" s="132"/>
      <c r="N55" s="132"/>
      <c r="S55" s="46"/>
    </row>
    <row r="56" spans="1:19" ht="12.75" customHeight="1" thickBot="1" x14ac:dyDescent="0.3">
      <c r="A56" s="206" t="s">
        <v>740</v>
      </c>
      <c r="B56" s="132"/>
      <c r="G56" s="132"/>
      <c r="H56" s="132"/>
      <c r="M56" s="132"/>
      <c r="N56" s="132"/>
      <c r="S56" s="46"/>
    </row>
    <row r="57" spans="1:19" ht="12.75" customHeight="1" thickBot="1" x14ac:dyDescent="0.25">
      <c r="A57" s="169" t="s">
        <v>772</v>
      </c>
      <c r="B57" s="175">
        <v>4.8899999999999997</v>
      </c>
      <c r="C57" s="171">
        <v>4.2300000000000004</v>
      </c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8"/>
      <c r="S57" s="46"/>
    </row>
    <row r="58" spans="1:19" ht="12.75" customHeight="1" x14ac:dyDescent="0.2">
      <c r="B58" s="135"/>
      <c r="C58" s="130"/>
      <c r="G58" s="132"/>
      <c r="H58" s="132"/>
      <c r="M58" s="132"/>
      <c r="N58" s="132"/>
      <c r="S58" s="46"/>
    </row>
    <row r="59" spans="1:19" ht="12.75" customHeight="1" x14ac:dyDescent="0.2">
      <c r="B59" s="135"/>
      <c r="C59" s="130"/>
      <c r="G59" s="132"/>
      <c r="H59" s="132"/>
      <c r="M59" s="132"/>
      <c r="N59" s="132"/>
      <c r="S59" s="46"/>
    </row>
    <row r="60" spans="1:19" ht="12.75" customHeight="1" thickBot="1" x14ac:dyDescent="0.25">
      <c r="B60" s="135"/>
      <c r="C60" s="61"/>
      <c r="G60" s="132"/>
      <c r="H60" s="132"/>
      <c r="M60" s="132"/>
      <c r="N60" s="132"/>
      <c r="R60" s="70"/>
      <c r="S60" s="46"/>
    </row>
    <row r="61" spans="1:19" ht="12.75" customHeight="1" thickBot="1" x14ac:dyDescent="0.25">
      <c r="A61" s="169" t="s">
        <v>773</v>
      </c>
      <c r="B61" s="175">
        <v>5.19</v>
      </c>
      <c r="C61" s="171">
        <v>4.2300000000000004</v>
      </c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8"/>
      <c r="S61" s="46"/>
    </row>
    <row r="62" spans="1:19" ht="12.75" customHeight="1" x14ac:dyDescent="0.2">
      <c r="B62" s="135"/>
      <c r="C62" s="61"/>
      <c r="G62" s="132"/>
      <c r="H62" s="132"/>
      <c r="M62" s="132"/>
      <c r="N62" s="132"/>
      <c r="S62" s="46"/>
    </row>
    <row r="63" spans="1:19" ht="12.75" customHeight="1" x14ac:dyDescent="0.2">
      <c r="B63" s="135"/>
      <c r="C63" s="61"/>
      <c r="G63" s="132"/>
      <c r="H63" s="132"/>
      <c r="M63" s="132"/>
      <c r="N63" s="132"/>
      <c r="S63" s="46"/>
    </row>
    <row r="64" spans="1:19" ht="12.75" customHeight="1" thickBot="1" x14ac:dyDescent="0.3">
      <c r="A64" s="206" t="s">
        <v>1025</v>
      </c>
      <c r="B64" s="135"/>
      <c r="C64" s="61"/>
      <c r="G64" s="132"/>
      <c r="H64" s="132"/>
      <c r="M64" s="132"/>
      <c r="N64" s="132"/>
      <c r="S64" s="46"/>
    </row>
    <row r="65" spans="1:19" ht="12.75" customHeight="1" thickBot="1" x14ac:dyDescent="0.25">
      <c r="A65" s="174" t="s">
        <v>1104</v>
      </c>
      <c r="B65" s="175">
        <v>4.8899999999999997</v>
      </c>
      <c r="C65" s="171">
        <v>3.6</v>
      </c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S65" s="46"/>
    </row>
    <row r="66" spans="1:19" ht="12.75" customHeight="1" x14ac:dyDescent="0.2">
      <c r="B66" s="135"/>
      <c r="C66" s="61"/>
      <c r="G66" s="132"/>
      <c r="H66" s="132"/>
      <c r="M66" s="132"/>
      <c r="N66" s="132"/>
      <c r="S66" s="46"/>
    </row>
    <row r="67" spans="1:19" ht="12.75" customHeight="1" x14ac:dyDescent="0.2">
      <c r="B67" s="135"/>
      <c r="C67" s="61"/>
      <c r="G67" s="132"/>
      <c r="H67" s="132"/>
      <c r="M67" s="132"/>
      <c r="N67" s="132"/>
      <c r="S67" s="46"/>
    </row>
    <row r="68" spans="1:19" ht="12.75" customHeight="1" thickBot="1" x14ac:dyDescent="0.25">
      <c r="B68" s="135"/>
      <c r="C68" s="61"/>
      <c r="G68" s="132"/>
      <c r="H68" s="132"/>
      <c r="M68" s="132"/>
      <c r="N68" s="132"/>
      <c r="S68" s="46"/>
    </row>
    <row r="69" spans="1:19" ht="12.75" customHeight="1" thickBot="1" x14ac:dyDescent="0.25">
      <c r="A69" s="169" t="s">
        <v>774</v>
      </c>
      <c r="B69" s="175">
        <v>5.19</v>
      </c>
      <c r="C69" s="176">
        <v>3.81</v>
      </c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8"/>
      <c r="S69" s="46"/>
    </row>
    <row r="70" spans="1:19" ht="12.75" customHeight="1" x14ac:dyDescent="0.2">
      <c r="S70" s="46"/>
    </row>
    <row r="71" spans="1:19" ht="12.75" customHeight="1" x14ac:dyDescent="0.25">
      <c r="A71" s="206" t="s">
        <v>1256</v>
      </c>
      <c r="C71" s="46" t="s">
        <v>1258</v>
      </c>
      <c r="S71" s="46"/>
    </row>
    <row r="72" spans="1:19" ht="12.75" customHeight="1" x14ac:dyDescent="0.2">
      <c r="A72" s="123" t="s">
        <v>1257</v>
      </c>
      <c r="B72" s="123"/>
      <c r="C72" s="124">
        <v>3</v>
      </c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S72" s="46"/>
    </row>
    <row r="73" spans="1:19" ht="12.75" customHeight="1" x14ac:dyDescent="0.2">
      <c r="S73" s="46"/>
    </row>
    <row r="74" spans="1:19" ht="12.75" customHeight="1" x14ac:dyDescent="0.25">
      <c r="C74" s="46" t="s">
        <v>1261</v>
      </c>
    </row>
    <row r="75" spans="1:19" ht="12.75" customHeight="1" x14ac:dyDescent="0.2">
      <c r="A75" s="123" t="s">
        <v>1259</v>
      </c>
      <c r="B75" s="123"/>
      <c r="C75" s="123">
        <v>3.05</v>
      </c>
      <c r="D75" s="123"/>
      <c r="E75" s="351">
        <v>3.5</v>
      </c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S75" s="46"/>
    </row>
    <row r="76" spans="1:19" ht="12.75" customHeight="1" x14ac:dyDescent="0.2">
      <c r="S76" s="46"/>
    </row>
    <row r="77" spans="1:19" ht="12.75" customHeight="1" x14ac:dyDescent="0.25">
      <c r="A77" s="46" t="s">
        <v>1263</v>
      </c>
      <c r="C77" s="46" t="s">
        <v>1262</v>
      </c>
    </row>
    <row r="78" spans="1:19" ht="12.75" customHeight="1" x14ac:dyDescent="0.25">
      <c r="A78" s="123" t="s">
        <v>1260</v>
      </c>
      <c r="B78" s="123"/>
      <c r="C78" s="124">
        <v>3.5</v>
      </c>
      <c r="D78" s="123"/>
      <c r="E78" s="123"/>
      <c r="F78" s="123"/>
      <c r="G78" s="123"/>
      <c r="H78" s="123"/>
      <c r="I78" s="123"/>
      <c r="J78" s="124">
        <v>4.2</v>
      </c>
      <c r="K78" s="123"/>
      <c r="L78" s="123"/>
      <c r="M78" s="123"/>
      <c r="N78" s="123"/>
      <c r="O78" s="123"/>
      <c r="P78" s="123"/>
    </row>
    <row r="80" spans="1:19" ht="12.75" customHeight="1" x14ac:dyDescent="0.25">
      <c r="C80" s="46" t="s">
        <v>1264</v>
      </c>
    </row>
    <row r="81" spans="1:16" ht="12.75" customHeight="1" x14ac:dyDescent="0.25">
      <c r="A81" s="123" t="s">
        <v>702</v>
      </c>
      <c r="B81" s="123"/>
      <c r="C81" s="124">
        <v>5.2</v>
      </c>
      <c r="D81" s="123"/>
      <c r="E81" s="124">
        <v>6.22</v>
      </c>
      <c r="F81" s="123"/>
      <c r="G81" s="123"/>
      <c r="H81" s="123"/>
      <c r="I81" s="124"/>
      <c r="J81" s="124">
        <v>6.2</v>
      </c>
      <c r="K81" s="123"/>
      <c r="L81" s="123"/>
      <c r="M81" s="123"/>
      <c r="N81" s="123"/>
      <c r="O81" s="123"/>
      <c r="P81" s="123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15"/>
  <sheetViews>
    <sheetView workbookViewId="0">
      <selection activeCell="A4" sqref="A4"/>
    </sheetView>
  </sheetViews>
  <sheetFormatPr defaultColWidth="9.140625" defaultRowHeight="12.75" customHeight="1" x14ac:dyDescent="0.2"/>
  <cols>
    <col min="1" max="1" width="13.28515625" style="46" customWidth="1"/>
    <col min="2" max="2" width="10.7109375" style="46" customWidth="1"/>
    <col min="3" max="3" width="13.28515625" style="46" customWidth="1"/>
    <col min="4" max="4" width="9.140625" style="46" hidden="1" customWidth="1"/>
    <col min="5" max="5" width="9.140625" style="46" customWidth="1"/>
    <col min="6" max="6" width="9.140625" style="46" hidden="1" customWidth="1"/>
    <col min="7" max="7" width="9.140625" style="46" customWidth="1"/>
    <col min="8" max="8" width="13.28515625" style="46" hidden="1" customWidth="1"/>
    <col min="9" max="9" width="13.5703125" style="46" hidden="1" customWidth="1"/>
    <col min="10" max="10" width="9.140625" style="46" customWidth="1"/>
    <col min="11" max="11" width="14.5703125" style="46" customWidth="1"/>
    <col min="12" max="12" width="9.140625" style="46" customWidth="1"/>
    <col min="13" max="16384" width="9.140625" style="46"/>
  </cols>
  <sheetData>
    <row r="2" spans="1:12" ht="18" x14ac:dyDescent="0.25">
      <c r="B2" s="71" t="s">
        <v>724</v>
      </c>
    </row>
    <row r="3" spans="1:12" ht="12.75" customHeight="1" x14ac:dyDescent="0.2">
      <c r="A3" s="181" t="s">
        <v>1270</v>
      </c>
    </row>
    <row r="4" spans="1:12" ht="25.5" x14ac:dyDescent="0.2">
      <c r="D4" s="70" t="s">
        <v>725</v>
      </c>
      <c r="E4" s="72" t="s">
        <v>725</v>
      </c>
      <c r="F4" s="70" t="s">
        <v>726</v>
      </c>
      <c r="G4" s="72" t="s">
        <v>726</v>
      </c>
      <c r="H4" s="70" t="s">
        <v>745</v>
      </c>
      <c r="I4" s="73" t="s">
        <v>628</v>
      </c>
    </row>
    <row r="5" spans="1:12" x14ac:dyDescent="0.2">
      <c r="K5" s="46" t="s">
        <v>516</v>
      </c>
      <c r="L5" s="46">
        <v>25</v>
      </c>
    </row>
    <row r="6" spans="1:12" x14ac:dyDescent="0.2">
      <c r="B6" s="74" t="s">
        <v>44</v>
      </c>
      <c r="C6" s="74"/>
      <c r="D6" s="472">
        <f>I6+L5</f>
        <v>69.279200000000003</v>
      </c>
      <c r="E6" s="472">
        <f>ROUNDUP(D6,0)-0.01</f>
        <v>69.989999999999995</v>
      </c>
      <c r="F6" s="472">
        <f>I6+L6</f>
        <v>79.279200000000003</v>
      </c>
      <c r="G6" s="472">
        <f>ROUNDUP(F6,0)-0.01</f>
        <v>79.989999999999995</v>
      </c>
      <c r="H6" s="76">
        <f>'Price List'!C348</f>
        <v>28.0808</v>
      </c>
      <c r="I6" s="472">
        <f>H6+H7</f>
        <v>44.279200000000003</v>
      </c>
      <c r="K6" s="46" t="s">
        <v>515</v>
      </c>
      <c r="L6" s="46">
        <v>35</v>
      </c>
    </row>
    <row r="7" spans="1:12" x14ac:dyDescent="0.2">
      <c r="B7" s="74" t="s">
        <v>56</v>
      </c>
      <c r="C7" s="74"/>
      <c r="D7" s="473"/>
      <c r="E7" s="472"/>
      <c r="F7" s="473"/>
      <c r="G7" s="472"/>
      <c r="H7" s="76">
        <f>'Price List'!C371</f>
        <v>16.198399999999999</v>
      </c>
      <c r="I7" s="473"/>
    </row>
    <row r="8" spans="1:12" x14ac:dyDescent="0.2">
      <c r="A8" s="46" t="s">
        <v>727</v>
      </c>
      <c r="B8" s="46" t="s">
        <v>64</v>
      </c>
      <c r="C8" s="46" t="s">
        <v>728</v>
      </c>
    </row>
    <row r="9" spans="1:12" x14ac:dyDescent="0.2">
      <c r="A9" s="46" t="s">
        <v>727</v>
      </c>
      <c r="B9" s="46" t="s">
        <v>55</v>
      </c>
      <c r="C9" s="46" t="s">
        <v>728</v>
      </c>
    </row>
    <row r="12" spans="1:12" x14ac:dyDescent="0.2">
      <c r="B12" s="75" t="s">
        <v>44</v>
      </c>
      <c r="C12" s="75"/>
      <c r="D12" s="474">
        <f>I12+L5</f>
        <v>80.358400000000003</v>
      </c>
      <c r="E12" s="474">
        <f>ROUNDUP(D12,0)-0.01</f>
        <v>80.989999999999995</v>
      </c>
      <c r="F12" s="474">
        <f>I12+L6</f>
        <v>90.358400000000003</v>
      </c>
      <c r="G12" s="474">
        <f>ROUNDUP(F12,0)-0.01</f>
        <v>90.99</v>
      </c>
      <c r="H12" s="77">
        <f>'Price List'!C348</f>
        <v>28.0808</v>
      </c>
      <c r="I12" s="474">
        <f>H12+H13</f>
        <v>55.358400000000003</v>
      </c>
    </row>
    <row r="13" spans="1:12" x14ac:dyDescent="0.2">
      <c r="B13" s="75" t="s">
        <v>59</v>
      </c>
      <c r="C13" s="75"/>
      <c r="D13" s="475"/>
      <c r="E13" s="474"/>
      <c r="F13" s="475"/>
      <c r="G13" s="474"/>
      <c r="H13" s="77">
        <f>'Price List'!C376</f>
        <v>27.277600000000003</v>
      </c>
      <c r="I13" s="475"/>
    </row>
    <row r="15" spans="1:12" ht="12.75" customHeight="1" x14ac:dyDescent="0.2">
      <c r="B15" s="339" t="s">
        <v>1105</v>
      </c>
      <c r="C15" s="339"/>
      <c r="D15" s="339"/>
      <c r="E15" s="339">
        <v>29.99</v>
      </c>
    </row>
  </sheetData>
  <mergeCells count="10">
    <mergeCell ref="I6:I7"/>
    <mergeCell ref="I12:I13"/>
    <mergeCell ref="E6:E7"/>
    <mergeCell ref="G6:G7"/>
    <mergeCell ref="D6:D7"/>
    <mergeCell ref="F6:F7"/>
    <mergeCell ref="D12:D13"/>
    <mergeCell ref="F12:F13"/>
    <mergeCell ref="E12:E13"/>
    <mergeCell ref="G12:G13"/>
  </mergeCells>
  <pageMargins left="0.7" right="0.7" top="0.75" bottom="0.75" header="0.3" footer="0.3"/>
  <pageSetup orientation="portrait" r:id="rId1"/>
  <ignoredErrors>
    <ignoredError sqref="F6 F12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5"/>
  <sheetViews>
    <sheetView topLeftCell="A16" workbookViewId="0">
      <selection activeCell="B30" sqref="B30"/>
    </sheetView>
  </sheetViews>
  <sheetFormatPr defaultRowHeight="15" x14ac:dyDescent="0.25"/>
  <cols>
    <col min="1" max="1" width="33.7109375" customWidth="1"/>
    <col min="3" max="3" width="1.7109375" customWidth="1"/>
    <col min="4" max="4" width="30.28515625" customWidth="1"/>
  </cols>
  <sheetData>
    <row r="1" spans="1:5" x14ac:dyDescent="0.25">
      <c r="A1" s="46" t="s">
        <v>625</v>
      </c>
      <c r="B1" s="47"/>
    </row>
    <row r="2" spans="1:5" x14ac:dyDescent="0.25">
      <c r="A2" s="343">
        <v>45502</v>
      </c>
      <c r="B2" s="46"/>
    </row>
    <row r="3" spans="1:5" x14ac:dyDescent="0.25">
      <c r="A3" s="46"/>
      <c r="B3" s="46"/>
    </row>
    <row r="4" spans="1:5" x14ac:dyDescent="0.25">
      <c r="A4" s="48" t="s">
        <v>632</v>
      </c>
      <c r="B4" s="48">
        <f>'15W40'!B6</f>
        <v>265.99</v>
      </c>
      <c r="D4" s="48" t="s">
        <v>689</v>
      </c>
      <c r="E4" s="48">
        <f>'15W40'!B50</f>
        <v>435.99</v>
      </c>
    </row>
    <row r="5" spans="1:5" x14ac:dyDescent="0.25">
      <c r="A5" s="48" t="s">
        <v>633</v>
      </c>
      <c r="B5" s="48">
        <f>'15W40'!B7</f>
        <v>243.99</v>
      </c>
      <c r="D5" s="48" t="s">
        <v>690</v>
      </c>
      <c r="E5" s="48">
        <f>'15W40'!B51</f>
        <v>356.99</v>
      </c>
    </row>
    <row r="6" spans="1:5" x14ac:dyDescent="0.25">
      <c r="A6" s="48"/>
      <c r="B6" s="48"/>
      <c r="D6" s="48" t="s">
        <v>662</v>
      </c>
      <c r="E6" s="48">
        <f>'15W40'!B52</f>
        <v>434.99</v>
      </c>
    </row>
    <row r="7" spans="1:5" x14ac:dyDescent="0.25">
      <c r="A7" s="48" t="s">
        <v>634</v>
      </c>
      <c r="B7" s="48">
        <f>'15W40'!B9</f>
        <v>334.99</v>
      </c>
      <c r="D7" s="48" t="s">
        <v>663</v>
      </c>
      <c r="E7" s="48">
        <f>'15W40'!B53</f>
        <v>356.99</v>
      </c>
    </row>
    <row r="8" spans="1:5" x14ac:dyDescent="0.25">
      <c r="A8" s="48" t="s">
        <v>635</v>
      </c>
      <c r="B8" s="48">
        <f>'15W40'!B10</f>
        <v>293.99</v>
      </c>
      <c r="D8" s="48"/>
      <c r="E8" s="48"/>
    </row>
    <row r="9" spans="1:5" x14ac:dyDescent="0.25">
      <c r="A9" s="48"/>
      <c r="B9" s="48"/>
      <c r="D9" s="48" t="s">
        <v>665</v>
      </c>
      <c r="E9" s="48">
        <f>'15W40'!B55</f>
        <v>364.99</v>
      </c>
    </row>
    <row r="10" spans="1:5" x14ac:dyDescent="0.25">
      <c r="A10" s="48" t="s">
        <v>637</v>
      </c>
      <c r="B10" s="48">
        <f>'15W40'!B12</f>
        <v>354.99</v>
      </c>
      <c r="D10" s="48" t="s">
        <v>666</v>
      </c>
      <c r="E10" s="48">
        <f>'15W40'!B56</f>
        <v>342.99</v>
      </c>
    </row>
    <row r="11" spans="1:5" x14ac:dyDescent="0.25">
      <c r="A11" s="48" t="s">
        <v>638</v>
      </c>
      <c r="B11" s="48">
        <f>'15W40'!B13</f>
        <v>313.99</v>
      </c>
      <c r="D11" s="48" t="s">
        <v>667</v>
      </c>
      <c r="E11" s="48">
        <f>'15W40'!B57</f>
        <v>279.99</v>
      </c>
    </row>
    <row r="12" spans="1:5" x14ac:dyDescent="0.25">
      <c r="A12" s="48"/>
      <c r="B12" s="48"/>
      <c r="D12" s="48" t="s">
        <v>668</v>
      </c>
      <c r="E12" s="48">
        <f>'15W40'!B58</f>
        <v>241.99</v>
      </c>
    </row>
    <row r="13" spans="1:5" x14ac:dyDescent="0.25">
      <c r="A13" s="48" t="s">
        <v>639</v>
      </c>
      <c r="B13" s="48">
        <f>'15W40'!B15</f>
        <v>301.99</v>
      </c>
      <c r="D13" s="48" t="s">
        <v>669</v>
      </c>
      <c r="E13" s="48">
        <f>'15W40'!B59</f>
        <v>219.99</v>
      </c>
    </row>
    <row r="14" spans="1:5" x14ac:dyDescent="0.25">
      <c r="A14" s="48" t="s">
        <v>640</v>
      </c>
      <c r="B14" s="48">
        <f>'15W40'!B16</f>
        <v>170.99</v>
      </c>
      <c r="D14" s="48" t="s">
        <v>691</v>
      </c>
      <c r="E14" s="48">
        <f>'15W40'!B60</f>
        <v>229.99</v>
      </c>
    </row>
    <row r="15" spans="1:5" x14ac:dyDescent="0.25">
      <c r="A15" s="48" t="s">
        <v>641</v>
      </c>
      <c r="B15" s="48">
        <f>'15W40'!B17</f>
        <v>257.99</v>
      </c>
      <c r="D15" s="48"/>
      <c r="E15" s="48"/>
    </row>
    <row r="16" spans="1:5" x14ac:dyDescent="0.25">
      <c r="A16" s="48" t="s">
        <v>642</v>
      </c>
      <c r="B16" s="48">
        <f>'15W40'!B18</f>
        <v>255.99</v>
      </c>
      <c r="D16" s="48"/>
      <c r="E16" s="48"/>
    </row>
    <row r="17" spans="1:5" x14ac:dyDescent="0.25">
      <c r="A17" s="48" t="s">
        <v>643</v>
      </c>
      <c r="B17" s="48">
        <f>'15W40'!B19</f>
        <v>292.99</v>
      </c>
      <c r="D17" s="48" t="s">
        <v>673</v>
      </c>
      <c r="E17" s="48">
        <f>'15W40'!B63</f>
        <v>246.99</v>
      </c>
    </row>
    <row r="18" spans="1:5" x14ac:dyDescent="0.25">
      <c r="A18" s="48" t="s">
        <v>906</v>
      </c>
      <c r="B18" s="48">
        <f>'15W40'!B20</f>
        <v>378.99</v>
      </c>
      <c r="D18" s="48"/>
      <c r="E18" s="48"/>
    </row>
    <row r="19" spans="1:5" x14ac:dyDescent="0.25">
      <c r="A19" s="48" t="s">
        <v>646</v>
      </c>
      <c r="B19" s="48">
        <f>'15W40'!B21</f>
        <v>275.99</v>
      </c>
      <c r="D19" s="48" t="s">
        <v>674</v>
      </c>
      <c r="E19" s="48">
        <f>'15W40'!B65</f>
        <v>458.99</v>
      </c>
    </row>
    <row r="20" spans="1:5" x14ac:dyDescent="0.25">
      <c r="A20" s="48"/>
      <c r="B20" s="48"/>
      <c r="D20" s="48" t="s">
        <v>675</v>
      </c>
      <c r="E20" s="48">
        <f>'15W40'!B66</f>
        <v>379.99</v>
      </c>
    </row>
    <row r="21" spans="1:5" x14ac:dyDescent="0.25">
      <c r="A21" s="48" t="s">
        <v>647</v>
      </c>
      <c r="B21" s="48">
        <f>'15W40'!B23</f>
        <v>349.99</v>
      </c>
      <c r="D21" s="48" t="s">
        <v>676</v>
      </c>
      <c r="E21" s="48">
        <f>'15W40'!B67</f>
        <v>229.99</v>
      </c>
    </row>
    <row r="22" spans="1:5" x14ac:dyDescent="0.25">
      <c r="A22" s="48" t="s">
        <v>648</v>
      </c>
      <c r="B22" s="48">
        <f>'15W40'!B24</f>
        <v>409.99</v>
      </c>
      <c r="D22" s="46"/>
      <c r="E22" s="48"/>
    </row>
    <row r="23" spans="1:5" x14ac:dyDescent="0.25">
      <c r="A23" s="48" t="s">
        <v>649</v>
      </c>
      <c r="B23" s="48">
        <f>'15W40'!B25</f>
        <v>415.99</v>
      </c>
      <c r="D23" s="48" t="s">
        <v>677</v>
      </c>
      <c r="E23" s="48">
        <f>'15W40'!B69</f>
        <v>345.99</v>
      </c>
    </row>
    <row r="24" spans="1:5" x14ac:dyDescent="0.25">
      <c r="A24" s="48" t="s">
        <v>650</v>
      </c>
      <c r="B24" s="48">
        <f>'15W40'!B26</f>
        <v>393.99</v>
      </c>
      <c r="D24" s="48" t="s">
        <v>678</v>
      </c>
      <c r="E24" s="48">
        <f>'15W40'!B70</f>
        <v>379.99</v>
      </c>
    </row>
    <row r="25" spans="1:5" x14ac:dyDescent="0.25">
      <c r="A25" s="48" t="s">
        <v>651</v>
      </c>
      <c r="B25" s="48">
        <f>'15W40'!B27</f>
        <v>302.99</v>
      </c>
      <c r="D25" s="48" t="s">
        <v>679</v>
      </c>
      <c r="E25" s="48">
        <f>'15W40'!B71</f>
        <v>424.99</v>
      </c>
    </row>
    <row r="26" spans="1:5" x14ac:dyDescent="0.25">
      <c r="A26" s="48" t="s">
        <v>652</v>
      </c>
      <c r="B26" s="48">
        <f>'15W40'!B28</f>
        <v>170.99</v>
      </c>
      <c r="D26" s="48" t="s">
        <v>680</v>
      </c>
      <c r="E26" s="48">
        <f>'15W40'!B72</f>
        <v>414.99</v>
      </c>
    </row>
    <row r="27" spans="1:5" x14ac:dyDescent="0.25">
      <c r="A27" s="48"/>
      <c r="B27" s="48"/>
      <c r="D27" s="48" t="s">
        <v>681</v>
      </c>
      <c r="E27" s="48">
        <f>'15W40'!B73</f>
        <v>449.99</v>
      </c>
    </row>
    <row r="28" spans="1:5" x14ac:dyDescent="0.25">
      <c r="A28" s="48" t="s">
        <v>653</v>
      </c>
      <c r="B28" s="48">
        <f>'15W40'!B30</f>
        <v>170.99</v>
      </c>
      <c r="D28" s="48" t="s">
        <v>682</v>
      </c>
      <c r="E28" s="48">
        <f>'15W40'!B74</f>
        <v>492.99</v>
      </c>
    </row>
    <row r="29" spans="1:5" x14ac:dyDescent="0.25">
      <c r="A29" s="48"/>
      <c r="B29" s="48"/>
    </row>
    <row r="30" spans="1:5" x14ac:dyDescent="0.25">
      <c r="A30" s="48" t="s">
        <v>423</v>
      </c>
      <c r="B30" s="48">
        <f>'15W40'!B32</f>
        <v>269.99</v>
      </c>
    </row>
    <row r="31" spans="1:5" x14ac:dyDescent="0.25">
      <c r="A31" s="48" t="s">
        <v>654</v>
      </c>
      <c r="B31" s="48">
        <f>'15W40'!B33</f>
        <v>199.99</v>
      </c>
    </row>
    <row r="32" spans="1:5" x14ac:dyDescent="0.25">
      <c r="A32" s="48"/>
      <c r="B32" s="48"/>
    </row>
    <row r="33" spans="1:2" x14ac:dyDescent="0.25">
      <c r="A33" s="48" t="s">
        <v>655</v>
      </c>
      <c r="B33" s="48">
        <f>'15W40'!B35</f>
        <v>265.99</v>
      </c>
    </row>
    <row r="34" spans="1:2" x14ac:dyDescent="0.25">
      <c r="A34" s="48" t="s">
        <v>1125</v>
      </c>
      <c r="B34" s="48">
        <f>'15W40'!B38</f>
        <v>215.99</v>
      </c>
    </row>
    <row r="35" spans="1:2" x14ac:dyDescent="0.25">
      <c r="A35" s="48" t="s">
        <v>425</v>
      </c>
      <c r="B35" s="48">
        <f>'15W40'!B39</f>
        <v>275.99</v>
      </c>
    </row>
    <row r="36" spans="1:2" x14ac:dyDescent="0.25">
      <c r="A36" s="48"/>
      <c r="B36" s="48"/>
    </row>
    <row r="37" spans="1:2" x14ac:dyDescent="0.25">
      <c r="A37" s="48" t="s">
        <v>907</v>
      </c>
      <c r="B37" s="48">
        <f>'15W40'!B41</f>
        <v>363.99</v>
      </c>
    </row>
    <row r="38" spans="1:2" x14ac:dyDescent="0.25">
      <c r="A38" s="48" t="s">
        <v>911</v>
      </c>
      <c r="B38" s="48">
        <f>'15W40'!B42</f>
        <v>434.99</v>
      </c>
    </row>
    <row r="39" spans="1:2" x14ac:dyDescent="0.25">
      <c r="A39" s="48" t="s">
        <v>909</v>
      </c>
      <c r="B39" s="48">
        <f>'15W40'!B43</f>
        <v>436.99</v>
      </c>
    </row>
    <row r="40" spans="1:2" x14ac:dyDescent="0.25">
      <c r="A40" s="48" t="s">
        <v>910</v>
      </c>
      <c r="B40" s="48">
        <f>'15W40'!B44</f>
        <v>509.99</v>
      </c>
    </row>
    <row r="41" spans="1:2" x14ac:dyDescent="0.25">
      <c r="A41" s="48" t="s">
        <v>656</v>
      </c>
      <c r="B41" s="48">
        <f>'15W40'!B45</f>
        <v>317.99</v>
      </c>
    </row>
    <row r="42" spans="1:2" x14ac:dyDescent="0.25">
      <c r="A42" s="48" t="s">
        <v>657</v>
      </c>
      <c r="B42" s="48">
        <f>'15W40'!B46</f>
        <v>377.99</v>
      </c>
    </row>
    <row r="43" spans="1:2" x14ac:dyDescent="0.25">
      <c r="A43" s="48" t="s">
        <v>658</v>
      </c>
      <c r="B43" s="48">
        <f>'15W40'!B47</f>
        <v>426.99</v>
      </c>
    </row>
    <row r="44" spans="1:2" x14ac:dyDescent="0.25">
      <c r="A44" s="48" t="s">
        <v>659</v>
      </c>
      <c r="B44" s="48">
        <f>'15W40'!B48</f>
        <v>489.99</v>
      </c>
    </row>
    <row r="45" spans="1:2" x14ac:dyDescent="0.25">
      <c r="A45" s="48"/>
      <c r="B45" s="48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1"/>
  <sheetViews>
    <sheetView workbookViewId="0">
      <pane ySplit="3" topLeftCell="A4" activePane="bottomLeft" state="frozen"/>
      <selection pane="bottomLeft" activeCell="L3" sqref="L3"/>
    </sheetView>
  </sheetViews>
  <sheetFormatPr defaultRowHeight="15" x14ac:dyDescent="0.25"/>
  <cols>
    <col min="1" max="1" width="32.42578125" customWidth="1"/>
    <col min="2" max="2" width="11.7109375" customWidth="1"/>
    <col min="3" max="3" width="12" customWidth="1"/>
    <col min="4" max="4" width="13" customWidth="1"/>
    <col min="5" max="6" width="10.5703125" customWidth="1"/>
    <col min="7" max="7" width="9.85546875" customWidth="1"/>
    <col min="8" max="8" width="7.5703125" customWidth="1"/>
    <col min="9" max="10" width="8.5703125" customWidth="1"/>
    <col min="11" max="11" width="11" customWidth="1"/>
  </cols>
  <sheetData>
    <row r="1" spans="1:14" x14ac:dyDescent="0.25">
      <c r="D1">
        <v>5</v>
      </c>
      <c r="G1" s="1"/>
    </row>
    <row r="2" spans="1:14" ht="45" x14ac:dyDescent="0.25">
      <c r="A2" s="123" t="s">
        <v>625</v>
      </c>
      <c r="B2" s="336" t="s">
        <v>1102</v>
      </c>
      <c r="C2" s="337" t="s">
        <v>1102</v>
      </c>
      <c r="D2" s="338" t="s">
        <v>1103</v>
      </c>
      <c r="E2" s="140" t="s">
        <v>1099</v>
      </c>
      <c r="F2" t="s">
        <v>1136</v>
      </c>
      <c r="G2" t="s">
        <v>1097</v>
      </c>
      <c r="H2" t="s">
        <v>1096</v>
      </c>
      <c r="I2" t="s">
        <v>1100</v>
      </c>
      <c r="J2" t="s">
        <v>438</v>
      </c>
      <c r="K2" s="7" t="s">
        <v>1101</v>
      </c>
      <c r="L2" t="s">
        <v>1096</v>
      </c>
      <c r="M2" t="s">
        <v>1098</v>
      </c>
    </row>
    <row r="3" spans="1:14" x14ac:dyDescent="0.25">
      <c r="A3" s="329" t="s">
        <v>1189</v>
      </c>
      <c r="B3" s="330"/>
      <c r="D3" s="332"/>
      <c r="G3">
        <v>1500</v>
      </c>
      <c r="H3" s="1">
        <f>G3/181</f>
        <v>8.2872928176795586</v>
      </c>
      <c r="I3" s="1"/>
      <c r="J3" s="1"/>
      <c r="K3">
        <v>560</v>
      </c>
      <c r="L3" s="1">
        <f>K3/54</f>
        <v>10.37037037037037</v>
      </c>
    </row>
    <row r="4" spans="1:14" x14ac:dyDescent="0.25">
      <c r="B4" s="330"/>
      <c r="D4" s="332"/>
      <c r="E4" s="1">
        <v>12</v>
      </c>
      <c r="F4" s="1"/>
    </row>
    <row r="5" spans="1:14" x14ac:dyDescent="0.25">
      <c r="A5" s="140" t="s">
        <v>1082</v>
      </c>
      <c r="B5" s="334">
        <v>9.99</v>
      </c>
      <c r="C5" s="146">
        <f>(H3*I5)+J5</f>
        <v>9.6574585635359114</v>
      </c>
      <c r="D5" s="335"/>
      <c r="E5" s="140"/>
      <c r="F5" s="1">
        <f>H3*I5</f>
        <v>1.6574585635359118</v>
      </c>
      <c r="I5">
        <v>0.2</v>
      </c>
      <c r="J5">
        <v>8</v>
      </c>
      <c r="N5">
        <v>9.99</v>
      </c>
    </row>
    <row r="6" spans="1:14" x14ac:dyDescent="0.25">
      <c r="A6" t="s">
        <v>1085</v>
      </c>
      <c r="B6" s="331"/>
      <c r="C6" s="1"/>
      <c r="D6" s="333"/>
      <c r="F6" s="1">
        <f>H3*I6</f>
        <v>0</v>
      </c>
    </row>
    <row r="7" spans="1:14" x14ac:dyDescent="0.25">
      <c r="A7" s="140" t="s">
        <v>1086</v>
      </c>
      <c r="B7" s="334">
        <v>12.99</v>
      </c>
      <c r="C7" s="146">
        <f>(H3*I7)+J7</f>
        <v>12.486187845303867</v>
      </c>
      <c r="D7" s="335" t="s">
        <v>184</v>
      </c>
      <c r="E7" s="140"/>
      <c r="F7" s="1">
        <f>H3*I7</f>
        <v>2.4861878453038675</v>
      </c>
      <c r="I7">
        <v>0.3</v>
      </c>
      <c r="J7">
        <v>10</v>
      </c>
      <c r="N7">
        <v>8</v>
      </c>
    </row>
    <row r="8" spans="1:14" x14ac:dyDescent="0.25">
      <c r="A8" t="s">
        <v>1087</v>
      </c>
      <c r="B8" s="331">
        <v>19.989999999999998</v>
      </c>
      <c r="C8" s="1">
        <f>(H3*I8)+J8</f>
        <v>18.314917127071823</v>
      </c>
      <c r="D8" s="333">
        <f>B8+D1</f>
        <v>24.99</v>
      </c>
      <c r="F8" s="1">
        <f>H3*I8</f>
        <v>3.3149171270718236</v>
      </c>
      <c r="I8">
        <v>0.4</v>
      </c>
      <c r="J8">
        <v>15</v>
      </c>
      <c r="N8">
        <v>19.989999999999998</v>
      </c>
    </row>
    <row r="9" spans="1:14" x14ac:dyDescent="0.25">
      <c r="A9" s="140" t="s">
        <v>1088</v>
      </c>
      <c r="B9" s="334">
        <v>34.99</v>
      </c>
      <c r="C9" s="146">
        <f>(H3*I9)+J9</f>
        <v>34.143646408839778</v>
      </c>
      <c r="D9" s="335">
        <f>B9+D1</f>
        <v>39.99</v>
      </c>
      <c r="E9" s="140"/>
      <c r="F9" s="1">
        <f>H3*I9</f>
        <v>4.1436464088397793</v>
      </c>
      <c r="I9">
        <v>0.5</v>
      </c>
      <c r="J9">
        <v>30</v>
      </c>
      <c r="N9">
        <v>29.99</v>
      </c>
    </row>
    <row r="10" spans="1:14" x14ac:dyDescent="0.25">
      <c r="A10" t="s">
        <v>1089</v>
      </c>
      <c r="B10" s="331">
        <v>39.99</v>
      </c>
      <c r="C10" s="1">
        <f>(H3*I10)+J10</f>
        <v>39.972375690607734</v>
      </c>
      <c r="D10" s="333">
        <f>B10+D1</f>
        <v>44.99</v>
      </c>
      <c r="F10" s="1">
        <f>H3*I10</f>
        <v>4.972375690607735</v>
      </c>
      <c r="I10">
        <v>0.6</v>
      </c>
      <c r="J10">
        <v>35</v>
      </c>
      <c r="N10">
        <v>34.99</v>
      </c>
    </row>
    <row r="11" spans="1:14" x14ac:dyDescent="0.25">
      <c r="A11" s="140" t="s">
        <v>1091</v>
      </c>
      <c r="B11" s="334">
        <v>64.989999999999995</v>
      </c>
      <c r="C11" s="146">
        <f>(H3*I11)+J11</f>
        <v>62.430939226519342</v>
      </c>
      <c r="D11" s="335">
        <f>B11+D1</f>
        <v>69.989999999999995</v>
      </c>
      <c r="E11" s="140"/>
      <c r="F11" s="1">
        <f>H3*I11</f>
        <v>12.430939226519339</v>
      </c>
      <c r="I11">
        <v>1.5</v>
      </c>
      <c r="J11">
        <v>50</v>
      </c>
      <c r="N11">
        <v>64.989999999999995</v>
      </c>
    </row>
    <row r="12" spans="1:14" x14ac:dyDescent="0.25">
      <c r="A12" t="s">
        <v>1090</v>
      </c>
      <c r="B12" s="331">
        <v>49.99</v>
      </c>
      <c r="C12" s="1">
        <f>(H3*I12)+J12</f>
        <v>49.944751381215468</v>
      </c>
      <c r="D12" s="333">
        <f>B12+D1</f>
        <v>54.99</v>
      </c>
      <c r="F12" s="1">
        <f>H3*I12</f>
        <v>9.94475138121547</v>
      </c>
      <c r="I12">
        <v>1.2</v>
      </c>
      <c r="J12">
        <v>40</v>
      </c>
      <c r="N12">
        <v>44.99</v>
      </c>
    </row>
    <row r="13" spans="1:14" x14ac:dyDescent="0.25">
      <c r="A13" s="140" t="s">
        <v>1092</v>
      </c>
      <c r="B13" s="334">
        <v>29.99</v>
      </c>
      <c r="C13" s="146">
        <f>(H3*I13)+J13</f>
        <v>28.287292817679557</v>
      </c>
      <c r="D13" s="335">
        <f>B13+D1</f>
        <v>34.989999999999995</v>
      </c>
      <c r="E13" s="140"/>
      <c r="F13" s="1">
        <f>H3*I13</f>
        <v>8.2872928176795586</v>
      </c>
      <c r="I13">
        <v>1</v>
      </c>
      <c r="J13">
        <v>20</v>
      </c>
      <c r="N13">
        <v>24.99</v>
      </c>
    </row>
    <row r="14" spans="1:14" x14ac:dyDescent="0.25">
      <c r="A14" t="s">
        <v>1093</v>
      </c>
      <c r="B14" s="331">
        <v>15.99</v>
      </c>
      <c r="C14" s="1">
        <f>(H3*I14)+J14</f>
        <v>15.314917127071823</v>
      </c>
      <c r="D14" s="333">
        <f>B14+D1</f>
        <v>20.990000000000002</v>
      </c>
      <c r="F14" s="1">
        <f>H3*I14</f>
        <v>3.3149171270718236</v>
      </c>
      <c r="I14">
        <v>0.4</v>
      </c>
      <c r="J14">
        <v>12</v>
      </c>
      <c r="N14">
        <v>15.99</v>
      </c>
    </row>
    <row r="15" spans="1:14" x14ac:dyDescent="0.25">
      <c r="A15" s="140" t="s">
        <v>1094</v>
      </c>
      <c r="B15" s="334">
        <v>39.99</v>
      </c>
      <c r="C15" s="146">
        <f>(H3*I15)+J15</f>
        <v>36.629834254143645</v>
      </c>
      <c r="D15" s="335">
        <f>B15+D1</f>
        <v>44.99</v>
      </c>
      <c r="E15" s="140"/>
      <c r="F15" s="1">
        <f>H3*I15</f>
        <v>6.6298342541436472</v>
      </c>
      <c r="I15">
        <v>0.8</v>
      </c>
      <c r="J15">
        <v>30</v>
      </c>
      <c r="N15">
        <v>34.99</v>
      </c>
    </row>
    <row r="16" spans="1:14" x14ac:dyDescent="0.25">
      <c r="A16" s="140" t="s">
        <v>1095</v>
      </c>
      <c r="B16" s="334">
        <v>44.99</v>
      </c>
      <c r="C16" s="146">
        <f>(H3*I16)+J16</f>
        <v>43.287292817679557</v>
      </c>
      <c r="D16" s="335">
        <f>B16+D1</f>
        <v>49.99</v>
      </c>
      <c r="E16" s="140"/>
      <c r="F16" s="1">
        <f>H3*I16</f>
        <v>8.2872928176795586</v>
      </c>
      <c r="I16">
        <v>1</v>
      </c>
      <c r="J16">
        <v>35</v>
      </c>
      <c r="N16">
        <v>39.99</v>
      </c>
    </row>
    <row r="17" spans="1:14" x14ac:dyDescent="0.25">
      <c r="B17" s="331"/>
      <c r="D17" s="333"/>
      <c r="F17" s="1"/>
    </row>
    <row r="18" spans="1:14" x14ac:dyDescent="0.25">
      <c r="B18" s="331"/>
      <c r="D18" s="333"/>
      <c r="F18" s="1"/>
    </row>
    <row r="19" spans="1:14" x14ac:dyDescent="0.25">
      <c r="B19" s="331"/>
      <c r="D19" s="333"/>
      <c r="F19" s="1"/>
    </row>
    <row r="20" spans="1:14" x14ac:dyDescent="0.25">
      <c r="A20" s="140" t="s">
        <v>1084</v>
      </c>
      <c r="B20" s="334">
        <v>51.99</v>
      </c>
      <c r="C20" s="146">
        <f>(L3*I20)+J20</f>
        <v>51.111111111111114</v>
      </c>
      <c r="D20" s="335">
        <f>B20+D1</f>
        <v>56.99</v>
      </c>
      <c r="E20" s="140"/>
      <c r="F20" s="1">
        <f>L3*I20</f>
        <v>31.111111111111111</v>
      </c>
      <c r="I20">
        <v>3</v>
      </c>
      <c r="J20">
        <v>20</v>
      </c>
      <c r="N20">
        <v>39.99</v>
      </c>
    </row>
    <row r="21" spans="1:14" x14ac:dyDescent="0.25">
      <c r="A21" s="140" t="s">
        <v>1083</v>
      </c>
      <c r="B21" s="334">
        <v>45.99</v>
      </c>
      <c r="C21" s="146">
        <f>(L3*I21)+J21</f>
        <v>45.925925925925924</v>
      </c>
      <c r="D21" s="335">
        <f>B21+D1</f>
        <v>50.99</v>
      </c>
      <c r="E21" s="140"/>
      <c r="F21" s="1">
        <f>L3*I21</f>
        <v>25.925925925925924</v>
      </c>
      <c r="I21">
        <v>2.5</v>
      </c>
      <c r="J21">
        <v>20</v>
      </c>
      <c r="N21">
        <v>34.99</v>
      </c>
    </row>
  </sheetData>
  <pageMargins left="0.7" right="0.7" top="0.75" bottom="0.75" header="0.3" footer="0.3"/>
  <pageSetup orientation="portrait" r:id="rId1"/>
  <ignoredErrors>
    <ignoredError sqref="C7:C2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A24B316847F43A524B611DA59980B" ma:contentTypeVersion="11" ma:contentTypeDescription="Create a new document." ma:contentTypeScope="" ma:versionID="90df3c352037dd06832aff2566c50803">
  <xsd:schema xmlns:xsd="http://www.w3.org/2001/XMLSchema" xmlns:xs="http://www.w3.org/2001/XMLSchema" xmlns:p="http://schemas.microsoft.com/office/2006/metadata/properties" xmlns:ns3="bad6bbe6-6af3-4e64-88af-cdf9b5ebf46e" xmlns:ns4="6cc971d5-ca69-4471-9d0a-8b01f965c2cf" targetNamespace="http://schemas.microsoft.com/office/2006/metadata/properties" ma:root="true" ma:fieldsID="f6e3c2cbf6395bda5c4c8a65f4185db1" ns3:_="" ns4:_="">
    <xsd:import namespace="bad6bbe6-6af3-4e64-88af-cdf9b5ebf46e"/>
    <xsd:import namespace="6cc971d5-ca69-4471-9d0a-8b01f965c2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6bbe6-6af3-4e64-88af-cdf9b5ebf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971d5-ca69-4471-9d0a-8b01f965c2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918E50-D7B0-47BC-BA9F-4C55E9263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d6bbe6-6af3-4e64-88af-cdf9b5ebf46e"/>
    <ds:schemaRef ds:uri="6cc971d5-ca69-4471-9d0a-8b01f965c2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345AAB-BC68-4B64-9A85-BF78A991B9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F26B7-76DD-4BFC-8C5E-37DB07632387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bad6bbe6-6af3-4e64-88af-cdf9b5ebf46e"/>
    <ds:schemaRef ds:uri="6cc971d5-ca69-4471-9d0a-8b01f965c2c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Price List</vt:lpstr>
      <vt:lpstr>Cost Source</vt:lpstr>
      <vt:lpstr>All Filter Sell Price</vt:lpstr>
      <vt:lpstr>Filter Cost</vt:lpstr>
      <vt:lpstr>15W40</vt:lpstr>
      <vt:lpstr>15W40 Gallon</vt:lpstr>
      <vt:lpstr>10W30</vt:lpstr>
      <vt:lpstr>10W30 Gallon</vt:lpstr>
      <vt:lpstr>T5</vt:lpstr>
      <vt:lpstr>T5 Gallon</vt:lpstr>
      <vt:lpstr>Petro 10W30</vt:lpstr>
      <vt:lpstr>Petro 10W30Gallon</vt:lpstr>
      <vt:lpstr>T6</vt:lpstr>
      <vt:lpstr>T6 Gallon</vt:lpstr>
      <vt:lpstr>Delo 5W30</vt:lpstr>
      <vt:lpstr>Delo 5W30 Gallon</vt:lpstr>
      <vt:lpstr>Petro 5W30</vt:lpstr>
      <vt:lpstr>Petro 5W30 Gallon</vt:lpstr>
      <vt:lpstr>Oil Service Cost</vt:lpstr>
      <vt:lpstr>Profit</vt:lpstr>
      <vt:lpstr>Sell Price</vt:lpstr>
      <vt:lpstr>Print List</vt:lpstr>
      <vt:lpstr>Trans &amp; Diff</vt:lpstr>
      <vt:lpstr>Oil Price</vt:lpstr>
      <vt:lpstr>Fass System</vt:lpstr>
      <vt:lpstr>Sheet1</vt:lpstr>
      <vt:lpstr>Grease</vt:lpstr>
      <vt:lpstr>'All Filter Sell Price'!Print_Titles</vt:lpstr>
      <vt:lpstr>'Print List'!Print_Titles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Tech1</dc:creator>
  <cp:keywords/>
  <dc:description/>
  <cp:lastModifiedBy>iyajm</cp:lastModifiedBy>
  <cp:lastPrinted>2026-03-24T15:00:19Z</cp:lastPrinted>
  <dcterms:created xsi:type="dcterms:W3CDTF">2020-06-29T14:02:22Z</dcterms:created>
  <dcterms:modified xsi:type="dcterms:W3CDTF">2026-05-10T11:37:58Z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0x0101003C5A24B316847F43A524B611DA59980B</vt:lpwstr>
  </property>
</Properties>
</file>